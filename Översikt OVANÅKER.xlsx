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45472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45472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45472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45472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45472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Lunglav
Talltita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45472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45472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Mörk kolflarnlav
Spillkråka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45472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45472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24895-2024</t>
        </is>
      </c>
      <c r="B11" s="1" t="n">
        <v>45461</v>
      </c>
      <c r="C11" s="1" t="n">
        <v>45472</v>
      </c>
      <c r="D11" t="inlineStr">
        <is>
          <t>GÄVLEBORGS LÄN</t>
        </is>
      </c>
      <c r="E11" t="inlineStr">
        <is>
          <t>OVANÅKER</t>
        </is>
      </c>
      <c r="G11" t="n">
        <v>5.1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Kolflarnlav
Vedskivlav</t>
        </is>
      </c>
      <c r="S11">
        <f>HYPERLINK("https://klasma.github.io/Logging_2121/artfynd/A 24895-2024 artfynd.xlsx", "A 24895-2024")</f>
        <v/>
      </c>
      <c r="T11">
        <f>HYPERLINK("https://klasma.github.io/Logging_2121/kartor/A 24895-2024 karta.png", "A 24895-2024")</f>
        <v/>
      </c>
      <c r="V11">
        <f>HYPERLINK("https://klasma.github.io/Logging_2121/klagomål/A 24895-2024 FSC-klagomål.docx", "A 24895-2024")</f>
        <v/>
      </c>
      <c r="W11">
        <f>HYPERLINK("https://klasma.github.io/Logging_2121/klagomålsmail/A 24895-2024 FSC-klagomål mail.docx", "A 24895-2024")</f>
        <v/>
      </c>
      <c r="X11">
        <f>HYPERLINK("https://klasma.github.io/Logging_2121/tillsyn/A 24895-2024 tillsynsbegäran.docx", "A 24895-2024")</f>
        <v/>
      </c>
      <c r="Y11">
        <f>HYPERLINK("https://klasma.github.io/Logging_2121/tillsynsmail/A 24895-2024 tillsynsbegäran mail.docx", "A 24895-2024")</f>
        <v/>
      </c>
    </row>
    <row r="12" ht="15" customHeight="1">
      <c r="A12" t="inlineStr">
        <is>
          <t>A 45004-2019</t>
        </is>
      </c>
      <c r="B12" s="1" t="n">
        <v>43713</v>
      </c>
      <c r="C12" s="1" t="n">
        <v>45472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7.5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Lunglav</t>
        </is>
      </c>
      <c r="S12">
        <f>HYPERLINK("https://klasma.github.io/Logging_2121/artfynd/A 45004-2019 artfynd.xlsx", "A 45004-2019")</f>
        <v/>
      </c>
      <c r="T12">
        <f>HYPERLINK("https://klasma.github.io/Logging_2121/kartor/A 45004-2019 karta.png", "A 45004-2019")</f>
        <v/>
      </c>
      <c r="V12">
        <f>HYPERLINK("https://klasma.github.io/Logging_2121/klagomål/A 45004-2019 FSC-klagomål.docx", "A 45004-2019")</f>
        <v/>
      </c>
      <c r="W12">
        <f>HYPERLINK("https://klasma.github.io/Logging_2121/klagomålsmail/A 45004-2019 FSC-klagomål mail.docx", "A 45004-2019")</f>
        <v/>
      </c>
      <c r="X12">
        <f>HYPERLINK("https://klasma.github.io/Logging_2121/tillsyn/A 45004-2019 tillsynsbegäran.docx", "A 45004-2019")</f>
        <v/>
      </c>
      <c r="Y12">
        <f>HYPERLINK("https://klasma.github.io/Logging_2121/tillsynsmail/A 45004-2019 tillsynsbegäran mail.docx", "A 45004-2019")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45472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1196-2024</t>
        </is>
      </c>
      <c r="B14" s="1" t="n">
        <v>45302</v>
      </c>
      <c r="C14" s="1" t="n">
        <v>45472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3.7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Blåsippa</t>
        </is>
      </c>
      <c r="S14">
        <f>HYPERLINK("https://klasma.github.io/Logging_2121/artfynd/A 1196-2024 artfynd.xlsx", "A 1196-2024")</f>
        <v/>
      </c>
      <c r="T14">
        <f>HYPERLINK("https://klasma.github.io/Logging_2121/kartor/A 1196-2024 karta.png", "A 1196-2024")</f>
        <v/>
      </c>
      <c r="V14">
        <f>HYPERLINK("https://klasma.github.io/Logging_2121/klagomål/A 1196-2024 FSC-klagomål.docx", "A 1196-2024")</f>
        <v/>
      </c>
      <c r="W14">
        <f>HYPERLINK("https://klasma.github.io/Logging_2121/klagomålsmail/A 1196-2024 FSC-klagomål mail.docx", "A 1196-2024")</f>
        <v/>
      </c>
      <c r="X14">
        <f>HYPERLINK("https://klasma.github.io/Logging_2121/tillsyn/A 1196-2024 tillsynsbegäran.docx", "A 1196-2024")</f>
        <v/>
      </c>
      <c r="Y14">
        <f>HYPERLINK("https://klasma.github.io/Logging_2121/tillsynsmail/A 1196-2024 tillsynsbegäran mail.docx", "A 1196-2024")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45472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19180-2024</t>
        </is>
      </c>
      <c r="B16" s="1" t="n">
        <v>45428</v>
      </c>
      <c r="C16" s="1" t="n">
        <v>45472</v>
      </c>
      <c r="D16" t="inlineStr">
        <is>
          <t>GÄVLEBORGS LÄN</t>
        </is>
      </c>
      <c r="E16" t="inlineStr">
        <is>
          <t>OVANÅKER</t>
        </is>
      </c>
      <c r="G16" t="n">
        <v>4.1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Vedskivlav</t>
        </is>
      </c>
      <c r="S16">
        <f>HYPERLINK("https://klasma.github.io/Logging_2121/artfynd/A 19180-2024 artfynd.xlsx", "A 19180-2024")</f>
        <v/>
      </c>
      <c r="T16">
        <f>HYPERLINK("https://klasma.github.io/Logging_2121/kartor/A 19180-2024 karta.png", "A 19180-2024")</f>
        <v/>
      </c>
      <c r="V16">
        <f>HYPERLINK("https://klasma.github.io/Logging_2121/klagomål/A 19180-2024 FSC-klagomål.docx", "A 19180-2024")</f>
        <v/>
      </c>
      <c r="W16">
        <f>HYPERLINK("https://klasma.github.io/Logging_2121/klagomålsmail/A 19180-2024 FSC-klagomål mail.docx", "A 19180-2024")</f>
        <v/>
      </c>
      <c r="X16">
        <f>HYPERLINK("https://klasma.github.io/Logging_2121/tillsyn/A 19180-2024 tillsynsbegäran.docx", "A 19180-2024")</f>
        <v/>
      </c>
      <c r="Y16">
        <f>HYPERLINK("https://klasma.github.io/Logging_2121/tillsynsmail/A 19180-2024 tillsynsbegäran mail.docx", "A 19180-2024")</f>
        <v/>
      </c>
    </row>
    <row r="17" ht="15" customHeight="1">
      <c r="A17" t="inlineStr">
        <is>
          <t>A 8361-2020</t>
        </is>
      </c>
      <c r="B17" s="1" t="n">
        <v>43875</v>
      </c>
      <c r="C17" s="1" t="n">
        <v>45472</v>
      </c>
      <c r="D17" t="inlineStr">
        <is>
          <t>GÄVLEBORGS LÄN</t>
        </is>
      </c>
      <c r="E17" t="inlineStr">
        <is>
          <t>OVANÅKER</t>
        </is>
      </c>
      <c r="G17" t="n">
        <v>9.800000000000001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Slaguggla</t>
        </is>
      </c>
      <c r="S17">
        <f>HYPERLINK("https://klasma.github.io/Logging_2121/artfynd/A 8361-2020 artfynd.xlsx", "A 8361-2020")</f>
        <v/>
      </c>
      <c r="T17">
        <f>HYPERLINK("https://klasma.github.io/Logging_2121/kartor/A 8361-2020 karta.png", "A 8361-2020")</f>
        <v/>
      </c>
      <c r="V17">
        <f>HYPERLINK("https://klasma.github.io/Logging_2121/klagomål/A 8361-2020 FSC-klagomål.docx", "A 8361-2020")</f>
        <v/>
      </c>
      <c r="W17">
        <f>HYPERLINK("https://klasma.github.io/Logging_2121/klagomålsmail/A 8361-2020 FSC-klagomål mail.docx", "A 8361-2020")</f>
        <v/>
      </c>
      <c r="X17">
        <f>HYPERLINK("https://klasma.github.io/Logging_2121/tillsyn/A 8361-2020 tillsynsbegäran.docx", "A 8361-2020")</f>
        <v/>
      </c>
      <c r="Y17">
        <f>HYPERLINK("https://klasma.github.io/Logging_2121/tillsynsmail/A 8361-2020 tillsynsbegäran mail.docx", "A 8361-2020")</f>
        <v/>
      </c>
      <c r="Z17">
        <f>HYPERLINK("https://klasma.github.io/Logging_2121/fåglar/A 8361-2020 prioriterade fågelarter.docx", "A 8361-2020")</f>
        <v/>
      </c>
    </row>
    <row r="18" ht="15" customHeight="1">
      <c r="A18" t="inlineStr">
        <is>
          <t>A 29855-2021</t>
        </is>
      </c>
      <c r="B18" s="1" t="n">
        <v>44362</v>
      </c>
      <c r="C18" s="1" t="n">
        <v>45472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HYPERLINK("https://klasma.github.io/Logging_2121/artfynd/A 29855-2021 artfynd.xlsx", "A 29855-2021")</f>
        <v/>
      </c>
      <c r="T18">
        <f>HYPERLINK("https://klasma.github.io/Logging_2121/kartor/A 29855-2021 karta.png", "A 29855-2021")</f>
        <v/>
      </c>
      <c r="V18">
        <f>HYPERLINK("https://klasma.github.io/Logging_2121/klagomål/A 29855-2021 FSC-klagomål.docx", "A 29855-2021")</f>
        <v/>
      </c>
      <c r="W18">
        <f>HYPERLINK("https://klasma.github.io/Logging_2121/klagomålsmail/A 29855-2021 FSC-klagomål mail.docx", "A 29855-2021")</f>
        <v/>
      </c>
      <c r="X18">
        <f>HYPERLINK("https://klasma.github.io/Logging_2121/tillsyn/A 29855-2021 tillsynsbegäran.docx", "A 29855-2021")</f>
        <v/>
      </c>
      <c r="Y18">
        <f>HYPERLINK("https://klasma.github.io/Logging_2121/tillsynsmail/A 29855-2021 tillsynsbegäran mail.docx", "A 29855-2021")</f>
        <v/>
      </c>
    </row>
    <row r="19" ht="15" customHeight="1">
      <c r="A19" t="inlineStr">
        <is>
          <t>A 29873-2021</t>
        </is>
      </c>
      <c r="B19" s="1" t="n">
        <v>44362</v>
      </c>
      <c r="C19" s="1" t="n">
        <v>45472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29873-2021 artfynd.xlsx", "A 29873-2021")</f>
        <v/>
      </c>
      <c r="T19">
        <f>HYPERLINK("https://klasma.github.io/Logging_2121/kartor/A 29873-2021 karta.png", "A 29873-2021")</f>
        <v/>
      </c>
      <c r="V19">
        <f>HYPERLINK("https://klasma.github.io/Logging_2121/klagomål/A 29873-2021 FSC-klagomål.docx", "A 29873-2021")</f>
        <v/>
      </c>
      <c r="W19">
        <f>HYPERLINK("https://klasma.github.io/Logging_2121/klagomålsmail/A 29873-2021 FSC-klagomål mail.docx", "A 29873-2021")</f>
        <v/>
      </c>
      <c r="X19">
        <f>HYPERLINK("https://klasma.github.io/Logging_2121/tillsyn/A 29873-2021 tillsynsbegäran.docx", "A 29873-2021")</f>
        <v/>
      </c>
      <c r="Y19">
        <f>HYPERLINK("https://klasma.github.io/Logging_2121/tillsynsmail/A 29873-2021 tillsynsbegäran mail.docx", "A 29873-2021")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45472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45472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52166-2021</t>
        </is>
      </c>
      <c r="B22" s="1" t="n">
        <v>44463</v>
      </c>
      <c r="C22" s="1" t="n">
        <v>45472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34414-2022</t>
        </is>
      </c>
      <c r="B23" s="1" t="n">
        <v>44792</v>
      </c>
      <c r="C23" s="1" t="n">
        <v>45472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34414-2022 artfynd.xlsx", "A 34414-2022")</f>
        <v/>
      </c>
      <c r="T23">
        <f>HYPERLINK("https://klasma.github.io/Logging_2121/kartor/A 34414-2022 karta.png", "A 34414-2022")</f>
        <v/>
      </c>
      <c r="V23">
        <f>HYPERLINK("https://klasma.github.io/Logging_2121/klagomål/A 34414-2022 FSC-klagomål.docx", "A 34414-2022")</f>
        <v/>
      </c>
      <c r="W23">
        <f>HYPERLINK("https://klasma.github.io/Logging_2121/klagomålsmail/A 34414-2022 FSC-klagomål mail.docx", "A 34414-2022")</f>
        <v/>
      </c>
      <c r="X23">
        <f>HYPERLINK("https://klasma.github.io/Logging_2121/tillsyn/A 34414-2022 tillsynsbegäran.docx", "A 34414-2022")</f>
        <v/>
      </c>
      <c r="Y23">
        <f>HYPERLINK("https://klasma.github.io/Logging_2121/tillsynsmail/A 34414-2022 tillsynsbegäran mail.docx", "A 34414-2022")</f>
        <v/>
      </c>
    </row>
    <row r="24" ht="15" customHeight="1">
      <c r="A24" t="inlineStr">
        <is>
          <t>A 34415-2022</t>
        </is>
      </c>
      <c r="B24" s="1" t="n">
        <v>44792</v>
      </c>
      <c r="C24" s="1" t="n">
        <v>45472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34415-2022 artfynd.xlsx", "A 34415-2022")</f>
        <v/>
      </c>
      <c r="T24">
        <f>HYPERLINK("https://klasma.github.io/Logging_2121/kartor/A 34415-2022 karta.png", "A 34415-2022")</f>
        <v/>
      </c>
      <c r="V24">
        <f>HYPERLINK("https://klasma.github.io/Logging_2121/klagomål/A 34415-2022 FSC-klagomål.docx", "A 34415-2022")</f>
        <v/>
      </c>
      <c r="W24">
        <f>HYPERLINK("https://klasma.github.io/Logging_2121/klagomålsmail/A 34415-2022 FSC-klagomål mail.docx", "A 34415-2022")</f>
        <v/>
      </c>
      <c r="X24">
        <f>HYPERLINK("https://klasma.github.io/Logging_2121/tillsyn/A 34415-2022 tillsynsbegäran.docx", "A 34415-2022")</f>
        <v/>
      </c>
      <c r="Y24">
        <f>HYPERLINK("https://klasma.github.io/Logging_2121/tillsynsmail/A 34415-2022 tillsynsbegäran mail.docx", "A 34415-2022")</f>
        <v/>
      </c>
    </row>
    <row r="25" ht="15" customHeight="1">
      <c r="A25" t="inlineStr">
        <is>
          <t>A 60287-2022</t>
        </is>
      </c>
      <c r="B25" s="1" t="n">
        <v>44910</v>
      </c>
      <c r="C25" s="1" t="n">
        <v>45472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HYPERLINK("https://klasma.github.io/Logging_2121/artfynd/A 60287-2022 artfynd.xlsx", "A 60287-2022")</f>
        <v/>
      </c>
      <c r="T25">
        <f>HYPERLINK("https://klasma.github.io/Logging_2121/kartor/A 60287-2022 karta.png", "A 60287-2022")</f>
        <v/>
      </c>
      <c r="V25">
        <f>HYPERLINK("https://klasma.github.io/Logging_2121/klagomål/A 60287-2022 FSC-klagomål.docx", "A 60287-2022")</f>
        <v/>
      </c>
      <c r="W25">
        <f>HYPERLINK("https://klasma.github.io/Logging_2121/klagomålsmail/A 60287-2022 FSC-klagomål mail.docx", "A 60287-2022")</f>
        <v/>
      </c>
      <c r="X25">
        <f>HYPERLINK("https://klasma.github.io/Logging_2121/tillsyn/A 60287-2022 tillsynsbegäran.docx", "A 60287-2022")</f>
        <v/>
      </c>
      <c r="Y25">
        <f>HYPERLINK("https://klasma.github.io/Logging_2121/tillsynsmail/A 60287-2022 tillsynsbegäran mail.docx", "A 60287-2022")</f>
        <v/>
      </c>
      <c r="Z25">
        <f>HYPERLINK("https://klasma.github.io/Logging_2121/fåglar/A 60287-2022 prioriterade fågelarter.docx", "A 60287-2022")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45472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45472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45472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45472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45472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45472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45472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45472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45472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45472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45472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45472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45472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45472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45472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45472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45472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45472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45472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45472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45472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45472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45472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45472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45472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45472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45472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45472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45472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45472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45472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45472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45472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45472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45472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45472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45472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45472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45472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45472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45472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45472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45472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45472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45472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45472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45472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45472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45472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45472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45472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45472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45472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45472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45472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45472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45472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45472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45472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45472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45472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45472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45472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45472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45472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45472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45472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45472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45472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45472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45472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45472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45472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45472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45472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45472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45472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45472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45472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45472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45472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45472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45472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45472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45472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45472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45472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45472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45472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45472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45472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45472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45472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45472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45472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45472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45472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45472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45472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45472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45472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45472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45472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45472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45472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45472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45472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45472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45472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45472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45472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45472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45472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45472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45472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45472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45472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45472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45472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45472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45472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45472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45472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45472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45472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45472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45472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45472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45472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45472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45472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45472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45472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45472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45472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45472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45472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45472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45472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45472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45472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45472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45472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45472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45472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45472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45472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45472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45472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45472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45472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45472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45472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45472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45472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45472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45472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45472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45472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45472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45472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45472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45472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45472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45472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45472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45472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45472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45472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45472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45472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45472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45472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45472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45472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45472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45472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45472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45472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45472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45472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45472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45472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45472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45472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45472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45472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45472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45472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45472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45472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45472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45472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45472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45472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45472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45472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45472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45472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45472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45472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45472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45472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45472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45472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45472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45472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45472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45472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45472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45472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45472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45472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45472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45472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45472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45472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45472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45472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45472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45472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45472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45472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45472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45472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45472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45472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45472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45472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45472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45472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45472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45472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45472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45472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45472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45472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45472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45472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45472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45472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45472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45472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45472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45472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45472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45472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45472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45472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45472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45472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45472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45472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45472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45472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45472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45472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45472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45472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45472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45472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45472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45472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45472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45472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45472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45472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45472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45472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45472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45472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45472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45472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45472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45472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45472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45472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45472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45472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45472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45472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45472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45472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45472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45472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45472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45472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45472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45472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45472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45472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45472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45472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45472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45472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45472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45472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45472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45472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45472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45472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45472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45472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45472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45472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45472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45472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45472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45472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45472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45472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45472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45472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45472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45472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45472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45472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45472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45472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45472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45472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45472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45472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45472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45472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45472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45472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45472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45472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45472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45472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45472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45472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45472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45472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45472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45472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45472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45472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45472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45472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45472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45472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45472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45472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45472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45472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45472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45472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45472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45472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45472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45472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45472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45472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45472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45472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45472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45472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45472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45472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45472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45472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45472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45472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45472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45472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45472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45472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45472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45472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45472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45472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45472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45472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45472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45472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45472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45472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45472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45472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45472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45472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45472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45472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45472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45472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45472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45472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45472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45472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45472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45472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45472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45472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45472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45472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45472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45472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45472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45472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45472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45472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45472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45472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45472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45472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45472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45472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45472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45472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45472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45472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45472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45472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45472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45472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45472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45472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45472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45472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45472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45472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45472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45472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45472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45472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45472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45472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45472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45472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45472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45472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45472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45472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45472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45472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45472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45472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45472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45472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45472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45472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45472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45472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45472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45472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45472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45472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45472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45472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45472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45472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45472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45472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45472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45472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45472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45472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45472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45472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45472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45472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45472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45472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45472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45472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45472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45472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45472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45472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45472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45472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45472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45472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45472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45472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45472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45472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45472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45472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45472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45472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45472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45472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45472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45472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45472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45472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45472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45472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45472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45472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45472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45472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45472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45472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45472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45472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45472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45472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45472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45472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45472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45472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45472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45472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45472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45472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45472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45472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45472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45472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45472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45472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45472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45472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45472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45472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45472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45472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45472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45472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45472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45472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45472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45472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45472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45472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45472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45472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45472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45472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45472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45472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45472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45472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45472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45472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45472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45472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45472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45472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45472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45472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45472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45472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45472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45472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45472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45472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45472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45472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45472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45472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45472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45472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45472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45472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45472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45472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45472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45472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45472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45472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45472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45472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45472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45472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45472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45472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45472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45472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45472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45472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45472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45472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45472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45472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45472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45472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45472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45472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45472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45472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45472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45472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45472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45472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45472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45472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45472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45472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45472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45472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45472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45472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45472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45472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45472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45472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45472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45472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45472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45472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45472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45472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45472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45472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45472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45472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45472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45472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45472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45472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45472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45472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45472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45472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45472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45472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45472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45472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45472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45472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45472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45472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45472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45472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45472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45472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45472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45472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45472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45472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45472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45472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45472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45472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45472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45472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45472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45472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45472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45472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45472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45472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45472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45472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45472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45472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45472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45472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45472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45472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45472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45472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45472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45472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45472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45472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45472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45472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45472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45472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45472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45472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45472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45472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45472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45472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45472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45472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45472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45472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45472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45472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45472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45472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45472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45472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45472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45472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45472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45472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45472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45472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45472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45472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45472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45472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45472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45472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45472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45472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45472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45472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45472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45472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45472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45472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45472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45472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45472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45472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45472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45472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45472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45472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45472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45472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45472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45472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45472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45472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45472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45472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45472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45472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45472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45472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45472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45472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45472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45472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45472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45472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45472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45472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45472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45472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45472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45472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45472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45472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45472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45472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45472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45472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45472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45472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45472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45472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45472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45472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45472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45472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45472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45472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45472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45472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45472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45472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45472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45472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45472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45472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45472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45472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45472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45472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45472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45472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45472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45472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45472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45472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45472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45472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45472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45472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45472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45472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45472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45472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45472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45472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45472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45472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45472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45472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45472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45472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45472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45472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45472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45472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45472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45472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45472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45472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45472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45472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45472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45472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45472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45472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45472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45472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45472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45472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45472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45472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45472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45472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45472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45472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45472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45472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45472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45472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45472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45472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45472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45472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45472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45472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45472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45472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45472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45472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45472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45472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45472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45472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45472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45472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45472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45472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45472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45472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45472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45472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45472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45472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45472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45472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45472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45472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45472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45472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45472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45472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45472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45472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45472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45472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45472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45472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45472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45472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45472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45472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45472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45472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45472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45472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45472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45472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45472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45472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45472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45472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45472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45472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45472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45472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45472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45472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45472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45472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45472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45472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45472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45472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45472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45472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45472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45472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45472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45472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45472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45472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45472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45472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45472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45472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45472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45472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45472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45472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45472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45472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45472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45472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45472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45472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45472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45472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45472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45472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45472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45472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45472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45472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45472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45472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45472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45472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45472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45472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45472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45472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45472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45472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45472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45472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45472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45472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45472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45472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45472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45472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45472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45472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45472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45472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45472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45472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45472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45472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45472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45472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45472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45472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45472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45472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45472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45472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45472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45472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45472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45472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45472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45472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45472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45472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45472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45472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45472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45472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45472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45472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45472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45472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45472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45472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45472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45472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45472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45472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45472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45472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45472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45472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45472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45472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45472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45472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45472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45472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45472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45472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45472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45472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45472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45472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45472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45472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45472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45472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45472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45472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45472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45472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45472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45472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45472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45472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45472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45472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45472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45472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45472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45472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45472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45472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45472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45472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45472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45472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45472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45472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45472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45472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45472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45472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45472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45472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45472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45472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45472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45472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45472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45472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45472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45472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45472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45472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45472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45472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45472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45472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45472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45472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45472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45472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45472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45472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45472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22173-2024</t>
        </is>
      </c>
      <c r="B1056" s="1" t="n">
        <v>45446</v>
      </c>
      <c r="C1056" s="1" t="n">
        <v>45472</v>
      </c>
      <c r="D1056" t="inlineStr">
        <is>
          <t>GÄVLEBORGS LÄN</t>
        </is>
      </c>
      <c r="E1056" t="inlineStr">
        <is>
          <t>OVANÅKER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22357-2024</t>
        </is>
      </c>
      <c r="B1057" s="1" t="n">
        <v>45446</v>
      </c>
      <c r="C1057" s="1" t="n">
        <v>45472</v>
      </c>
      <c r="D1057" t="inlineStr">
        <is>
          <t>GÄVLEBORGS LÄN</t>
        </is>
      </c>
      <c r="E1057" t="inlineStr">
        <is>
          <t>OVANÅKER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22346-2024</t>
        </is>
      </c>
      <c r="B1058" s="1" t="n">
        <v>45446</v>
      </c>
      <c r="C1058" s="1" t="n">
        <v>45472</v>
      </c>
      <c r="D1058" t="inlineStr">
        <is>
          <t>GÄVLEBORGS LÄN</t>
        </is>
      </c>
      <c r="E1058" t="inlineStr">
        <is>
          <t>OVANÅKER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22347-2024</t>
        </is>
      </c>
      <c r="B1059" s="1" t="n">
        <v>45446</v>
      </c>
      <c r="C1059" s="1" t="n">
        <v>45472</v>
      </c>
      <c r="D1059" t="inlineStr">
        <is>
          <t>GÄVLEBORGS LÄN</t>
        </is>
      </c>
      <c r="E1059" t="inlineStr">
        <is>
          <t>OVANÅKER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45472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23038-2024</t>
        </is>
      </c>
      <c r="B1061" s="1" t="n">
        <v>45450</v>
      </c>
      <c r="C1061" s="1" t="n">
        <v>45472</v>
      </c>
      <c r="D1061" t="inlineStr">
        <is>
          <t>GÄVLEBORGS LÄN</t>
        </is>
      </c>
      <c r="E1061" t="inlineStr">
        <is>
          <t>OVANÅKER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23040-2024</t>
        </is>
      </c>
      <c r="B1062" s="1" t="n">
        <v>45450</v>
      </c>
      <c r="C1062" s="1" t="n">
        <v>45472</v>
      </c>
      <c r="D1062" t="inlineStr">
        <is>
          <t>GÄVLEBORGS LÄN</t>
        </is>
      </c>
      <c r="E1062" t="inlineStr">
        <is>
          <t>OVANÅKER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23447-2024</t>
        </is>
      </c>
      <c r="B1063" s="1" t="n">
        <v>45453</v>
      </c>
      <c r="C1063" s="1" t="n">
        <v>45472</v>
      </c>
      <c r="D1063" t="inlineStr">
        <is>
          <t>GÄVLEBORGS LÄN</t>
        </is>
      </c>
      <c r="E1063" t="inlineStr">
        <is>
          <t>OVANÅKER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23499-2024</t>
        </is>
      </c>
      <c r="B1064" s="1" t="n">
        <v>45453</v>
      </c>
      <c r="C1064" s="1" t="n">
        <v>45472</v>
      </c>
      <c r="D1064" t="inlineStr">
        <is>
          <t>GÄVLEBORGS LÄN</t>
        </is>
      </c>
      <c r="E1064" t="inlineStr">
        <is>
          <t>OVANÅKER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23442-2024</t>
        </is>
      </c>
      <c r="B1065" s="1" t="n">
        <v>45453</v>
      </c>
      <c r="C1065" s="1" t="n">
        <v>45472</v>
      </c>
      <c r="D1065" t="inlineStr">
        <is>
          <t>GÄVLEBORGS LÄN</t>
        </is>
      </c>
      <c r="E1065" t="inlineStr">
        <is>
          <t>OVANÅKER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23593-2024</t>
        </is>
      </c>
      <c r="B1066" s="1" t="n">
        <v>45454</v>
      </c>
      <c r="C1066" s="1" t="n">
        <v>45472</v>
      </c>
      <c r="D1066" t="inlineStr">
        <is>
          <t>GÄVLEBORGS LÄN</t>
        </is>
      </c>
      <c r="E1066" t="inlineStr">
        <is>
          <t>OVANÅKER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23588-2024</t>
        </is>
      </c>
      <c r="B1067" s="1" t="n">
        <v>45454</v>
      </c>
      <c r="C1067" s="1" t="n">
        <v>45472</v>
      </c>
      <c r="D1067" t="inlineStr">
        <is>
          <t>GÄVLEBORGS LÄN</t>
        </is>
      </c>
      <c r="E1067" t="inlineStr">
        <is>
          <t>OVANÅKER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23582-2024</t>
        </is>
      </c>
      <c r="B1068" s="1" t="n">
        <v>45454</v>
      </c>
      <c r="C1068" s="1" t="n">
        <v>45472</v>
      </c>
      <c r="D1068" t="inlineStr">
        <is>
          <t>GÄVLEBORGS LÄN</t>
        </is>
      </c>
      <c r="E1068" t="inlineStr">
        <is>
          <t>OVANÅKER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23604-2024</t>
        </is>
      </c>
      <c r="B1069" s="1" t="n">
        <v>45454</v>
      </c>
      <c r="C1069" s="1" t="n">
        <v>45472</v>
      </c>
      <c r="D1069" t="inlineStr">
        <is>
          <t>GÄVLEBORGS LÄN</t>
        </is>
      </c>
      <c r="E1069" t="inlineStr">
        <is>
          <t>OVANÅKER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45472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45472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45472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24067-2024</t>
        </is>
      </c>
      <c r="B1073" s="1" t="n">
        <v>45456</v>
      </c>
      <c r="C1073" s="1" t="n">
        <v>45472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24075-2024</t>
        </is>
      </c>
      <c r="B1074" s="1" t="n">
        <v>45456</v>
      </c>
      <c r="C1074" s="1" t="n">
        <v>45472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24079-2024</t>
        </is>
      </c>
      <c r="B1075" s="1" t="n">
        <v>45456</v>
      </c>
      <c r="C1075" s="1" t="n">
        <v>45472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24047-2024</t>
        </is>
      </c>
      <c r="B1076" s="1" t="n">
        <v>45456</v>
      </c>
      <c r="C1076" s="1" t="n">
        <v>45472</v>
      </c>
      <c r="D1076" t="inlineStr">
        <is>
          <t>GÄVLEBORGS LÄN</t>
        </is>
      </c>
      <c r="E1076" t="inlineStr">
        <is>
          <t>OVANÅKER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24134-2024</t>
        </is>
      </c>
      <c r="B1077" s="1" t="n">
        <v>45456</v>
      </c>
      <c r="C1077" s="1" t="n">
        <v>45472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24074-2024</t>
        </is>
      </c>
      <c r="B1078" s="1" t="n">
        <v>45456</v>
      </c>
      <c r="C1078" s="1" t="n">
        <v>45472</v>
      </c>
      <c r="D1078" t="inlineStr">
        <is>
          <t>GÄVLEBORGS LÄN</t>
        </is>
      </c>
      <c r="E1078" t="inlineStr">
        <is>
          <t>OVANÅKER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45472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45472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45472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45472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45472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24137-2024</t>
        </is>
      </c>
      <c r="B1084" s="1" t="n">
        <v>45456</v>
      </c>
      <c r="C1084" s="1" t="n">
        <v>45472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24293-2024</t>
        </is>
      </c>
      <c r="B1085" s="1" t="n">
        <v>45457</v>
      </c>
      <c r="C1085" s="1" t="n">
        <v>45472</v>
      </c>
      <c r="D1085" t="inlineStr">
        <is>
          <t>GÄVLEBORGS LÄN</t>
        </is>
      </c>
      <c r="E1085" t="inlineStr">
        <is>
          <t>OVANÅKER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45472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45472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24294-2024</t>
        </is>
      </c>
      <c r="B1088" s="1" t="n">
        <v>45457</v>
      </c>
      <c r="C1088" s="1" t="n">
        <v>45472</v>
      </c>
      <c r="D1088" t="inlineStr">
        <is>
          <t>GÄVLEBORGS LÄN</t>
        </is>
      </c>
      <c r="E1088" t="inlineStr">
        <is>
          <t>OVANÅKER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45472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24725-2024</t>
        </is>
      </c>
      <c r="B1090" s="1" t="n">
        <v>45460</v>
      </c>
      <c r="C1090" s="1" t="n">
        <v>45472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24671-2024</t>
        </is>
      </c>
      <c r="B1091" s="1" t="n">
        <v>45460</v>
      </c>
      <c r="C1091" s="1" t="n">
        <v>45472</v>
      </c>
      <c r="D1091" t="inlineStr">
        <is>
          <t>GÄVLEBORGS LÄN</t>
        </is>
      </c>
      <c r="E1091" t="inlineStr">
        <is>
          <t>OVANÅKER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24835-2024</t>
        </is>
      </c>
      <c r="B1092" s="1" t="n">
        <v>45461</v>
      </c>
      <c r="C1092" s="1" t="n">
        <v>45472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24954-2024</t>
        </is>
      </c>
      <c r="B1093" s="1" t="n">
        <v>45461</v>
      </c>
      <c r="C1093" s="1" t="n">
        <v>45472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24971-2024</t>
        </is>
      </c>
      <c r="B1094" s="1" t="n">
        <v>45461</v>
      </c>
      <c r="C1094" s="1" t="n">
        <v>45472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25003-2024</t>
        </is>
      </c>
      <c r="B1095" s="1" t="n">
        <v>45461</v>
      </c>
      <c r="C1095" s="1" t="n">
        <v>45472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25345-2024</t>
        </is>
      </c>
      <c r="B1096" s="1" t="n">
        <v>45463</v>
      </c>
      <c r="C1096" s="1" t="n">
        <v>45472</v>
      </c>
      <c r="D1096" t="inlineStr">
        <is>
          <t>GÄVLEBORGS LÄN</t>
        </is>
      </c>
      <c r="E1096" t="inlineStr">
        <is>
          <t>OVANÅKER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45472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25297-2024</t>
        </is>
      </c>
      <c r="B1098" s="1" t="n">
        <v>45462</v>
      </c>
      <c r="C1098" s="1" t="n">
        <v>45472</v>
      </c>
      <c r="D1098" t="inlineStr">
        <is>
          <t>GÄVLEBORGS LÄN</t>
        </is>
      </c>
      <c r="E1098" t="inlineStr">
        <is>
          <t>OVANÅKER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45472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25299-2024</t>
        </is>
      </c>
      <c r="B1100" s="1" t="n">
        <v>45462</v>
      </c>
      <c r="C1100" s="1" t="n">
        <v>45472</v>
      </c>
      <c r="D1100" t="inlineStr">
        <is>
          <t>GÄVLEBORGS LÄN</t>
        </is>
      </c>
      <c r="E1100" t="inlineStr">
        <is>
          <t>OVANÅKER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25411-2024</t>
        </is>
      </c>
      <c r="B1101" s="1" t="n">
        <v>45463</v>
      </c>
      <c r="C1101" s="1" t="n">
        <v>45472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45472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26027-2024</t>
        </is>
      </c>
      <c r="B1103" s="1" t="n">
        <v>45468</v>
      </c>
      <c r="C1103" s="1" t="n">
        <v>45472</v>
      </c>
      <c r="D1103" t="inlineStr">
        <is>
          <t>GÄVLEBORGS LÄN</t>
        </is>
      </c>
      <c r="E1103" t="inlineStr">
        <is>
          <t>OVANÅKER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26028-2024</t>
        </is>
      </c>
      <c r="B1104" s="1" t="n">
        <v>45468</v>
      </c>
      <c r="C1104" s="1" t="n">
        <v>45472</v>
      </c>
      <c r="D1104" t="inlineStr">
        <is>
          <t>GÄVLEBORGS LÄN</t>
        </is>
      </c>
      <c r="E1104" t="inlineStr">
        <is>
          <t>OVANÅKER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26735-2024</t>
        </is>
      </c>
      <c r="B1105" s="1" t="n">
        <v>45470</v>
      </c>
      <c r="C1105" s="1" t="n">
        <v>45472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26744-2024</t>
        </is>
      </c>
      <c r="B1106" s="1" t="n">
        <v>45470</v>
      </c>
      <c r="C1106" s="1" t="n">
        <v>45472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26767-2024</t>
        </is>
      </c>
      <c r="B1107" s="1" t="n">
        <v>45470</v>
      </c>
      <c r="C1107" s="1" t="n">
        <v>45472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26814-2024</t>
        </is>
      </c>
      <c r="B1108" s="1" t="n">
        <v>45470</v>
      </c>
      <c r="C1108" s="1" t="n">
        <v>45472</v>
      </c>
      <c r="D1108" t="inlineStr">
        <is>
          <t>GÄVLEBORGS LÄN</t>
        </is>
      </c>
      <c r="E1108" t="inlineStr">
        <is>
          <t>OVANÅKER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26829-2024</t>
        </is>
      </c>
      <c r="B1109" s="1" t="n">
        <v>45470</v>
      </c>
      <c r="C1109" s="1" t="n">
        <v>45472</v>
      </c>
      <c r="D1109" t="inlineStr">
        <is>
          <t>GÄVLEBORGS LÄN</t>
        </is>
      </c>
      <c r="E1109" t="inlineStr">
        <is>
          <t>OVANÅKER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26984-2024</t>
        </is>
      </c>
      <c r="B1110" s="1" t="n">
        <v>45471</v>
      </c>
      <c r="C1110" s="1" t="n">
        <v>45472</v>
      </c>
      <c r="D1110" t="inlineStr">
        <is>
          <t>GÄVLEBORGS LÄN</t>
        </is>
      </c>
      <c r="E1110" t="inlineStr">
        <is>
          <t>OVANÅKER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27215-2024</t>
        </is>
      </c>
      <c r="B1111" s="1" t="n">
        <v>45471</v>
      </c>
      <c r="C1111" s="1" t="n">
        <v>45472</v>
      </c>
      <c r="D1111" t="inlineStr">
        <is>
          <t>GÄVLEBORGS LÄN</t>
        </is>
      </c>
      <c r="E1111" t="inlineStr">
        <is>
          <t>OVANÅKER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2024-06-29T13:59:48Z</dcterms:created>
  <dcterms:modified xmlns:dcterms="http://purl.org/dc/terms/" xmlns:xsi="http://www.w3.org/2001/XMLSchema-instance" xsi:type="dcterms:W3CDTF">2024-06-29T13:59:49Z</dcterms:modified>
</cp:coreProperties>
</file>