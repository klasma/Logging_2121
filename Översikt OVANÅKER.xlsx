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45996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45996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45996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45996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45996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45996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45996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45996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45996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45996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45996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45996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45996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6288-2025</t>
        </is>
      </c>
      <c r="B15" s="1" t="n">
        <v>45698.64865740741</v>
      </c>
      <c r="C15" s="1" t="n">
        <v>45996</v>
      </c>
      <c r="D15" t="inlineStr">
        <is>
          <t>GÄVLEBORGS LÄN</t>
        </is>
      </c>
      <c r="E15" t="inlineStr">
        <is>
          <t>OVANÅKER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Stiftgelélav
Skinnlav</t>
        </is>
      </c>
      <c r="S15">
        <f>HYPERLINK("https://klasma.github.io/Logging_2121/artfynd/A 6288-2025 artfynd.xlsx", "A 6288-2025")</f>
        <v/>
      </c>
      <c r="T15">
        <f>HYPERLINK("https://klasma.github.io/Logging_2121/kartor/A 6288-2025 karta.png", "A 6288-2025")</f>
        <v/>
      </c>
      <c r="V15">
        <f>HYPERLINK("https://klasma.github.io/Logging_2121/klagomål/A 6288-2025 FSC-klagomål.docx", "A 6288-2025")</f>
        <v/>
      </c>
      <c r="W15">
        <f>HYPERLINK("https://klasma.github.io/Logging_2121/klagomålsmail/A 6288-2025 FSC-klagomål mail.docx", "A 6288-2025")</f>
        <v/>
      </c>
      <c r="X15">
        <f>HYPERLINK("https://klasma.github.io/Logging_2121/tillsyn/A 6288-2025 tillsynsbegäran.docx", "A 6288-2025")</f>
        <v/>
      </c>
      <c r="Y15">
        <f>HYPERLINK("https://klasma.github.io/Logging_2121/tillsynsmail/A 6288-2025 tillsynsbegäran mail.docx", "A 6288-2025")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45996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45996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35350-2024</t>
        </is>
      </c>
      <c r="B18" s="1" t="n">
        <v>45531</v>
      </c>
      <c r="C18" s="1" t="n">
        <v>45996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35350-2024 artfynd.xlsx", "A 35350-2024")</f>
        <v/>
      </c>
      <c r="T18">
        <f>HYPERLINK("https://klasma.github.io/Logging_2121/kartor/A 35350-2024 karta.png", "A 35350-2024")</f>
        <v/>
      </c>
      <c r="V18">
        <f>HYPERLINK("https://klasma.github.io/Logging_2121/klagomål/A 35350-2024 FSC-klagomål.docx", "A 35350-2024")</f>
        <v/>
      </c>
      <c r="W18">
        <f>HYPERLINK("https://klasma.github.io/Logging_2121/klagomålsmail/A 35350-2024 FSC-klagomål mail.docx", "A 35350-2024")</f>
        <v/>
      </c>
      <c r="X18">
        <f>HYPERLINK("https://klasma.github.io/Logging_2121/tillsyn/A 35350-2024 tillsynsbegäran.docx", "A 35350-2024")</f>
        <v/>
      </c>
      <c r="Y18">
        <f>HYPERLINK("https://klasma.github.io/Logging_2121/tillsynsmail/A 35350-2024 tillsynsbegäran mail.docx", "A 35350-2024")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45996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45996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45996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45996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34219-2021</t>
        </is>
      </c>
      <c r="B23" s="1" t="n">
        <v>44379</v>
      </c>
      <c r="C23" s="1" t="n">
        <v>45996</v>
      </c>
      <c r="D23" t="inlineStr">
        <is>
          <t>GÄVLEBORGS LÄN</t>
        </is>
      </c>
      <c r="E23" t="inlineStr">
        <is>
          <t>OVANÅKER</t>
        </is>
      </c>
      <c r="F23" t="inlineStr">
        <is>
          <t>Kyrkan</t>
        </is>
      </c>
      <c r="G23" t="n">
        <v>24.7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flugsnappare</t>
        </is>
      </c>
      <c r="S23">
        <f>HYPERLINK("https://klasma.github.io/Logging_2121/artfynd/A 34219-2021 artfynd.xlsx", "A 34219-2021")</f>
        <v/>
      </c>
      <c r="T23">
        <f>HYPERLINK("https://klasma.github.io/Logging_2121/kartor/A 34219-2021 karta.png", "A 34219-2021")</f>
        <v/>
      </c>
      <c r="V23">
        <f>HYPERLINK("https://klasma.github.io/Logging_2121/klagomål/A 34219-2021 FSC-klagomål.docx", "A 34219-2021")</f>
        <v/>
      </c>
      <c r="W23">
        <f>HYPERLINK("https://klasma.github.io/Logging_2121/klagomålsmail/A 34219-2021 FSC-klagomål mail.docx", "A 34219-2021")</f>
        <v/>
      </c>
      <c r="X23">
        <f>HYPERLINK("https://klasma.github.io/Logging_2121/tillsyn/A 34219-2021 tillsynsbegäran.docx", "A 34219-2021")</f>
        <v/>
      </c>
      <c r="Y23">
        <f>HYPERLINK("https://klasma.github.io/Logging_2121/tillsynsmail/A 34219-2021 tillsynsbegäran mail.docx", "A 34219-2021")</f>
        <v/>
      </c>
      <c r="Z23">
        <f>HYPERLINK("https://klasma.github.io/Logging_2121/fåglar/A 34219-2021 prioriterade fågelarter.docx", "A 34219-2021")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45996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29873-2021</t>
        </is>
      </c>
      <c r="B25" s="1" t="n">
        <v>44362.68620370371</v>
      </c>
      <c r="C25" s="1" t="n">
        <v>45996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29873-2021 artfynd.xlsx", "A 29873-2021")</f>
        <v/>
      </c>
      <c r="T25">
        <f>HYPERLINK("https://klasma.github.io/Logging_2121/kartor/A 29873-2021 karta.png", "A 29873-2021")</f>
        <v/>
      </c>
      <c r="V25">
        <f>HYPERLINK("https://klasma.github.io/Logging_2121/klagomål/A 29873-2021 FSC-klagomål.docx", "A 29873-2021")</f>
        <v/>
      </c>
      <c r="W25">
        <f>HYPERLINK("https://klasma.github.io/Logging_2121/klagomålsmail/A 29873-2021 FSC-klagomål mail.docx", "A 29873-2021")</f>
        <v/>
      </c>
      <c r="X25">
        <f>HYPERLINK("https://klasma.github.io/Logging_2121/tillsyn/A 29873-2021 tillsynsbegäran.docx", "A 29873-2021")</f>
        <v/>
      </c>
      <c r="Y25">
        <f>HYPERLINK("https://klasma.github.io/Logging_2121/tillsynsmail/A 29873-2021 tillsynsbegäran mail.docx", "A 29873-2021")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45996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45996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45996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45996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45996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45996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45996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45996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45996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45996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45996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14261-2021</t>
        </is>
      </c>
      <c r="B37" s="1" t="n">
        <v>44278</v>
      </c>
      <c r="C37" s="1" t="n">
        <v>45996</v>
      </c>
      <c r="D37" t="inlineStr">
        <is>
          <t>GÄVLEBORGS LÄN</t>
        </is>
      </c>
      <c r="E37" t="inlineStr">
        <is>
          <t>OVANÅKER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45996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45996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45996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62595-2021</t>
        </is>
      </c>
      <c r="B41" s="1" t="n">
        <v>44503.67311342592</v>
      </c>
      <c r="C41" s="1" t="n">
        <v>45996</v>
      </c>
      <c r="D41" t="inlineStr">
        <is>
          <t>GÄVLEBORGS LÄN</t>
        </is>
      </c>
      <c r="E41" t="inlineStr">
        <is>
          <t>OVANÅKER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45996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45996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45996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45996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34260-2021</t>
        </is>
      </c>
      <c r="B46" s="1" t="n">
        <v>44379</v>
      </c>
      <c r="C46" s="1" t="n">
        <v>45996</v>
      </c>
      <c r="D46" t="inlineStr">
        <is>
          <t>GÄVLEBORGS LÄN</t>
        </is>
      </c>
      <c r="E46" t="inlineStr">
        <is>
          <t>OVANÅKER</t>
        </is>
      </c>
      <c r="F46" t="inlineStr">
        <is>
          <t>Kyrkan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34200-2021</t>
        </is>
      </c>
      <c r="B47" s="1" t="n">
        <v>44379</v>
      </c>
      <c r="C47" s="1" t="n">
        <v>45996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16.3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24344-2021</t>
        </is>
      </c>
      <c r="B48" s="1" t="n">
        <v>44337.40543981481</v>
      </c>
      <c r="C48" s="1" t="n">
        <v>45996</v>
      </c>
      <c r="D48" t="inlineStr">
        <is>
          <t>GÄVLEBORGS LÄN</t>
        </is>
      </c>
      <c r="E48" t="inlineStr">
        <is>
          <t>OVANÅKER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45996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29676-2022</t>
        </is>
      </c>
      <c r="B50" s="1" t="n">
        <v>44754</v>
      </c>
      <c r="C50" s="1" t="n">
        <v>45996</v>
      </c>
      <c r="D50" t="inlineStr">
        <is>
          <t>GÄVLEBORGS LÄN</t>
        </is>
      </c>
      <c r="E50" t="inlineStr">
        <is>
          <t>OVANÅKER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30168-2022</t>
        </is>
      </c>
      <c r="B51" s="1" t="n">
        <v>44757.56515046296</v>
      </c>
      <c r="C51" s="1" t="n">
        <v>45996</v>
      </c>
      <c r="D51" t="inlineStr">
        <is>
          <t>GÄVLEBORGS LÄN</t>
        </is>
      </c>
      <c r="E51" t="inlineStr">
        <is>
          <t>OVANÅKER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30424-2021</t>
        </is>
      </c>
      <c r="B52" s="1" t="n">
        <v>44364.55576388889</v>
      </c>
      <c r="C52" s="1" t="n">
        <v>45996</v>
      </c>
      <c r="D52" t="inlineStr">
        <is>
          <t>GÄVLEBORGS LÄN</t>
        </is>
      </c>
      <c r="E52" t="inlineStr">
        <is>
          <t>OVANÅKER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45996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45996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45996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45996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14413-2021</t>
        </is>
      </c>
      <c r="B57" s="1" t="n">
        <v>44279</v>
      </c>
      <c r="C57" s="1" t="n">
        <v>45996</v>
      </c>
      <c r="D57" t="inlineStr">
        <is>
          <t>GÄVLEBORGS LÄN</t>
        </is>
      </c>
      <c r="E57" t="inlineStr">
        <is>
          <t>OVANÅKER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23029-2022</t>
        </is>
      </c>
      <c r="B58" s="1" t="n">
        <v>44719</v>
      </c>
      <c r="C58" s="1" t="n">
        <v>45996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67188-2021</t>
        </is>
      </c>
      <c r="B59" s="1" t="n">
        <v>44523.44744212963</v>
      </c>
      <c r="C59" s="1" t="n">
        <v>45996</v>
      </c>
      <c r="D59" t="inlineStr">
        <is>
          <t>GÄVLEBORGS LÄN</t>
        </is>
      </c>
      <c r="E59" t="inlineStr">
        <is>
          <t>OVANÅKER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45996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51252-2022</t>
        </is>
      </c>
      <c r="B61" s="1" t="n">
        <v>44868</v>
      </c>
      <c r="C61" s="1" t="n">
        <v>45996</v>
      </c>
      <c r="D61" t="inlineStr">
        <is>
          <t>GÄVLEBORGS LÄN</t>
        </is>
      </c>
      <c r="E61" t="inlineStr">
        <is>
          <t>OVANÅKER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45996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45996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45996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45996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45996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45996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45996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54731-2022</t>
        </is>
      </c>
      <c r="B69" s="1" t="n">
        <v>44883</v>
      </c>
      <c r="C69" s="1" t="n">
        <v>45996</v>
      </c>
      <c r="D69" t="inlineStr">
        <is>
          <t>GÄVLEBORGS LÄN</t>
        </is>
      </c>
      <c r="E69" t="inlineStr">
        <is>
          <t>OVANÅKER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18350-2021</t>
        </is>
      </c>
      <c r="B70" s="1" t="n">
        <v>44305</v>
      </c>
      <c r="C70" s="1" t="n">
        <v>45996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21709-2021</t>
        </is>
      </c>
      <c r="B71" s="1" t="n">
        <v>44322</v>
      </c>
      <c r="C71" s="1" t="n">
        <v>45996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45996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26269-2021</t>
        </is>
      </c>
      <c r="B73" s="1" t="n">
        <v>44347.50230324074</v>
      </c>
      <c r="C73" s="1" t="n">
        <v>45996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69304-2020</t>
        </is>
      </c>
      <c r="B74" s="1" t="n">
        <v>44188</v>
      </c>
      <c r="C74" s="1" t="n">
        <v>45996</v>
      </c>
      <c r="D74" t="inlineStr">
        <is>
          <t>GÄVLEBORGS LÄN</t>
        </is>
      </c>
      <c r="E74" t="inlineStr">
        <is>
          <t>OVANÅKER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45996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48811-2022</t>
        </is>
      </c>
      <c r="B76" s="1" t="n">
        <v>44859</v>
      </c>
      <c r="C76" s="1" t="n">
        <v>45996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20089-2021</t>
        </is>
      </c>
      <c r="B77" s="1" t="n">
        <v>44314.43032407408</v>
      </c>
      <c r="C77" s="1" t="n">
        <v>45996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20095-2021</t>
        </is>
      </c>
      <c r="B78" s="1" t="n">
        <v>44314</v>
      </c>
      <c r="C78" s="1" t="n">
        <v>45996</v>
      </c>
      <c r="D78" t="inlineStr">
        <is>
          <t>GÄVLEBORGS LÄN</t>
        </is>
      </c>
      <c r="E78" t="inlineStr">
        <is>
          <t>OVANÅKER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45996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45273-2021</t>
        </is>
      </c>
      <c r="B80" s="1" t="n">
        <v>44439.64582175926</v>
      </c>
      <c r="C80" s="1" t="n">
        <v>45996</v>
      </c>
      <c r="D80" t="inlineStr">
        <is>
          <t>GÄVLEBORGS LÄN</t>
        </is>
      </c>
      <c r="E80" t="inlineStr">
        <is>
          <t>OVANÅKER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45996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45996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45996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12207-2021</t>
        </is>
      </c>
      <c r="B84" s="1" t="n">
        <v>44266.65435185185</v>
      </c>
      <c r="C84" s="1" t="n">
        <v>45996</v>
      </c>
      <c r="D84" t="inlineStr">
        <is>
          <t>GÄVLEBORGS LÄN</t>
        </is>
      </c>
      <c r="E84" t="inlineStr">
        <is>
          <t>OVANÅKER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45996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45996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45996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45996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45996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17959-2021</t>
        </is>
      </c>
      <c r="B90" s="1" t="n">
        <v>44301</v>
      </c>
      <c r="C90" s="1" t="n">
        <v>45996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9635-2022</t>
        </is>
      </c>
      <c r="B91" s="1" t="n">
        <v>44617</v>
      </c>
      <c r="C91" s="1" t="n">
        <v>45996</v>
      </c>
      <c r="D91" t="inlineStr">
        <is>
          <t>GÄVLEBORGS LÄN</t>
        </is>
      </c>
      <c r="E91" t="inlineStr">
        <is>
          <t>OVANÅKER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45996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33180-2021</t>
        </is>
      </c>
      <c r="B93" s="1" t="n">
        <v>44376</v>
      </c>
      <c r="C93" s="1" t="n">
        <v>45996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26752-2021</t>
        </is>
      </c>
      <c r="B94" s="1" t="n">
        <v>44349.41986111111</v>
      </c>
      <c r="C94" s="1" t="n">
        <v>45996</v>
      </c>
      <c r="D94" t="inlineStr">
        <is>
          <t>GÄVLEBORGS LÄN</t>
        </is>
      </c>
      <c r="E94" t="inlineStr">
        <is>
          <t>OVANÅKER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9980-2022</t>
        </is>
      </c>
      <c r="B95" s="1" t="n">
        <v>44621</v>
      </c>
      <c r="C95" s="1" t="n">
        <v>45996</v>
      </c>
      <c r="D95" t="inlineStr">
        <is>
          <t>GÄVLEBORGS LÄN</t>
        </is>
      </c>
      <c r="E95" t="inlineStr">
        <is>
          <t>OVANÅKER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10542-2021</t>
        </is>
      </c>
      <c r="B96" s="1" t="n">
        <v>44258.39831018518</v>
      </c>
      <c r="C96" s="1" t="n">
        <v>45996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59442-2021</t>
        </is>
      </c>
      <c r="B97" s="1" t="n">
        <v>44491</v>
      </c>
      <c r="C97" s="1" t="n">
        <v>45996</v>
      </c>
      <c r="D97" t="inlineStr">
        <is>
          <t>GÄVLEBORGS LÄN</t>
        </is>
      </c>
      <c r="E97" t="inlineStr">
        <is>
          <t>OVANÅKER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40403-2022</t>
        </is>
      </c>
      <c r="B98" s="1" t="n">
        <v>44823</v>
      </c>
      <c r="C98" s="1" t="n">
        <v>45996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9593-2022</t>
        </is>
      </c>
      <c r="B99" s="1" t="n">
        <v>44617</v>
      </c>
      <c r="C99" s="1" t="n">
        <v>45996</v>
      </c>
      <c r="D99" t="inlineStr">
        <is>
          <t>GÄVLEBORGS LÄN</t>
        </is>
      </c>
      <c r="E99" t="inlineStr">
        <is>
          <t>OVANÅKER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2946-2022</t>
        </is>
      </c>
      <c r="B100" s="1" t="n">
        <v>44581.62998842593</v>
      </c>
      <c r="C100" s="1" t="n">
        <v>45996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24075-2021</t>
        </is>
      </c>
      <c r="B101" s="1" t="n">
        <v>44336.41662037037</v>
      </c>
      <c r="C101" s="1" t="n">
        <v>45996</v>
      </c>
      <c r="D101" t="inlineStr">
        <is>
          <t>GÄVLEBORGS LÄN</t>
        </is>
      </c>
      <c r="E101" t="inlineStr">
        <is>
          <t>OVANÅKER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20926-2022</t>
        </is>
      </c>
      <c r="B102" s="1" t="n">
        <v>44701</v>
      </c>
      <c r="C102" s="1" t="n">
        <v>45996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25087-2022</t>
        </is>
      </c>
      <c r="B103" s="1" t="n">
        <v>44729</v>
      </c>
      <c r="C103" s="1" t="n">
        <v>45996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54080-2021</t>
        </is>
      </c>
      <c r="B104" s="1" t="n">
        <v>44470.4640625</v>
      </c>
      <c r="C104" s="1" t="n">
        <v>45996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53174-2022</t>
        </is>
      </c>
      <c r="B105" s="1" t="n">
        <v>44876</v>
      </c>
      <c r="C105" s="1" t="n">
        <v>45996</v>
      </c>
      <c r="D105" t="inlineStr">
        <is>
          <t>GÄVLEBORGS LÄN</t>
        </is>
      </c>
      <c r="E105" t="inlineStr">
        <is>
          <t>OVANÅKER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45996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46823-2022</t>
        </is>
      </c>
      <c r="B107" s="1" t="n">
        <v>44851.56997685185</v>
      </c>
      <c r="C107" s="1" t="n">
        <v>45996</v>
      </c>
      <c r="D107" t="inlineStr">
        <is>
          <t>GÄVLEBORGS LÄN</t>
        </is>
      </c>
      <c r="E107" t="inlineStr">
        <is>
          <t>OVANÅKER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65-2022</t>
        </is>
      </c>
      <c r="B108" s="1" t="n">
        <v>44564.46445601852</v>
      </c>
      <c r="C108" s="1" t="n">
        <v>45996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52046-2021</t>
        </is>
      </c>
      <c r="B109" s="1" t="n">
        <v>44463.36844907407</v>
      </c>
      <c r="C109" s="1" t="n">
        <v>45996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12012-2024</t>
        </is>
      </c>
      <c r="B110" s="1" t="n">
        <v>45377.3384375</v>
      </c>
      <c r="C110" s="1" t="n">
        <v>45996</v>
      </c>
      <c r="D110" t="inlineStr">
        <is>
          <t>GÄVLEBORGS LÄN</t>
        </is>
      </c>
      <c r="E110" t="inlineStr">
        <is>
          <t>OVANÅKER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48369-2022</t>
        </is>
      </c>
      <c r="B111" s="1" t="n">
        <v>44858.58332175926</v>
      </c>
      <c r="C111" s="1" t="n">
        <v>45996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69001-2021</t>
        </is>
      </c>
      <c r="B112" s="1" t="n">
        <v>44530</v>
      </c>
      <c r="C112" s="1" t="n">
        <v>45996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45996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17665-2025</t>
        </is>
      </c>
      <c r="B114" s="1" t="n">
        <v>45758.36224537037</v>
      </c>
      <c r="C114" s="1" t="n">
        <v>45996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17668-2025</t>
        </is>
      </c>
      <c r="B115" s="1" t="n">
        <v>45758.36554398148</v>
      </c>
      <c r="C115" s="1" t="n">
        <v>45996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17677-2025</t>
        </is>
      </c>
      <c r="B116" s="1" t="n">
        <v>45758.37188657407</v>
      </c>
      <c r="C116" s="1" t="n">
        <v>45996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748-2021</t>
        </is>
      </c>
      <c r="B117" s="1" t="n">
        <v>44204</v>
      </c>
      <c r="C117" s="1" t="n">
        <v>45996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19818-2025</t>
        </is>
      </c>
      <c r="B118" s="1" t="n">
        <v>45771.4608912037</v>
      </c>
      <c r="C118" s="1" t="n">
        <v>45996</v>
      </c>
      <c r="D118" t="inlineStr">
        <is>
          <t>GÄVLEBORGS LÄN</t>
        </is>
      </c>
      <c r="E118" t="inlineStr">
        <is>
          <t>OVANÅKER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67475-2020</t>
        </is>
      </c>
      <c r="B119" s="1" t="n">
        <v>44181.63351851852</v>
      </c>
      <c r="C119" s="1" t="n">
        <v>45996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31404-2023</t>
        </is>
      </c>
      <c r="B120" s="1" t="n">
        <v>45114.58046296296</v>
      </c>
      <c r="C120" s="1" t="n">
        <v>45996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13901-2021</t>
        </is>
      </c>
      <c r="B121" s="1" t="n">
        <v>44277</v>
      </c>
      <c r="C121" s="1" t="n">
        <v>45996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45996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55403-2021</t>
        </is>
      </c>
      <c r="B123" s="1" t="n">
        <v>44475.53581018518</v>
      </c>
      <c r="C123" s="1" t="n">
        <v>45996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35053-2022</t>
        </is>
      </c>
      <c r="B124" s="1" t="n">
        <v>44797</v>
      </c>
      <c r="C124" s="1" t="n">
        <v>45996</v>
      </c>
      <c r="D124" t="inlineStr">
        <is>
          <t>GÄVLEBORGS LÄN</t>
        </is>
      </c>
      <c r="E124" t="inlineStr">
        <is>
          <t>OVANÅKER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41451-2023</t>
        </is>
      </c>
      <c r="B125" s="1" t="n">
        <v>45175.38716435185</v>
      </c>
      <c r="C125" s="1" t="n">
        <v>45996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30374-2022</t>
        </is>
      </c>
      <c r="B126" s="1" t="n">
        <v>44760.65425925926</v>
      </c>
      <c r="C126" s="1" t="n">
        <v>45996</v>
      </c>
      <c r="D126" t="inlineStr">
        <is>
          <t>GÄVLEBORGS LÄN</t>
        </is>
      </c>
      <c r="E126" t="inlineStr">
        <is>
          <t>OVANÅKER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22416-2021</t>
        </is>
      </c>
      <c r="B127" s="1" t="n">
        <v>44326.62326388889</v>
      </c>
      <c r="C127" s="1" t="n">
        <v>45996</v>
      </c>
      <c r="D127" t="inlineStr">
        <is>
          <t>GÄVLEBORGS LÄN</t>
        </is>
      </c>
      <c r="E127" t="inlineStr">
        <is>
          <t>OVANÅKER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41529-2021</t>
        </is>
      </c>
      <c r="B128" s="1" t="n">
        <v>44425.33693287037</v>
      </c>
      <c r="C128" s="1" t="n">
        <v>45996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80-2022</t>
        </is>
      </c>
      <c r="B129" s="1" t="n">
        <v>44564.47640046296</v>
      </c>
      <c r="C129" s="1" t="n">
        <v>45996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56455-2022</t>
        </is>
      </c>
      <c r="B130" s="1" t="n">
        <v>44893.31280092592</v>
      </c>
      <c r="C130" s="1" t="n">
        <v>45996</v>
      </c>
      <c r="D130" t="inlineStr">
        <is>
          <t>GÄVLEBORGS LÄN</t>
        </is>
      </c>
      <c r="E130" t="inlineStr">
        <is>
          <t>OVANÅKER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45996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26806-2021</t>
        </is>
      </c>
      <c r="B132" s="1" t="n">
        <v>44349.54518518518</v>
      </c>
      <c r="C132" s="1" t="n">
        <v>45996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57776-2022</t>
        </is>
      </c>
      <c r="B133" s="1" t="n">
        <v>44897</v>
      </c>
      <c r="C133" s="1" t="n">
        <v>45996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54273-2024</t>
        </is>
      </c>
      <c r="B134" s="1" t="n">
        <v>45616.82413194444</v>
      </c>
      <c r="C134" s="1" t="n">
        <v>45996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29762-2022</t>
        </is>
      </c>
      <c r="B135" s="1" t="n">
        <v>44755.60700231481</v>
      </c>
      <c r="C135" s="1" t="n">
        <v>45996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3115-2025</t>
        </is>
      </c>
      <c r="B136" s="1" t="n">
        <v>45678.70383101852</v>
      </c>
      <c r="C136" s="1" t="n">
        <v>45996</v>
      </c>
      <c r="D136" t="inlineStr">
        <is>
          <t>GÄVLEBORGS LÄN</t>
        </is>
      </c>
      <c r="E136" t="inlineStr">
        <is>
          <t>OVANÅKER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16424-2025</t>
        </is>
      </c>
      <c r="B137" s="1" t="n">
        <v>45751.47364583334</v>
      </c>
      <c r="C137" s="1" t="n">
        <v>45996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4689-2025</t>
        </is>
      </c>
      <c r="B138" s="1" t="n">
        <v>45688.33554398148</v>
      </c>
      <c r="C138" s="1" t="n">
        <v>45996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31356-2022</t>
        </is>
      </c>
      <c r="B139" s="1" t="n">
        <v>44774.57127314815</v>
      </c>
      <c r="C139" s="1" t="n">
        <v>45996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36257-2024</t>
        </is>
      </c>
      <c r="B140" s="1" t="n">
        <v>45534</v>
      </c>
      <c r="C140" s="1" t="n">
        <v>45996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3877-2024</t>
        </is>
      </c>
      <c r="B141" s="1" t="n">
        <v>45322</v>
      </c>
      <c r="C141" s="1" t="n">
        <v>45996</v>
      </c>
      <c r="D141" t="inlineStr">
        <is>
          <t>GÄVLEBORGS LÄN</t>
        </is>
      </c>
      <c r="E141" t="inlineStr">
        <is>
          <t>OVANÅKER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39862-2023</t>
        </is>
      </c>
      <c r="B142" s="1" t="n">
        <v>45168.38649305556</v>
      </c>
      <c r="C142" s="1" t="n">
        <v>45996</v>
      </c>
      <c r="D142" t="inlineStr">
        <is>
          <t>GÄVLEBORGS LÄN</t>
        </is>
      </c>
      <c r="E142" t="inlineStr">
        <is>
          <t>OVANÅKER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45996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45996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1072-2025</t>
        </is>
      </c>
      <c r="B145" s="1" t="n">
        <v>45666.59835648148</v>
      </c>
      <c r="C145" s="1" t="n">
        <v>45996</v>
      </c>
      <c r="D145" t="inlineStr">
        <is>
          <t>GÄVLEBORGS LÄN</t>
        </is>
      </c>
      <c r="E145" t="inlineStr">
        <is>
          <t>OVANÅKER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25250-2024</t>
        </is>
      </c>
      <c r="B146" s="1" t="n">
        <v>45462.60744212963</v>
      </c>
      <c r="C146" s="1" t="n">
        <v>45996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50791-2024</t>
        </is>
      </c>
      <c r="B147" s="1" t="n">
        <v>45602.47328703704</v>
      </c>
      <c r="C147" s="1" t="n">
        <v>45996</v>
      </c>
      <c r="D147" t="inlineStr">
        <is>
          <t>GÄVLEBORGS LÄN</t>
        </is>
      </c>
      <c r="E147" t="inlineStr">
        <is>
          <t>OVANÅKER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25187-2023</t>
        </is>
      </c>
      <c r="B148" s="1" t="n">
        <v>45086.56450231482</v>
      </c>
      <c r="C148" s="1" t="n">
        <v>45996</v>
      </c>
      <c r="D148" t="inlineStr">
        <is>
          <t>GÄVLEBORGS LÄN</t>
        </is>
      </c>
      <c r="E148" t="inlineStr">
        <is>
          <t>OVANÅKER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21263-2024</t>
        </is>
      </c>
      <c r="B149" s="1" t="n">
        <v>45440</v>
      </c>
      <c r="C149" s="1" t="n">
        <v>45996</v>
      </c>
      <c r="D149" t="inlineStr">
        <is>
          <t>GÄVLEBORGS LÄN</t>
        </is>
      </c>
      <c r="E149" t="inlineStr">
        <is>
          <t>OVANÅKER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44347-2023</t>
        </is>
      </c>
      <c r="B150" s="1" t="n">
        <v>45188.72041666666</v>
      </c>
      <c r="C150" s="1" t="n">
        <v>45996</v>
      </c>
      <c r="D150" t="inlineStr">
        <is>
          <t>GÄVLEBORGS LÄN</t>
        </is>
      </c>
      <c r="E150" t="inlineStr">
        <is>
          <t>OVANÅKER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46709-2022</t>
        </is>
      </c>
      <c r="B151" s="1" t="n">
        <v>44851.38769675926</v>
      </c>
      <c r="C151" s="1" t="n">
        <v>45996</v>
      </c>
      <c r="D151" t="inlineStr">
        <is>
          <t>GÄVLEBORGS LÄN</t>
        </is>
      </c>
      <c r="E151" t="inlineStr">
        <is>
          <t>OVANÅKER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42324-2024</t>
        </is>
      </c>
      <c r="B152" s="1" t="n">
        <v>45562.6505787037</v>
      </c>
      <c r="C152" s="1" t="n">
        <v>45996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44571-2024</t>
        </is>
      </c>
      <c r="B153" s="1" t="n">
        <v>45574</v>
      </c>
      <c r="C153" s="1" t="n">
        <v>45996</v>
      </c>
      <c r="D153" t="inlineStr">
        <is>
          <t>GÄVLEBORGS LÄN</t>
        </is>
      </c>
      <c r="E153" t="inlineStr">
        <is>
          <t>OVANÅKER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44577-2024</t>
        </is>
      </c>
      <c r="B154" s="1" t="n">
        <v>45574.4846875</v>
      </c>
      <c r="C154" s="1" t="n">
        <v>45996</v>
      </c>
      <c r="D154" t="inlineStr">
        <is>
          <t>GÄVLEBORGS LÄN</t>
        </is>
      </c>
      <c r="E154" t="inlineStr">
        <is>
          <t>OVANÅKER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51127-2022</t>
        </is>
      </c>
      <c r="B155" s="1" t="n">
        <v>44868.47707175926</v>
      </c>
      <c r="C155" s="1" t="n">
        <v>45996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43274-2023</t>
        </is>
      </c>
      <c r="B156" s="1" t="n">
        <v>45183.54471064815</v>
      </c>
      <c r="C156" s="1" t="n">
        <v>45996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45996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438-2025</t>
        </is>
      </c>
      <c r="B158" s="1" t="n">
        <v>45664.38258101852</v>
      </c>
      <c r="C158" s="1" t="n">
        <v>45996</v>
      </c>
      <c r="D158" t="inlineStr">
        <is>
          <t>GÄVLEBORGS LÄN</t>
        </is>
      </c>
      <c r="E158" t="inlineStr">
        <is>
          <t>OVANÅKER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11940-2025</t>
        </is>
      </c>
      <c r="B159" s="1" t="n">
        <v>45728.5352662037</v>
      </c>
      <c r="C159" s="1" t="n">
        <v>45996</v>
      </c>
      <c r="D159" t="inlineStr">
        <is>
          <t>GÄVLEBORGS LÄN</t>
        </is>
      </c>
      <c r="E159" t="inlineStr">
        <is>
          <t>OVANÅKER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11964-2025</t>
        </is>
      </c>
      <c r="B160" s="1" t="n">
        <v>45728.57576388889</v>
      </c>
      <c r="C160" s="1" t="n">
        <v>45996</v>
      </c>
      <c r="D160" t="inlineStr">
        <is>
          <t>GÄVLEBORGS LÄN</t>
        </is>
      </c>
      <c r="E160" t="inlineStr">
        <is>
          <t>OVANÅKER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5271-2023</t>
        </is>
      </c>
      <c r="B161" s="1" t="n">
        <v>44959.48050925926</v>
      </c>
      <c r="C161" s="1" t="n">
        <v>45996</v>
      </c>
      <c r="D161" t="inlineStr">
        <is>
          <t>GÄVLEBORGS LÄN</t>
        </is>
      </c>
      <c r="E161" t="inlineStr">
        <is>
          <t>OVANÅKER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5300-2023</t>
        </is>
      </c>
      <c r="B162" s="1" t="n">
        <v>44959.54719907408</v>
      </c>
      <c r="C162" s="1" t="n">
        <v>45996</v>
      </c>
      <c r="D162" t="inlineStr">
        <is>
          <t>GÄVLEBORGS LÄN</t>
        </is>
      </c>
      <c r="E162" t="inlineStr">
        <is>
          <t>OVANÅKER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53445-2022</t>
        </is>
      </c>
      <c r="B163" s="1" t="n">
        <v>44879.48770833333</v>
      </c>
      <c r="C163" s="1" t="n">
        <v>45996</v>
      </c>
      <c r="D163" t="inlineStr">
        <is>
          <t>GÄVLEBORGS LÄN</t>
        </is>
      </c>
      <c r="E163" t="inlineStr">
        <is>
          <t>OVANÅKER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51005-2024</t>
        </is>
      </c>
      <c r="B164" s="1" t="n">
        <v>45603</v>
      </c>
      <c r="C164" s="1" t="n">
        <v>45996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36048-2024</t>
        </is>
      </c>
      <c r="B165" s="1" t="n">
        <v>45533.61841435185</v>
      </c>
      <c r="C165" s="1" t="n">
        <v>45996</v>
      </c>
      <c r="D165" t="inlineStr">
        <is>
          <t>GÄVLEBORGS LÄN</t>
        </is>
      </c>
      <c r="E165" t="inlineStr">
        <is>
          <t>OVANÅKER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55423-2023</t>
        </is>
      </c>
      <c r="B166" s="1" t="n">
        <v>45238.4189699074</v>
      </c>
      <c r="C166" s="1" t="n">
        <v>45996</v>
      </c>
      <c r="D166" t="inlineStr">
        <is>
          <t>GÄVLEBORGS LÄN</t>
        </is>
      </c>
      <c r="E166" t="inlineStr">
        <is>
          <t>OVANÅKER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25022-2025</t>
        </is>
      </c>
      <c r="B167" s="1" t="n">
        <v>45799.64637731481</v>
      </c>
      <c r="C167" s="1" t="n">
        <v>45996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50740-2023</t>
        </is>
      </c>
      <c r="B168" s="1" t="n">
        <v>45217.58702546296</v>
      </c>
      <c r="C168" s="1" t="n">
        <v>45996</v>
      </c>
      <c r="D168" t="inlineStr">
        <is>
          <t>GÄVLEBORGS LÄN</t>
        </is>
      </c>
      <c r="E168" t="inlineStr">
        <is>
          <t>OVANÅKER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49857-2024</t>
        </is>
      </c>
      <c r="B169" s="1" t="n">
        <v>45597.46914351852</v>
      </c>
      <c r="C169" s="1" t="n">
        <v>45996</v>
      </c>
      <c r="D169" t="inlineStr">
        <is>
          <t>GÄVLEBORGS LÄN</t>
        </is>
      </c>
      <c r="E169" t="inlineStr">
        <is>
          <t>OVANÅKER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66403-2021</t>
        </is>
      </c>
      <c r="B170" s="1" t="n">
        <v>44518.65586805555</v>
      </c>
      <c r="C170" s="1" t="n">
        <v>45996</v>
      </c>
      <c r="D170" t="inlineStr">
        <is>
          <t>GÄVLEBORGS LÄN</t>
        </is>
      </c>
      <c r="E170" t="inlineStr">
        <is>
          <t>OVANÅKER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42067-2023</t>
        </is>
      </c>
      <c r="B171" s="1" t="n">
        <v>45177.57534722222</v>
      </c>
      <c r="C171" s="1" t="n">
        <v>45996</v>
      </c>
      <c r="D171" t="inlineStr">
        <is>
          <t>GÄVLEBORGS LÄN</t>
        </is>
      </c>
      <c r="E171" t="inlineStr">
        <is>
          <t>OVANÅKER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42076-2023</t>
        </is>
      </c>
      <c r="B172" s="1" t="n">
        <v>45177.59209490741</v>
      </c>
      <c r="C172" s="1" t="n">
        <v>45996</v>
      </c>
      <c r="D172" t="inlineStr">
        <is>
          <t>GÄVLEBORGS LÄN</t>
        </is>
      </c>
      <c r="E172" t="inlineStr">
        <is>
          <t>OVANÅKER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9506-2021</t>
        </is>
      </c>
      <c r="B173" s="1" t="n">
        <v>44251.54241898148</v>
      </c>
      <c r="C173" s="1" t="n">
        <v>45996</v>
      </c>
      <c r="D173" t="inlineStr">
        <is>
          <t>GÄVLEBORGS LÄN</t>
        </is>
      </c>
      <c r="E173" t="inlineStr">
        <is>
          <t>OVANÅKER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6766-2022</t>
        </is>
      </c>
      <c r="B174" s="1" t="n">
        <v>44602.50246527778</v>
      </c>
      <c r="C174" s="1" t="n">
        <v>45996</v>
      </c>
      <c r="D174" t="inlineStr">
        <is>
          <t>GÄVLEBORGS LÄN</t>
        </is>
      </c>
      <c r="E174" t="inlineStr">
        <is>
          <t>OVANÅKER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25108-2025</t>
        </is>
      </c>
      <c r="B175" s="1" t="n">
        <v>45800.3503125</v>
      </c>
      <c r="C175" s="1" t="n">
        <v>45996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50752-2023</t>
        </is>
      </c>
      <c r="B176" s="1" t="n">
        <v>45217.6034375</v>
      </c>
      <c r="C176" s="1" t="n">
        <v>45996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30166-2022</t>
        </is>
      </c>
      <c r="B177" s="1" t="n">
        <v>44757.56145833333</v>
      </c>
      <c r="C177" s="1" t="n">
        <v>45996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25281-2025</t>
        </is>
      </c>
      <c r="B178" s="1" t="n">
        <v>45800.5583912037</v>
      </c>
      <c r="C178" s="1" t="n">
        <v>45996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31023-2023</t>
        </is>
      </c>
      <c r="B179" s="1" t="n">
        <v>45113.57775462963</v>
      </c>
      <c r="C179" s="1" t="n">
        <v>45996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25346-2025</t>
        </is>
      </c>
      <c r="B180" s="1" t="n">
        <v>45800.61052083333</v>
      </c>
      <c r="C180" s="1" t="n">
        <v>45996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35278-2021</t>
        </is>
      </c>
      <c r="B181" s="1" t="n">
        <v>44384.64277777778</v>
      </c>
      <c r="C181" s="1" t="n">
        <v>45996</v>
      </c>
      <c r="D181" t="inlineStr">
        <is>
          <t>GÄVLEBORGS LÄN</t>
        </is>
      </c>
      <c r="E181" t="inlineStr">
        <is>
          <t>OVANÅKER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25337-2025</t>
        </is>
      </c>
      <c r="B182" s="1" t="n">
        <v>45800.59858796297</v>
      </c>
      <c r="C182" s="1" t="n">
        <v>45996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17392-2025</t>
        </is>
      </c>
      <c r="B183" s="1" t="n">
        <v>45757.33837962963</v>
      </c>
      <c r="C183" s="1" t="n">
        <v>45996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17137-2024</t>
        </is>
      </c>
      <c r="B184" s="1" t="n">
        <v>45412.62738425926</v>
      </c>
      <c r="C184" s="1" t="n">
        <v>45996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25278-2025</t>
        </is>
      </c>
      <c r="B185" s="1" t="n">
        <v>45800.55554398148</v>
      </c>
      <c r="C185" s="1" t="n">
        <v>45996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25283-2025</t>
        </is>
      </c>
      <c r="B186" s="1" t="n">
        <v>45800.5616087963</v>
      </c>
      <c r="C186" s="1" t="n">
        <v>45996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25130-2025</t>
        </is>
      </c>
      <c r="B187" s="1" t="n">
        <v>45800.38216435185</v>
      </c>
      <c r="C187" s="1" t="n">
        <v>45996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25193-2025</t>
        </is>
      </c>
      <c r="B188" s="1" t="n">
        <v>45800.4584837963</v>
      </c>
      <c r="C188" s="1" t="n">
        <v>45996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30919-2024</t>
        </is>
      </c>
      <c r="B189" s="1" t="n">
        <v>45498.67017361111</v>
      </c>
      <c r="C189" s="1" t="n">
        <v>45996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25110-2025</t>
        </is>
      </c>
      <c r="B190" s="1" t="n">
        <v>45800.3528125</v>
      </c>
      <c r="C190" s="1" t="n">
        <v>45996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25650-2025</t>
        </is>
      </c>
      <c r="B191" s="1" t="n">
        <v>45803.61027777778</v>
      </c>
      <c r="C191" s="1" t="n">
        <v>45996</v>
      </c>
      <c r="D191" t="inlineStr">
        <is>
          <t>GÄVLEBORGS LÄN</t>
        </is>
      </c>
      <c r="E191" t="inlineStr">
        <is>
          <t>OVANÅKER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19903-2025</t>
        </is>
      </c>
      <c r="B192" s="1" t="n">
        <v>45771.59248842593</v>
      </c>
      <c r="C192" s="1" t="n">
        <v>45996</v>
      </c>
      <c r="D192" t="inlineStr">
        <is>
          <t>GÄVLEBORGS LÄN</t>
        </is>
      </c>
      <c r="E192" t="inlineStr">
        <is>
          <t>OVANÅKER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25082-2025</t>
        </is>
      </c>
      <c r="B193" s="1" t="n">
        <v>45800.26887731482</v>
      </c>
      <c r="C193" s="1" t="n">
        <v>45996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25104-2025</t>
        </is>
      </c>
      <c r="B194" s="1" t="n">
        <v>45800.34629629629</v>
      </c>
      <c r="C194" s="1" t="n">
        <v>45996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25292-2025</t>
        </is>
      </c>
      <c r="B195" s="1" t="n">
        <v>45800.56613425926</v>
      </c>
      <c r="C195" s="1" t="n">
        <v>45996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25289-2025</t>
        </is>
      </c>
      <c r="B196" s="1" t="n">
        <v>45800.5633912037</v>
      </c>
      <c r="C196" s="1" t="n">
        <v>45996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33945-2024</t>
        </is>
      </c>
      <c r="B197" s="1" t="n">
        <v>45523.45549768519</v>
      </c>
      <c r="C197" s="1" t="n">
        <v>45996</v>
      </c>
      <c r="D197" t="inlineStr">
        <is>
          <t>GÄVLEBORGS LÄN</t>
        </is>
      </c>
      <c r="E197" t="inlineStr">
        <is>
          <t>OVANÅKER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39850-2023</t>
        </is>
      </c>
      <c r="B198" s="1" t="n">
        <v>45168.3706712963</v>
      </c>
      <c r="C198" s="1" t="n">
        <v>45996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25151-2025</t>
        </is>
      </c>
      <c r="B199" s="1" t="n">
        <v>45800.42427083333</v>
      </c>
      <c r="C199" s="1" t="n">
        <v>45996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58467-2022</t>
        </is>
      </c>
      <c r="B200" s="1" t="n">
        <v>44902</v>
      </c>
      <c r="C200" s="1" t="n">
        <v>45996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62196-2023</t>
        </is>
      </c>
      <c r="B201" s="1" t="n">
        <v>45267.46763888889</v>
      </c>
      <c r="C201" s="1" t="n">
        <v>45996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25965-2025</t>
        </is>
      </c>
      <c r="B202" s="1" t="n">
        <v>45804.61806712963</v>
      </c>
      <c r="C202" s="1" t="n">
        <v>45996</v>
      </c>
      <c r="D202" t="inlineStr">
        <is>
          <t>GÄVLEBORGS LÄN</t>
        </is>
      </c>
      <c r="E202" t="inlineStr">
        <is>
          <t>OVANÅKER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26304-2025</t>
        </is>
      </c>
      <c r="B203" s="1" t="n">
        <v>45805</v>
      </c>
      <c r="C203" s="1" t="n">
        <v>45996</v>
      </c>
      <c r="D203" t="inlineStr">
        <is>
          <t>GÄVLEBORGS LÄN</t>
        </is>
      </c>
      <c r="E203" t="inlineStr">
        <is>
          <t>OVANÅKER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26324-2025</t>
        </is>
      </c>
      <c r="B204" s="1" t="n">
        <v>45805</v>
      </c>
      <c r="C204" s="1" t="n">
        <v>45996</v>
      </c>
      <c r="D204" t="inlineStr">
        <is>
          <t>GÄVLEBORGS LÄN</t>
        </is>
      </c>
      <c r="E204" t="inlineStr">
        <is>
          <t>OVANÅKER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49856-2024</t>
        </is>
      </c>
      <c r="B205" s="1" t="n">
        <v>45597.46902777778</v>
      </c>
      <c r="C205" s="1" t="n">
        <v>45996</v>
      </c>
      <c r="D205" t="inlineStr">
        <is>
          <t>GÄVLEBORGS LÄN</t>
        </is>
      </c>
      <c r="E205" t="inlineStr">
        <is>
          <t>OVANÅKER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26062-2025</t>
        </is>
      </c>
      <c r="B206" s="1" t="n">
        <v>45805.25457175926</v>
      </c>
      <c r="C206" s="1" t="n">
        <v>45996</v>
      </c>
      <c r="D206" t="inlineStr">
        <is>
          <t>GÄVLEBORGS LÄN</t>
        </is>
      </c>
      <c r="E206" t="inlineStr">
        <is>
          <t>OVANÅKER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46034-2024</t>
        </is>
      </c>
      <c r="B207" s="1" t="n">
        <v>45580.72083333333</v>
      </c>
      <c r="C207" s="1" t="n">
        <v>45996</v>
      </c>
      <c r="D207" t="inlineStr">
        <is>
          <t>GÄVLEBORGS LÄN</t>
        </is>
      </c>
      <c r="E207" t="inlineStr">
        <is>
          <t>OVANÅKER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1570-2024</t>
        </is>
      </c>
      <c r="B208" s="1" t="n">
        <v>45306</v>
      </c>
      <c r="C208" s="1" t="n">
        <v>45996</v>
      </c>
      <c r="D208" t="inlineStr">
        <is>
          <t>GÄVLEBORGS LÄN</t>
        </is>
      </c>
      <c r="E208" t="inlineStr">
        <is>
          <t>OVANÅKER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26316-2025</t>
        </is>
      </c>
      <c r="B209" s="1" t="n">
        <v>45805</v>
      </c>
      <c r="C209" s="1" t="n">
        <v>45996</v>
      </c>
      <c r="D209" t="inlineStr">
        <is>
          <t>GÄVLEBORGS LÄN</t>
        </is>
      </c>
      <c r="E209" t="inlineStr">
        <is>
          <t>OVANÅKER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53694-2022</t>
        </is>
      </c>
      <c r="B210" s="1" t="n">
        <v>44880.33703703704</v>
      </c>
      <c r="C210" s="1" t="n">
        <v>45996</v>
      </c>
      <c r="D210" t="inlineStr">
        <is>
          <t>GÄVLEBORGS LÄN</t>
        </is>
      </c>
      <c r="E210" t="inlineStr">
        <is>
          <t>OVANÅKER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27320-2023</t>
        </is>
      </c>
      <c r="B211" s="1" t="n">
        <v>45096.66672453703</v>
      </c>
      <c r="C211" s="1" t="n">
        <v>45996</v>
      </c>
      <c r="D211" t="inlineStr">
        <is>
          <t>GÄVLEBORGS LÄN</t>
        </is>
      </c>
      <c r="E211" t="inlineStr">
        <is>
          <t>OVANÅKER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26583-2025</t>
        </is>
      </c>
      <c r="B212" s="1" t="n">
        <v>45807</v>
      </c>
      <c r="C212" s="1" t="n">
        <v>45996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44310-2022</t>
        </is>
      </c>
      <c r="B213" s="1" t="n">
        <v>44839.6370949074</v>
      </c>
      <c r="C213" s="1" t="n">
        <v>45996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26581-2025</t>
        </is>
      </c>
      <c r="B214" s="1" t="n">
        <v>45807</v>
      </c>
      <c r="C214" s="1" t="n">
        <v>45996</v>
      </c>
      <c r="D214" t="inlineStr">
        <is>
          <t>GÄVLEBORGS LÄN</t>
        </is>
      </c>
      <c r="E214" t="inlineStr">
        <is>
          <t>OVANÅKER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57478-2024</t>
        </is>
      </c>
      <c r="B215" s="1" t="n">
        <v>45630.34912037037</v>
      </c>
      <c r="C215" s="1" t="n">
        <v>45996</v>
      </c>
      <c r="D215" t="inlineStr">
        <is>
          <t>GÄVLEBORGS LÄN</t>
        </is>
      </c>
      <c r="E215" t="inlineStr">
        <is>
          <t>OVANÅKER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52423-2023</t>
        </is>
      </c>
      <c r="B216" s="1" t="n">
        <v>45225.32539351852</v>
      </c>
      <c r="C216" s="1" t="n">
        <v>45996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26582-2025</t>
        </is>
      </c>
      <c r="B217" s="1" t="n">
        <v>45807</v>
      </c>
      <c r="C217" s="1" t="n">
        <v>45996</v>
      </c>
      <c r="D217" t="inlineStr">
        <is>
          <t>GÄVLEBORGS LÄN</t>
        </is>
      </c>
      <c r="E217" t="inlineStr">
        <is>
          <t>OVANÅKER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19737-2025</t>
        </is>
      </c>
      <c r="B218" s="1" t="n">
        <v>45771.36810185185</v>
      </c>
      <c r="C218" s="1" t="n">
        <v>45996</v>
      </c>
      <c r="D218" t="inlineStr">
        <is>
          <t>GÄVLEBORGS LÄN</t>
        </is>
      </c>
      <c r="E218" t="inlineStr">
        <is>
          <t>OVANÅKER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8927-2022</t>
        </is>
      </c>
      <c r="B219" s="1" t="n">
        <v>44614.67208333333</v>
      </c>
      <c r="C219" s="1" t="n">
        <v>45996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26627-2025</t>
        </is>
      </c>
      <c r="B220" s="1" t="n">
        <v>45810.34349537037</v>
      </c>
      <c r="C220" s="1" t="n">
        <v>45996</v>
      </c>
      <c r="D220" t="inlineStr">
        <is>
          <t>GÄVLEBORGS LÄN</t>
        </is>
      </c>
      <c r="E220" t="inlineStr">
        <is>
          <t>OVANÅKER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43521-2024</t>
        </is>
      </c>
      <c r="B221" s="1" t="n">
        <v>45569.33457175926</v>
      </c>
      <c r="C221" s="1" t="n">
        <v>45996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39173-2024</t>
        </is>
      </c>
      <c r="B222" s="1" t="n">
        <v>45548.65622685185</v>
      </c>
      <c r="C222" s="1" t="n">
        <v>45996</v>
      </c>
      <c r="D222" t="inlineStr">
        <is>
          <t>GÄVLEBORGS LÄN</t>
        </is>
      </c>
      <c r="E222" t="inlineStr">
        <is>
          <t>OVANÅKER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55427-2024</t>
        </is>
      </c>
      <c r="B223" s="1" t="n">
        <v>45622.38875</v>
      </c>
      <c r="C223" s="1" t="n">
        <v>45996</v>
      </c>
      <c r="D223" t="inlineStr">
        <is>
          <t>GÄVLEBORGS LÄN</t>
        </is>
      </c>
      <c r="E223" t="inlineStr">
        <is>
          <t>OVANÅKER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44418-2024</t>
        </is>
      </c>
      <c r="B224" s="1" t="n">
        <v>45573.83903935185</v>
      </c>
      <c r="C224" s="1" t="n">
        <v>45996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20331-2023</t>
        </is>
      </c>
      <c r="B225" s="1" t="n">
        <v>45056.4747337963</v>
      </c>
      <c r="C225" s="1" t="n">
        <v>45996</v>
      </c>
      <c r="D225" t="inlineStr">
        <is>
          <t>GÄVLEBORGS LÄN</t>
        </is>
      </c>
      <c r="E225" t="inlineStr">
        <is>
          <t>OVANÅKER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23014-2022</t>
        </is>
      </c>
      <c r="B226" s="1" t="n">
        <v>44719.36284722222</v>
      </c>
      <c r="C226" s="1" t="n">
        <v>45996</v>
      </c>
      <c r="D226" t="inlineStr">
        <is>
          <t>GÄVLEBORGS LÄN</t>
        </is>
      </c>
      <c r="E226" t="inlineStr">
        <is>
          <t>OVANÅKER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59253-2023</t>
        </is>
      </c>
      <c r="B227" s="1" t="n">
        <v>45253</v>
      </c>
      <c r="C227" s="1" t="n">
        <v>45996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25557-2025</t>
        </is>
      </c>
      <c r="B228" s="1" t="n">
        <v>45803.45233796296</v>
      </c>
      <c r="C228" s="1" t="n">
        <v>45996</v>
      </c>
      <c r="D228" t="inlineStr">
        <is>
          <t>GÄVLEBORGS LÄN</t>
        </is>
      </c>
      <c r="E228" t="inlineStr">
        <is>
          <t>OVANÅKER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31005-2023</t>
        </is>
      </c>
      <c r="B229" s="1" t="n">
        <v>45113.5514699074</v>
      </c>
      <c r="C229" s="1" t="n">
        <v>45996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37338-2024</t>
        </is>
      </c>
      <c r="B230" s="1" t="n">
        <v>45540</v>
      </c>
      <c r="C230" s="1" t="n">
        <v>45996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26654-2025</t>
        </is>
      </c>
      <c r="B231" s="1" t="n">
        <v>45810.38966435185</v>
      </c>
      <c r="C231" s="1" t="n">
        <v>45996</v>
      </c>
      <c r="D231" t="inlineStr">
        <is>
          <t>GÄVLEBORGS LÄN</t>
        </is>
      </c>
      <c r="E231" t="inlineStr">
        <is>
          <t>OVANÅKER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5979-2025</t>
        </is>
      </c>
      <c r="B232" s="1" t="n">
        <v>45695.54638888889</v>
      </c>
      <c r="C232" s="1" t="n">
        <v>45996</v>
      </c>
      <c r="D232" t="inlineStr">
        <is>
          <t>GÄVLEBORGS LÄN</t>
        </is>
      </c>
      <c r="E232" t="inlineStr">
        <is>
          <t>OVANÅKER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43544-2024</t>
        </is>
      </c>
      <c r="B233" s="1" t="n">
        <v>45569.36675925926</v>
      </c>
      <c r="C233" s="1" t="n">
        <v>45996</v>
      </c>
      <c r="D233" t="inlineStr">
        <is>
          <t>GÄVLEBORGS LÄN</t>
        </is>
      </c>
      <c r="E233" t="inlineStr">
        <is>
          <t>OVANÅKER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36794-2023</t>
        </is>
      </c>
      <c r="B234" s="1" t="n">
        <v>45154</v>
      </c>
      <c r="C234" s="1" t="n">
        <v>45996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5719-2023</t>
        </is>
      </c>
      <c r="B235" s="1" t="n">
        <v>44961.40068287037</v>
      </c>
      <c r="C235" s="1" t="n">
        <v>45996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39373-2024</t>
        </is>
      </c>
      <c r="B236" s="1" t="n">
        <v>45551.48148148148</v>
      </c>
      <c r="C236" s="1" t="n">
        <v>45996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49858-2024</t>
        </is>
      </c>
      <c r="B237" s="1" t="n">
        <v>45597.46925925926</v>
      </c>
      <c r="C237" s="1" t="n">
        <v>45996</v>
      </c>
      <c r="D237" t="inlineStr">
        <is>
          <t>GÄVLEBORGS LÄN</t>
        </is>
      </c>
      <c r="E237" t="inlineStr">
        <is>
          <t>OVANÅKER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14413-2021</t>
        </is>
      </c>
      <c r="B238" s="1" t="n">
        <v>44279</v>
      </c>
      <c r="C238" s="1" t="n">
        <v>45996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27631-2025</t>
        </is>
      </c>
      <c r="B239" s="1" t="n">
        <v>45813.56162037037</v>
      </c>
      <c r="C239" s="1" t="n">
        <v>45996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42685-2022</t>
        </is>
      </c>
      <c r="B240" s="1" t="n">
        <v>44832.34842592593</v>
      </c>
      <c r="C240" s="1" t="n">
        <v>45996</v>
      </c>
      <c r="D240" t="inlineStr">
        <is>
          <t>GÄVLEBORGS LÄN</t>
        </is>
      </c>
      <c r="E240" t="inlineStr">
        <is>
          <t>OVANÅKER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31052-2024</t>
        </is>
      </c>
      <c r="B241" s="1" t="n">
        <v>45502.34298611111</v>
      </c>
      <c r="C241" s="1" t="n">
        <v>45996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27536-2025</t>
        </is>
      </c>
      <c r="B242" s="1" t="n">
        <v>45813.45946759259</v>
      </c>
      <c r="C242" s="1" t="n">
        <v>45996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46000-2024</t>
        </is>
      </c>
      <c r="B243" s="1" t="n">
        <v>45580.65564814815</v>
      </c>
      <c r="C243" s="1" t="n">
        <v>45996</v>
      </c>
      <c r="D243" t="inlineStr">
        <is>
          <t>GÄVLEBORGS LÄN</t>
        </is>
      </c>
      <c r="E243" t="inlineStr">
        <is>
          <t>OVANÅKER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5057-2025</t>
        </is>
      </c>
      <c r="B244" s="1" t="n">
        <v>45691.46682870371</v>
      </c>
      <c r="C244" s="1" t="n">
        <v>45996</v>
      </c>
      <c r="D244" t="inlineStr">
        <is>
          <t>GÄVLEBORGS LÄN</t>
        </is>
      </c>
      <c r="E244" t="inlineStr">
        <is>
          <t>OVANÅKER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58918-2022</t>
        </is>
      </c>
      <c r="B245" s="1" t="n">
        <v>44903.61586805555</v>
      </c>
      <c r="C245" s="1" t="n">
        <v>45996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4980-2025</t>
        </is>
      </c>
      <c r="B246" s="1" t="n">
        <v>45691.24708333334</v>
      </c>
      <c r="C246" s="1" t="n">
        <v>45996</v>
      </c>
      <c r="D246" t="inlineStr">
        <is>
          <t>GÄVLEBORGS LÄN</t>
        </is>
      </c>
      <c r="E246" t="inlineStr">
        <is>
          <t>OVANÅKER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27521-2025</t>
        </is>
      </c>
      <c r="B247" s="1" t="n">
        <v>45813.44327546296</v>
      </c>
      <c r="C247" s="1" t="n">
        <v>45996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27623-2025</t>
        </is>
      </c>
      <c r="B248" s="1" t="n">
        <v>45813.55280092593</v>
      </c>
      <c r="C248" s="1" t="n">
        <v>45996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34.7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17618-2025</t>
        </is>
      </c>
      <c r="B249" s="1" t="n">
        <v>45757.8506712963</v>
      </c>
      <c r="C249" s="1" t="n">
        <v>45996</v>
      </c>
      <c r="D249" t="inlineStr">
        <is>
          <t>GÄVLEBORGS LÄN</t>
        </is>
      </c>
      <c r="E249" t="inlineStr">
        <is>
          <t>OVANÅKER</t>
        </is>
      </c>
      <c r="F249" t="inlineStr">
        <is>
          <t>Holmen skog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2546-2023</t>
        </is>
      </c>
      <c r="B250" s="1" t="n">
        <v>44943</v>
      </c>
      <c r="C250" s="1" t="n">
        <v>45996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27628-2025</t>
        </is>
      </c>
      <c r="B251" s="1" t="n">
        <v>45813.5585300926</v>
      </c>
      <c r="C251" s="1" t="n">
        <v>45996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27668-2025</t>
        </is>
      </c>
      <c r="B252" s="1" t="n">
        <v>45813.6222337963</v>
      </c>
      <c r="C252" s="1" t="n">
        <v>45996</v>
      </c>
      <c r="D252" t="inlineStr">
        <is>
          <t>GÄVLEBORGS LÄN</t>
        </is>
      </c>
      <c r="E252" t="inlineStr">
        <is>
          <t>OVANÅKER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13404-2021</t>
        </is>
      </c>
      <c r="B253" s="1" t="n">
        <v>44273.47614583333</v>
      </c>
      <c r="C253" s="1" t="n">
        <v>45996</v>
      </c>
      <c r="D253" t="inlineStr">
        <is>
          <t>GÄVLEBORGS LÄN</t>
        </is>
      </c>
      <c r="E253" t="inlineStr">
        <is>
          <t>OVANÅKER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27155-2025</t>
        </is>
      </c>
      <c r="B254" s="1" t="n">
        <v>45812.33081018519</v>
      </c>
      <c r="C254" s="1" t="n">
        <v>45996</v>
      </c>
      <c r="D254" t="inlineStr">
        <is>
          <t>GÄVLEBORGS LÄN</t>
        </is>
      </c>
      <c r="E254" t="inlineStr">
        <is>
          <t>OVANÅKER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61526-2023</t>
        </is>
      </c>
      <c r="B255" s="1" t="n">
        <v>45265.34644675926</v>
      </c>
      <c r="C255" s="1" t="n">
        <v>45996</v>
      </c>
      <c r="D255" t="inlineStr">
        <is>
          <t>GÄVLEBORGS LÄN</t>
        </is>
      </c>
      <c r="E255" t="inlineStr">
        <is>
          <t>OVANÅKER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28057-2025</t>
        </is>
      </c>
      <c r="B256" s="1" t="n">
        <v>45817.66207175926</v>
      </c>
      <c r="C256" s="1" t="n">
        <v>45996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25297-2024</t>
        </is>
      </c>
      <c r="B257" s="1" t="n">
        <v>45462.67136574074</v>
      </c>
      <c r="C257" s="1" t="n">
        <v>45996</v>
      </c>
      <c r="D257" t="inlineStr">
        <is>
          <t>GÄVLEBORGS LÄN</t>
        </is>
      </c>
      <c r="E257" t="inlineStr">
        <is>
          <t>OVANÅKER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25299-2024</t>
        </is>
      </c>
      <c r="B258" s="1" t="n">
        <v>45462</v>
      </c>
      <c r="C258" s="1" t="n">
        <v>45996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62362-2022</t>
        </is>
      </c>
      <c r="B259" s="1" t="n">
        <v>44923</v>
      </c>
      <c r="C259" s="1" t="n">
        <v>45996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61487-2024</t>
        </is>
      </c>
      <c r="B260" s="1" t="n">
        <v>45646.54785879629</v>
      </c>
      <c r="C260" s="1" t="n">
        <v>45996</v>
      </c>
      <c r="D260" t="inlineStr">
        <is>
          <t>GÄVLEBORGS LÄN</t>
        </is>
      </c>
      <c r="E260" t="inlineStr">
        <is>
          <t>OVANÅKER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47486-2021</t>
        </is>
      </c>
      <c r="B261" s="1" t="n">
        <v>44447.66361111111</v>
      </c>
      <c r="C261" s="1" t="n">
        <v>45996</v>
      </c>
      <c r="D261" t="inlineStr">
        <is>
          <t>GÄVLEBORGS LÄN</t>
        </is>
      </c>
      <c r="E261" t="inlineStr">
        <is>
          <t>OVANÅKER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17523-2025</t>
        </is>
      </c>
      <c r="B262" s="1" t="n">
        <v>45757.58005787037</v>
      </c>
      <c r="C262" s="1" t="n">
        <v>45996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28048-2025</t>
        </is>
      </c>
      <c r="B263" s="1" t="n">
        <v>45817.65453703704</v>
      </c>
      <c r="C263" s="1" t="n">
        <v>45996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27964-2025</t>
        </is>
      </c>
      <c r="B264" s="1" t="n">
        <v>45817.55414351852</v>
      </c>
      <c r="C264" s="1" t="n">
        <v>45996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52961-2024</t>
        </is>
      </c>
      <c r="B265" s="1" t="n">
        <v>45611.30515046296</v>
      </c>
      <c r="C265" s="1" t="n">
        <v>45996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48755-2024</t>
        </is>
      </c>
      <c r="B266" s="1" t="n">
        <v>45593.59631944444</v>
      </c>
      <c r="C266" s="1" t="n">
        <v>45996</v>
      </c>
      <c r="D266" t="inlineStr">
        <is>
          <t>GÄVLEBORGS LÄN</t>
        </is>
      </c>
      <c r="E266" t="inlineStr">
        <is>
          <t>OVANÅKER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27880-2025</t>
        </is>
      </c>
      <c r="B267" s="1" t="n">
        <v>45817.44366898148</v>
      </c>
      <c r="C267" s="1" t="n">
        <v>45996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27903-2025</t>
        </is>
      </c>
      <c r="B268" s="1" t="n">
        <v>45817.46649305556</v>
      </c>
      <c r="C268" s="1" t="n">
        <v>45996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59729-2023</t>
        </is>
      </c>
      <c r="B269" s="1" t="n">
        <v>45257.36038194445</v>
      </c>
      <c r="C269" s="1" t="n">
        <v>45996</v>
      </c>
      <c r="D269" t="inlineStr">
        <is>
          <t>GÄVLEBORGS LÄN</t>
        </is>
      </c>
      <c r="E269" t="inlineStr">
        <is>
          <t>OVANÅKER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7693-2024</t>
        </is>
      </c>
      <c r="B270" s="1" t="n">
        <v>45349.29034722222</v>
      </c>
      <c r="C270" s="1" t="n">
        <v>45996</v>
      </c>
      <c r="D270" t="inlineStr">
        <is>
          <t>GÄVLEBORGS LÄN</t>
        </is>
      </c>
      <c r="E270" t="inlineStr">
        <is>
          <t>OVANÅKER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28047-2025</t>
        </is>
      </c>
      <c r="B271" s="1" t="n">
        <v>45817</v>
      </c>
      <c r="C271" s="1" t="n">
        <v>45996</v>
      </c>
      <c r="D271" t="inlineStr">
        <is>
          <t>GÄVLEBORGS LÄN</t>
        </is>
      </c>
      <c r="E271" t="inlineStr">
        <is>
          <t>OVANÅKER</t>
        </is>
      </c>
      <c r="F271" t="inlineStr">
        <is>
          <t>Holmen skog AB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27834-2025</t>
        </is>
      </c>
      <c r="B272" s="1" t="n">
        <v>45817.36806712963</v>
      </c>
      <c r="C272" s="1" t="n">
        <v>45996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28532-2025</t>
        </is>
      </c>
      <c r="B273" s="1" t="n">
        <v>45819.50333333333</v>
      </c>
      <c r="C273" s="1" t="n">
        <v>45996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28600-2025</t>
        </is>
      </c>
      <c r="B274" s="1" t="n">
        <v>45819.59787037037</v>
      </c>
      <c r="C274" s="1" t="n">
        <v>45996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34064-2025</t>
        </is>
      </c>
      <c r="B275" s="1" t="n">
        <v>45845.42802083334</v>
      </c>
      <c r="C275" s="1" t="n">
        <v>45996</v>
      </c>
      <c r="D275" t="inlineStr">
        <is>
          <t>GÄVLEBORGS LÄN</t>
        </is>
      </c>
      <c r="E275" t="inlineStr">
        <is>
          <t>OVANÅKER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28593-2025</t>
        </is>
      </c>
      <c r="B276" s="1" t="n">
        <v>45819.59232638889</v>
      </c>
      <c r="C276" s="1" t="n">
        <v>45996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18156-2024</t>
        </is>
      </c>
      <c r="B277" s="1" t="n">
        <v>45420.60981481482</v>
      </c>
      <c r="C277" s="1" t="n">
        <v>45996</v>
      </c>
      <c r="D277" t="inlineStr">
        <is>
          <t>GÄVLEBORGS LÄN</t>
        </is>
      </c>
      <c r="E277" t="inlineStr">
        <is>
          <t>OVANÅKER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28585-2025</t>
        </is>
      </c>
      <c r="B278" s="1" t="n">
        <v>45819.5790625</v>
      </c>
      <c r="C278" s="1" t="n">
        <v>45996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28460-2025</t>
        </is>
      </c>
      <c r="B279" s="1" t="n">
        <v>45819</v>
      </c>
      <c r="C279" s="1" t="n">
        <v>45996</v>
      </c>
      <c r="D279" t="inlineStr">
        <is>
          <t>GÄVLEBORGS LÄN</t>
        </is>
      </c>
      <c r="E279" t="inlineStr">
        <is>
          <t>OVANÅKER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28474-2025</t>
        </is>
      </c>
      <c r="B280" s="1" t="n">
        <v>45819.44173611111</v>
      </c>
      <c r="C280" s="1" t="n">
        <v>45996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28622-2025</t>
        </is>
      </c>
      <c r="B281" s="1" t="n">
        <v>45819.61425925926</v>
      </c>
      <c r="C281" s="1" t="n">
        <v>45996</v>
      </c>
      <c r="D281" t="inlineStr">
        <is>
          <t>GÄVLEBORGS LÄN</t>
        </is>
      </c>
      <c r="E281" t="inlineStr">
        <is>
          <t>OVANÅKER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28626-2025</t>
        </is>
      </c>
      <c r="B282" s="1" t="n">
        <v>45819.62038194444</v>
      </c>
      <c r="C282" s="1" t="n">
        <v>45996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28562-2025</t>
        </is>
      </c>
      <c r="B283" s="1" t="n">
        <v>45819.5525</v>
      </c>
      <c r="C283" s="1" t="n">
        <v>45996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28387-2025</t>
        </is>
      </c>
      <c r="B284" s="1" t="n">
        <v>45819.32304398148</v>
      </c>
      <c r="C284" s="1" t="n">
        <v>45996</v>
      </c>
      <c r="D284" t="inlineStr">
        <is>
          <t>GÄVLEBORGS LÄN</t>
        </is>
      </c>
      <c r="E284" t="inlineStr">
        <is>
          <t>OVANÅKER</t>
        </is>
      </c>
      <c r="F284" t="inlineStr">
        <is>
          <t>Holmen skog AB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16204-2025</t>
        </is>
      </c>
      <c r="B285" s="1" t="n">
        <v>45750.62034722222</v>
      </c>
      <c r="C285" s="1" t="n">
        <v>45996</v>
      </c>
      <c r="D285" t="inlineStr">
        <is>
          <t>GÄVLEBORGS LÄN</t>
        </is>
      </c>
      <c r="E285" t="inlineStr">
        <is>
          <t>OVANÅKER</t>
        </is>
      </c>
      <c r="G285" t="n">
        <v>16.7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28434-2025</t>
        </is>
      </c>
      <c r="B286" s="1" t="n">
        <v>45819.38166666667</v>
      </c>
      <c r="C286" s="1" t="n">
        <v>45996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28496-2025</t>
        </is>
      </c>
      <c r="B287" s="1" t="n">
        <v>45819.46984953704</v>
      </c>
      <c r="C287" s="1" t="n">
        <v>45996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18363-2025</t>
        </is>
      </c>
      <c r="B288" s="1" t="n">
        <v>45762.56040509259</v>
      </c>
      <c r="C288" s="1" t="n">
        <v>45996</v>
      </c>
      <c r="D288" t="inlineStr">
        <is>
          <t>GÄVLEBORGS LÄN</t>
        </is>
      </c>
      <c r="E288" t="inlineStr">
        <is>
          <t>OVANÅKER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23251-2022</t>
        </is>
      </c>
      <c r="B289" s="1" t="n">
        <v>44720.37357638889</v>
      </c>
      <c r="C289" s="1" t="n">
        <v>45996</v>
      </c>
      <c r="D289" t="inlineStr">
        <is>
          <t>GÄVLEBORGS LÄN</t>
        </is>
      </c>
      <c r="E289" t="inlineStr">
        <is>
          <t>OVANÅKER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11533-2021</t>
        </is>
      </c>
      <c r="B290" s="1" t="n">
        <v>44264</v>
      </c>
      <c r="C290" s="1" t="n">
        <v>45996</v>
      </c>
      <c r="D290" t="inlineStr">
        <is>
          <t>GÄVLEBORGS LÄN</t>
        </is>
      </c>
      <c r="E290" t="inlineStr">
        <is>
          <t>OVANÅKER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11540-2021</t>
        </is>
      </c>
      <c r="B291" s="1" t="n">
        <v>44264</v>
      </c>
      <c r="C291" s="1" t="n">
        <v>45996</v>
      </c>
      <c r="D291" t="inlineStr">
        <is>
          <t>GÄVLEBORGS LÄN</t>
        </is>
      </c>
      <c r="E291" t="inlineStr">
        <is>
          <t>OVANÅKER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28776-2025</t>
        </is>
      </c>
      <c r="B292" s="1" t="n">
        <v>45820.44554398148</v>
      </c>
      <c r="C292" s="1" t="n">
        <v>45996</v>
      </c>
      <c r="D292" t="inlineStr">
        <is>
          <t>GÄVLEBORGS LÄN</t>
        </is>
      </c>
      <c r="E292" t="inlineStr">
        <is>
          <t>OVANÅKER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48282-2023</t>
        </is>
      </c>
      <c r="B293" s="1" t="n">
        <v>45205</v>
      </c>
      <c r="C293" s="1" t="n">
        <v>45996</v>
      </c>
      <c r="D293" t="inlineStr">
        <is>
          <t>GÄVLEBORGS LÄN</t>
        </is>
      </c>
      <c r="E293" t="inlineStr">
        <is>
          <t>OVANÅKER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29033-2025</t>
        </is>
      </c>
      <c r="B294" s="1" t="n">
        <v>45821.44239583334</v>
      </c>
      <c r="C294" s="1" t="n">
        <v>45996</v>
      </c>
      <c r="D294" t="inlineStr">
        <is>
          <t>GÄVLEBORGS LÄN</t>
        </is>
      </c>
      <c r="E294" t="inlineStr">
        <is>
          <t>OVANÅKER</t>
        </is>
      </c>
      <c r="G294" t="n">
        <v>21.1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29054-2025</t>
        </is>
      </c>
      <c r="B295" s="1" t="n">
        <v>45821.47021990741</v>
      </c>
      <c r="C295" s="1" t="n">
        <v>45996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60778-2022</t>
        </is>
      </c>
      <c r="B296" s="1" t="n">
        <v>44914.38366898148</v>
      </c>
      <c r="C296" s="1" t="n">
        <v>45996</v>
      </c>
      <c r="D296" t="inlineStr">
        <is>
          <t>GÄVLEBORGS LÄN</t>
        </is>
      </c>
      <c r="E296" t="inlineStr">
        <is>
          <t>OVANÅKER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60291-2022</t>
        </is>
      </c>
      <c r="B297" s="1" t="n">
        <v>44910.54173611111</v>
      </c>
      <c r="C297" s="1" t="n">
        <v>45996</v>
      </c>
      <c r="D297" t="inlineStr">
        <is>
          <t>GÄVLEBORGS LÄN</t>
        </is>
      </c>
      <c r="E297" t="inlineStr">
        <is>
          <t>OVANÅKER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57100-2024</t>
        </is>
      </c>
      <c r="B298" s="1" t="n">
        <v>45629</v>
      </c>
      <c r="C298" s="1" t="n">
        <v>45996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29423-2025</t>
        </is>
      </c>
      <c r="B299" s="1" t="n">
        <v>45824.64304398148</v>
      </c>
      <c r="C299" s="1" t="n">
        <v>45996</v>
      </c>
      <c r="D299" t="inlineStr">
        <is>
          <t>GÄVLEBORGS LÄN</t>
        </is>
      </c>
      <c r="E299" t="inlineStr">
        <is>
          <t>OVANÅKER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29402-2025</t>
        </is>
      </c>
      <c r="B300" s="1" t="n">
        <v>45824.61443287037</v>
      </c>
      <c r="C300" s="1" t="n">
        <v>45996</v>
      </c>
      <c r="D300" t="inlineStr">
        <is>
          <t>GÄVLEBORGS LÄN</t>
        </is>
      </c>
      <c r="E300" t="inlineStr">
        <is>
          <t>OVANÅKER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29614-2025</t>
        </is>
      </c>
      <c r="B301" s="1" t="n">
        <v>45825.42587962963</v>
      </c>
      <c r="C301" s="1" t="n">
        <v>45996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29635-2025</t>
        </is>
      </c>
      <c r="B302" s="1" t="n">
        <v>45825.45329861111</v>
      </c>
      <c r="C302" s="1" t="n">
        <v>45996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35094-2021</t>
        </is>
      </c>
      <c r="B303" s="1" t="n">
        <v>44384.34634259259</v>
      </c>
      <c r="C303" s="1" t="n">
        <v>45996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34451-2024</t>
        </is>
      </c>
      <c r="B304" s="1" t="n">
        <v>45525.55493055555</v>
      </c>
      <c r="C304" s="1" t="n">
        <v>45996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29249-2025</t>
        </is>
      </c>
      <c r="B305" s="1" t="n">
        <v>45824.37268518518</v>
      </c>
      <c r="C305" s="1" t="n">
        <v>45996</v>
      </c>
      <c r="D305" t="inlineStr">
        <is>
          <t>GÄVLEBORGS LÄN</t>
        </is>
      </c>
      <c r="E305" t="inlineStr">
        <is>
          <t>OVANÅKER</t>
        </is>
      </c>
      <c r="F305" t="inlineStr">
        <is>
          <t>Holmen skog AB</t>
        </is>
      </c>
      <c r="G305" t="n">
        <v>20.7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56087-2024</t>
        </is>
      </c>
      <c r="B306" s="1" t="n">
        <v>45624</v>
      </c>
      <c r="C306" s="1" t="n">
        <v>45996</v>
      </c>
      <c r="D306" t="inlineStr">
        <is>
          <t>GÄVLEBORGS LÄN</t>
        </is>
      </c>
      <c r="E306" t="inlineStr">
        <is>
          <t>OVANÅKER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30149-2025</t>
        </is>
      </c>
      <c r="B307" s="1" t="n">
        <v>45827.31229166667</v>
      </c>
      <c r="C307" s="1" t="n">
        <v>45996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29855-2025</t>
        </is>
      </c>
      <c r="B308" s="1" t="n">
        <v>45826.34469907408</v>
      </c>
      <c r="C308" s="1" t="n">
        <v>45996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29887-2025</t>
        </is>
      </c>
      <c r="B309" s="1" t="n">
        <v>45826.3696412037</v>
      </c>
      <c r="C309" s="1" t="n">
        <v>45996</v>
      </c>
      <c r="D309" t="inlineStr">
        <is>
          <t>GÄVLEBORGS LÄN</t>
        </is>
      </c>
      <c r="E309" t="inlineStr">
        <is>
          <t>OVANÅKER</t>
        </is>
      </c>
      <c r="F309" t="inlineStr">
        <is>
          <t>Holmen skog AB</t>
        </is>
      </c>
      <c r="G309" t="n">
        <v>13.7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29922-2025</t>
        </is>
      </c>
      <c r="B310" s="1" t="n">
        <v>45826.4253125</v>
      </c>
      <c r="C310" s="1" t="n">
        <v>45996</v>
      </c>
      <c r="D310" t="inlineStr">
        <is>
          <t>GÄVLEBORGS LÄN</t>
        </is>
      </c>
      <c r="E310" t="inlineStr">
        <is>
          <t>OVANÅKER</t>
        </is>
      </c>
      <c r="F310" t="inlineStr">
        <is>
          <t>Holmen skog AB</t>
        </is>
      </c>
      <c r="G310" t="n">
        <v>30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30044-2025</t>
        </is>
      </c>
      <c r="B311" s="1" t="n">
        <v>45826.57925925926</v>
      </c>
      <c r="C311" s="1" t="n">
        <v>45996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30123-2025</t>
        </is>
      </c>
      <c r="B312" s="1" t="n">
        <v>45826.7700462963</v>
      </c>
      <c r="C312" s="1" t="n">
        <v>45996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30033-2025</t>
        </is>
      </c>
      <c r="B313" s="1" t="n">
        <v>45826.56905092593</v>
      </c>
      <c r="C313" s="1" t="n">
        <v>45996</v>
      </c>
      <c r="D313" t="inlineStr">
        <is>
          <t>GÄVLEBORGS LÄN</t>
        </is>
      </c>
      <c r="E313" t="inlineStr">
        <is>
          <t>OVANÅKER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6761-2024</t>
        </is>
      </c>
      <c r="B314" s="1" t="n">
        <v>45342</v>
      </c>
      <c r="C314" s="1" t="n">
        <v>45996</v>
      </c>
      <c r="D314" t="inlineStr">
        <is>
          <t>GÄVLEBORGS LÄN</t>
        </is>
      </c>
      <c r="E314" t="inlineStr">
        <is>
          <t>OVANÅKER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30382-2025</t>
        </is>
      </c>
      <c r="B315" s="1" t="n">
        <v>45827.57060185185</v>
      </c>
      <c r="C315" s="1" t="n">
        <v>45996</v>
      </c>
      <c r="D315" t="inlineStr">
        <is>
          <t>GÄVLEBORGS LÄN</t>
        </is>
      </c>
      <c r="E315" t="inlineStr">
        <is>
          <t>OVANÅKER</t>
        </is>
      </c>
      <c r="F315" t="inlineStr">
        <is>
          <t>Holmen skog AB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30196-2025</t>
        </is>
      </c>
      <c r="B316" s="1" t="n">
        <v>45827.35413194444</v>
      </c>
      <c r="C316" s="1" t="n">
        <v>45996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29892-2025</t>
        </is>
      </c>
      <c r="B317" s="1" t="n">
        <v>45826.37696759259</v>
      </c>
      <c r="C317" s="1" t="n">
        <v>45996</v>
      </c>
      <c r="D317" t="inlineStr">
        <is>
          <t>GÄVLEBORGS LÄN</t>
        </is>
      </c>
      <c r="E317" t="inlineStr">
        <is>
          <t>OVANÅKER</t>
        </is>
      </c>
      <c r="F317" t="inlineStr">
        <is>
          <t>Holmen skog AB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30013-2025</t>
        </is>
      </c>
      <c r="B318" s="1" t="n">
        <v>45826.54642361111</v>
      </c>
      <c r="C318" s="1" t="n">
        <v>45996</v>
      </c>
      <c r="D318" t="inlineStr">
        <is>
          <t>GÄVLEBORGS LÄN</t>
        </is>
      </c>
      <c r="E318" t="inlineStr">
        <is>
          <t>OVANÅKER</t>
        </is>
      </c>
      <c r="F318" t="inlineStr">
        <is>
          <t>Holmen skog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29920-2025</t>
        </is>
      </c>
      <c r="B319" s="1" t="n">
        <v>45826.42377314815</v>
      </c>
      <c r="C319" s="1" t="n">
        <v>45996</v>
      </c>
      <c r="D319" t="inlineStr">
        <is>
          <t>GÄVLEBORGS LÄN</t>
        </is>
      </c>
      <c r="E319" t="inlineStr">
        <is>
          <t>OVANÅKER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30029-2025</t>
        </is>
      </c>
      <c r="B320" s="1" t="n">
        <v>45826.56724537037</v>
      </c>
      <c r="C320" s="1" t="n">
        <v>45996</v>
      </c>
      <c r="D320" t="inlineStr">
        <is>
          <t>GÄVLEBORGS LÄN</t>
        </is>
      </c>
      <c r="E320" t="inlineStr">
        <is>
          <t>OVANÅKER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39124-2025</t>
        </is>
      </c>
      <c r="B321" s="1" t="n">
        <v>45888.58320601852</v>
      </c>
      <c r="C321" s="1" t="n">
        <v>45996</v>
      </c>
      <c r="D321" t="inlineStr">
        <is>
          <t>GÄVLEBORGS LÄN</t>
        </is>
      </c>
      <c r="E321" t="inlineStr">
        <is>
          <t>OVANÅKER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44346-2023</t>
        </is>
      </c>
      <c r="B322" s="1" t="n">
        <v>45188</v>
      </c>
      <c r="C322" s="1" t="n">
        <v>45996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45534-2024</t>
        </is>
      </c>
      <c r="B323" s="1" t="n">
        <v>45579.30975694444</v>
      </c>
      <c r="C323" s="1" t="n">
        <v>45996</v>
      </c>
      <c r="D323" t="inlineStr">
        <is>
          <t>GÄVLEBORGS LÄN</t>
        </is>
      </c>
      <c r="E323" t="inlineStr">
        <is>
          <t>OVANÅKER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45546-2024</t>
        </is>
      </c>
      <c r="B324" s="1" t="n">
        <v>45579.3425462963</v>
      </c>
      <c r="C324" s="1" t="n">
        <v>45996</v>
      </c>
      <c r="D324" t="inlineStr">
        <is>
          <t>GÄVLEBORGS LÄN</t>
        </is>
      </c>
      <c r="E324" t="inlineStr">
        <is>
          <t>OVANÅKER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30156-2025</t>
        </is>
      </c>
      <c r="B325" s="1" t="n">
        <v>45827.31972222222</v>
      </c>
      <c r="C325" s="1" t="n">
        <v>45996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9286-2022</t>
        </is>
      </c>
      <c r="B326" s="1" t="n">
        <v>44616.45451388889</v>
      </c>
      <c r="C326" s="1" t="n">
        <v>45996</v>
      </c>
      <c r="D326" t="inlineStr">
        <is>
          <t>GÄVLEBORGS LÄN</t>
        </is>
      </c>
      <c r="E326" t="inlineStr">
        <is>
          <t>OVANÅKER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2911-2024</t>
        </is>
      </c>
      <c r="B327" s="1" t="n">
        <v>45315</v>
      </c>
      <c r="C327" s="1" t="n">
        <v>45996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30893-2023</t>
        </is>
      </c>
      <c r="B328" s="1" t="n">
        <v>45113.39641203704</v>
      </c>
      <c r="C328" s="1" t="n">
        <v>45996</v>
      </c>
      <c r="D328" t="inlineStr">
        <is>
          <t>GÄVLEBORGS LÄN</t>
        </is>
      </c>
      <c r="E328" t="inlineStr">
        <is>
          <t>OVANÅKER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30276-2025</t>
        </is>
      </c>
      <c r="B329" s="1" t="n">
        <v>45827.45482638889</v>
      </c>
      <c r="C329" s="1" t="n">
        <v>45996</v>
      </c>
      <c r="D329" t="inlineStr">
        <is>
          <t>GÄVLEBORGS LÄN</t>
        </is>
      </c>
      <c r="E329" t="inlineStr">
        <is>
          <t>OVANÅKER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29931-2025</t>
        </is>
      </c>
      <c r="B330" s="1" t="n">
        <v>45826.43832175926</v>
      </c>
      <c r="C330" s="1" t="n">
        <v>45996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öst AB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12129-2022</t>
        </is>
      </c>
      <c r="B331" s="1" t="n">
        <v>44636.60628472222</v>
      </c>
      <c r="C331" s="1" t="n">
        <v>45996</v>
      </c>
      <c r="D331" t="inlineStr">
        <is>
          <t>GÄVLEBORGS LÄN</t>
        </is>
      </c>
      <c r="E331" t="inlineStr">
        <is>
          <t>OVANÅKER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55371-2021</t>
        </is>
      </c>
      <c r="B332" s="1" t="n">
        <v>44475.49870370371</v>
      </c>
      <c r="C332" s="1" t="n">
        <v>45996</v>
      </c>
      <c r="D332" t="inlineStr">
        <is>
          <t>GÄVLEBORGS LÄN</t>
        </is>
      </c>
      <c r="E332" t="inlineStr">
        <is>
          <t>OVANÅKER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30826-2025</t>
        </is>
      </c>
      <c r="B333" s="1" t="n">
        <v>45831.67693287037</v>
      </c>
      <c r="C333" s="1" t="n">
        <v>45996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39083-2025</t>
        </is>
      </c>
      <c r="B334" s="1" t="n">
        <v>45888.48833333333</v>
      </c>
      <c r="C334" s="1" t="n">
        <v>45996</v>
      </c>
      <c r="D334" t="inlineStr">
        <is>
          <t>GÄVLEBORGS LÄN</t>
        </is>
      </c>
      <c r="E334" t="inlineStr">
        <is>
          <t>OVANÅKER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49125-2023</t>
        </is>
      </c>
      <c r="B335" s="1" t="n">
        <v>45210.46990740741</v>
      </c>
      <c r="C335" s="1" t="n">
        <v>45996</v>
      </c>
      <c r="D335" t="inlineStr">
        <is>
          <t>GÄVLEBORGS LÄN</t>
        </is>
      </c>
      <c r="E335" t="inlineStr">
        <is>
          <t>OVANÅKER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10689-2025</t>
        </is>
      </c>
      <c r="B336" s="1" t="n">
        <v>45722.29954861111</v>
      </c>
      <c r="C336" s="1" t="n">
        <v>45996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30953-2025</t>
        </is>
      </c>
      <c r="B337" s="1" t="n">
        <v>45832.43494212963</v>
      </c>
      <c r="C337" s="1" t="n">
        <v>45996</v>
      </c>
      <c r="D337" t="inlineStr">
        <is>
          <t>GÄVLEBORGS LÄN</t>
        </is>
      </c>
      <c r="E337" t="inlineStr">
        <is>
          <t>OVANÅKER</t>
        </is>
      </c>
      <c r="G337" t="n">
        <v>15.3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1198-2024</t>
        </is>
      </c>
      <c r="B338" s="1" t="n">
        <v>45302.6066087963</v>
      </c>
      <c r="C338" s="1" t="n">
        <v>45996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38980-2025</t>
        </is>
      </c>
      <c r="B339" s="1" t="n">
        <v>45888.27564814815</v>
      </c>
      <c r="C339" s="1" t="n">
        <v>45996</v>
      </c>
      <c r="D339" t="inlineStr">
        <is>
          <t>GÄVLEBORGS LÄN</t>
        </is>
      </c>
      <c r="E339" t="inlineStr">
        <is>
          <t>OVANÅKER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62215-2022</t>
        </is>
      </c>
      <c r="B340" s="1" t="n">
        <v>44922.65163194444</v>
      </c>
      <c r="C340" s="1" t="n">
        <v>45996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53821-2023</t>
        </is>
      </c>
      <c r="B341" s="1" t="n">
        <v>45231.40760416666</v>
      </c>
      <c r="C341" s="1" t="n">
        <v>45996</v>
      </c>
      <c r="D341" t="inlineStr">
        <is>
          <t>GÄVLEBORGS LÄN</t>
        </is>
      </c>
      <c r="E341" t="inlineStr">
        <is>
          <t>OVANÅKER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39449-2025</t>
        </is>
      </c>
      <c r="B342" s="1" t="n">
        <v>45889</v>
      </c>
      <c r="C342" s="1" t="n">
        <v>45996</v>
      </c>
      <c r="D342" t="inlineStr">
        <is>
          <t>GÄVLEBORGS LÄN</t>
        </is>
      </c>
      <c r="E342" t="inlineStr">
        <is>
          <t>OVANÅKER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41990-2023</t>
        </is>
      </c>
      <c r="B343" s="1" t="n">
        <v>45177</v>
      </c>
      <c r="C343" s="1" t="n">
        <v>45996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16968-2023</t>
        </is>
      </c>
      <c r="B344" s="1" t="n">
        <v>45033</v>
      </c>
      <c r="C344" s="1" t="n">
        <v>45996</v>
      </c>
      <c r="D344" t="inlineStr">
        <is>
          <t>GÄVLEBORGS LÄN</t>
        </is>
      </c>
      <c r="E344" t="inlineStr">
        <is>
          <t>OVANÅKER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39384-2023</t>
        </is>
      </c>
      <c r="B345" s="1" t="n">
        <v>45166.64621527777</v>
      </c>
      <c r="C345" s="1" t="n">
        <v>45996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31458-2025</t>
        </is>
      </c>
      <c r="B346" s="1" t="n">
        <v>45833.54105324074</v>
      </c>
      <c r="C346" s="1" t="n">
        <v>45996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39495-2025</t>
        </is>
      </c>
      <c r="B347" s="1" t="n">
        <v>45890.37769675926</v>
      </c>
      <c r="C347" s="1" t="n">
        <v>45996</v>
      </c>
      <c r="D347" t="inlineStr">
        <is>
          <t>GÄVLEBORGS LÄN</t>
        </is>
      </c>
      <c r="E347" t="inlineStr">
        <is>
          <t>OVANÅKER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18505-2025</t>
        </is>
      </c>
      <c r="B348" s="1" t="n">
        <v>45763.37523148148</v>
      </c>
      <c r="C348" s="1" t="n">
        <v>45996</v>
      </c>
      <c r="D348" t="inlineStr">
        <is>
          <t>GÄVLEBORGS LÄN</t>
        </is>
      </c>
      <c r="E348" t="inlineStr">
        <is>
          <t>OVANÅKER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39542-2025</t>
        </is>
      </c>
      <c r="B349" s="1" t="n">
        <v>45890.45476851852</v>
      </c>
      <c r="C349" s="1" t="n">
        <v>45996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34490-2024</t>
        </is>
      </c>
      <c r="B350" s="1" t="n">
        <v>45525.61373842593</v>
      </c>
      <c r="C350" s="1" t="n">
        <v>45996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32258-2025</t>
        </is>
      </c>
      <c r="B351" s="1" t="n">
        <v>45835.64104166667</v>
      </c>
      <c r="C351" s="1" t="n">
        <v>45996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61827-2022</t>
        </is>
      </c>
      <c r="B352" s="1" t="n">
        <v>44917</v>
      </c>
      <c r="C352" s="1" t="n">
        <v>45996</v>
      </c>
      <c r="D352" t="inlineStr">
        <is>
          <t>GÄVLEBORGS LÄN</t>
        </is>
      </c>
      <c r="E352" t="inlineStr">
        <is>
          <t>OVANÅKER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12549-2025</t>
        </is>
      </c>
      <c r="B353" s="1" t="n">
        <v>45731.3146412037</v>
      </c>
      <c r="C353" s="1" t="n">
        <v>45996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32182-2025</t>
        </is>
      </c>
      <c r="B354" s="1" t="n">
        <v>45835.56259259259</v>
      </c>
      <c r="C354" s="1" t="n">
        <v>45996</v>
      </c>
      <c r="D354" t="inlineStr">
        <is>
          <t>GÄVLEBORGS LÄN</t>
        </is>
      </c>
      <c r="E354" t="inlineStr">
        <is>
          <t>OVANÅKER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32177-2025</t>
        </is>
      </c>
      <c r="B355" s="1" t="n">
        <v>45835.55826388889</v>
      </c>
      <c r="C355" s="1" t="n">
        <v>45996</v>
      </c>
      <c r="D355" t="inlineStr">
        <is>
          <t>GÄVLEBORGS LÄN</t>
        </is>
      </c>
      <c r="E355" t="inlineStr">
        <is>
          <t>OVANÅKER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32169-2025</t>
        </is>
      </c>
      <c r="B356" s="1" t="n">
        <v>45835.55002314815</v>
      </c>
      <c r="C356" s="1" t="n">
        <v>45996</v>
      </c>
      <c r="D356" t="inlineStr">
        <is>
          <t>GÄVLEBORGS LÄN</t>
        </is>
      </c>
      <c r="E356" t="inlineStr">
        <is>
          <t>OVANÅKER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31885-2025</t>
        </is>
      </c>
      <c r="B357" s="1" t="n">
        <v>45834</v>
      </c>
      <c r="C357" s="1" t="n">
        <v>45996</v>
      </c>
      <c r="D357" t="inlineStr">
        <is>
          <t>GÄVLEBORGS LÄN</t>
        </is>
      </c>
      <c r="E357" t="inlineStr">
        <is>
          <t>OVANÅKER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37306-2024</t>
        </is>
      </c>
      <c r="B358" s="1" t="n">
        <v>45540</v>
      </c>
      <c r="C358" s="1" t="n">
        <v>45996</v>
      </c>
      <c r="D358" t="inlineStr">
        <is>
          <t>GÄVLEBORGS LÄN</t>
        </is>
      </c>
      <c r="E358" t="inlineStr">
        <is>
          <t>OVANÅKER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38369-2024</t>
        </is>
      </c>
      <c r="B359" s="1" t="n">
        <v>45545.83730324074</v>
      </c>
      <c r="C359" s="1" t="n">
        <v>45996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31878-2025</t>
        </is>
      </c>
      <c r="B360" s="1" t="n">
        <v>45834</v>
      </c>
      <c r="C360" s="1" t="n">
        <v>45996</v>
      </c>
      <c r="D360" t="inlineStr">
        <is>
          <t>GÄVLEBORGS LÄN</t>
        </is>
      </c>
      <c r="E360" t="inlineStr">
        <is>
          <t>OVANÅKER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39626-2025</t>
        </is>
      </c>
      <c r="B361" s="1" t="n">
        <v>45890</v>
      </c>
      <c r="C361" s="1" t="n">
        <v>45996</v>
      </c>
      <c r="D361" t="inlineStr">
        <is>
          <t>GÄVLEBORGS LÄN</t>
        </is>
      </c>
      <c r="E361" t="inlineStr">
        <is>
          <t>OVANÅKER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39536-2025</t>
        </is>
      </c>
      <c r="B362" s="1" t="n">
        <v>45890.44886574074</v>
      </c>
      <c r="C362" s="1" t="n">
        <v>45996</v>
      </c>
      <c r="D362" t="inlineStr">
        <is>
          <t>GÄVLEBORGS LÄN</t>
        </is>
      </c>
      <c r="E362" t="inlineStr">
        <is>
          <t>OVANÅKER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40400-2022</t>
        </is>
      </c>
      <c r="B363" s="1" t="n">
        <v>44823</v>
      </c>
      <c r="C363" s="1" t="n">
        <v>45996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32932-2025</t>
        </is>
      </c>
      <c r="B364" s="1" t="n">
        <v>45839.67134259259</v>
      </c>
      <c r="C364" s="1" t="n">
        <v>45996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3044-2023</t>
        </is>
      </c>
      <c r="B365" s="1" t="n">
        <v>44946</v>
      </c>
      <c r="C365" s="1" t="n">
        <v>45996</v>
      </c>
      <c r="D365" t="inlineStr">
        <is>
          <t>GÄVLEBORGS LÄN</t>
        </is>
      </c>
      <c r="E365" t="inlineStr">
        <is>
          <t>OVANÅKER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32611-2025</t>
        </is>
      </c>
      <c r="B366" s="1" t="n">
        <v>45838.63525462963</v>
      </c>
      <c r="C366" s="1" t="n">
        <v>45996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26027-2024</t>
        </is>
      </c>
      <c r="B367" s="1" t="n">
        <v>45467.96223379629</v>
      </c>
      <c r="C367" s="1" t="n">
        <v>45996</v>
      </c>
      <c r="D367" t="inlineStr">
        <is>
          <t>GÄVLEBORGS LÄN</t>
        </is>
      </c>
      <c r="E367" t="inlineStr">
        <is>
          <t>OVANÅKER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18562-2025</t>
        </is>
      </c>
      <c r="B368" s="1" t="n">
        <v>45763.4484375</v>
      </c>
      <c r="C368" s="1" t="n">
        <v>45996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32886-2025</t>
        </is>
      </c>
      <c r="B369" s="1" t="n">
        <v>45839.59930555556</v>
      </c>
      <c r="C369" s="1" t="n">
        <v>45996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11932-2025</t>
        </is>
      </c>
      <c r="B370" s="1" t="n">
        <v>45728.52451388889</v>
      </c>
      <c r="C370" s="1" t="n">
        <v>45996</v>
      </c>
      <c r="D370" t="inlineStr">
        <is>
          <t>GÄVLEBORGS LÄN</t>
        </is>
      </c>
      <c r="E370" t="inlineStr">
        <is>
          <t>OVANÅKER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32914-2025</t>
        </is>
      </c>
      <c r="B371" s="1" t="n">
        <v>45839.63633101852</v>
      </c>
      <c r="C371" s="1" t="n">
        <v>45996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32930-2025</t>
        </is>
      </c>
      <c r="B372" s="1" t="n">
        <v>45839.66732638889</v>
      </c>
      <c r="C372" s="1" t="n">
        <v>45996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27534-2021</t>
        </is>
      </c>
      <c r="B373" s="1" t="n">
        <v>44351.67798611111</v>
      </c>
      <c r="C373" s="1" t="n">
        <v>45996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27536-2021</t>
        </is>
      </c>
      <c r="B374" s="1" t="n">
        <v>44351.67927083333</v>
      </c>
      <c r="C374" s="1" t="n">
        <v>45996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36478-2025</t>
        </is>
      </c>
      <c r="B375" s="1" t="n">
        <v>45869.49104166667</v>
      </c>
      <c r="C375" s="1" t="n">
        <v>45996</v>
      </c>
      <c r="D375" t="inlineStr">
        <is>
          <t>GÄVLEBORGS LÄN</t>
        </is>
      </c>
      <c r="E375" t="inlineStr">
        <is>
          <t>OVANÅKER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32831-2025</t>
        </is>
      </c>
      <c r="B376" s="1" t="n">
        <v>45839.55167824074</v>
      </c>
      <c r="C376" s="1" t="n">
        <v>45996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32926-2025</t>
        </is>
      </c>
      <c r="B377" s="1" t="n">
        <v>45839.6599074074</v>
      </c>
      <c r="C377" s="1" t="n">
        <v>45996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54146-2024</t>
        </is>
      </c>
      <c r="B378" s="1" t="n">
        <v>45616.59899305556</v>
      </c>
      <c r="C378" s="1" t="n">
        <v>45996</v>
      </c>
      <c r="D378" t="inlineStr">
        <is>
          <t>GÄVLEBORGS LÄN</t>
        </is>
      </c>
      <c r="E378" t="inlineStr">
        <is>
          <t>OVANÅKER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13047-2023</t>
        </is>
      </c>
      <c r="B379" s="1" t="n">
        <v>45002</v>
      </c>
      <c r="C379" s="1" t="n">
        <v>45996</v>
      </c>
      <c r="D379" t="inlineStr">
        <is>
          <t>GÄVLEBORGS LÄN</t>
        </is>
      </c>
      <c r="E379" t="inlineStr">
        <is>
          <t>OVANÅKER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53845-2023</t>
        </is>
      </c>
      <c r="B380" s="1" t="n">
        <v>45231.44913194444</v>
      </c>
      <c r="C380" s="1" t="n">
        <v>45996</v>
      </c>
      <c r="D380" t="inlineStr">
        <is>
          <t>GÄVLEBORGS LÄN</t>
        </is>
      </c>
      <c r="E380" t="inlineStr">
        <is>
          <t>OVANÅKER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33198-2024</t>
        </is>
      </c>
      <c r="B381" s="1" t="n">
        <v>45518</v>
      </c>
      <c r="C381" s="1" t="n">
        <v>45996</v>
      </c>
      <c r="D381" t="inlineStr">
        <is>
          <t>GÄVLEBORGS LÄN</t>
        </is>
      </c>
      <c r="E381" t="inlineStr">
        <is>
          <t>OVANÅKER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39538-2025</t>
        </is>
      </c>
      <c r="B382" s="1" t="n">
        <v>45890.45074074074</v>
      </c>
      <c r="C382" s="1" t="n">
        <v>45996</v>
      </c>
      <c r="D382" t="inlineStr">
        <is>
          <t>GÄVLEBORGS LÄN</t>
        </is>
      </c>
      <c r="E382" t="inlineStr">
        <is>
          <t>OVANÅKER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33016-2025</t>
        </is>
      </c>
      <c r="B383" s="1" t="n">
        <v>45840.36652777778</v>
      </c>
      <c r="C383" s="1" t="n">
        <v>45996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39611-2025</t>
        </is>
      </c>
      <c r="B384" s="1" t="n">
        <v>45890</v>
      </c>
      <c r="C384" s="1" t="n">
        <v>45996</v>
      </c>
      <c r="D384" t="inlineStr">
        <is>
          <t>GÄVLEBORGS LÄN</t>
        </is>
      </c>
      <c r="E384" t="inlineStr">
        <is>
          <t>OVANÅKER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39710-2025</t>
        </is>
      </c>
      <c r="B385" s="1" t="n">
        <v>45890.85690972222</v>
      </c>
      <c r="C385" s="1" t="n">
        <v>45996</v>
      </c>
      <c r="D385" t="inlineStr">
        <is>
          <t>GÄVLEBORGS LÄN</t>
        </is>
      </c>
      <c r="E385" t="inlineStr">
        <is>
          <t>OVANÅKER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39715-2025</t>
        </is>
      </c>
      <c r="B386" s="1" t="n">
        <v>45891.27148148148</v>
      </c>
      <c r="C386" s="1" t="n">
        <v>45996</v>
      </c>
      <c r="D386" t="inlineStr">
        <is>
          <t>GÄVLEBORGS LÄN</t>
        </is>
      </c>
      <c r="E386" t="inlineStr">
        <is>
          <t>OVANÅKER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39716-2025</t>
        </is>
      </c>
      <c r="B387" s="1" t="n">
        <v>45891.29358796297</v>
      </c>
      <c r="C387" s="1" t="n">
        <v>45996</v>
      </c>
      <c r="D387" t="inlineStr">
        <is>
          <t>GÄVLEBORGS LÄN</t>
        </is>
      </c>
      <c r="E387" t="inlineStr">
        <is>
          <t>OVANÅKER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33459-2025</t>
        </is>
      </c>
      <c r="B388" s="1" t="n">
        <v>45841.47872685185</v>
      </c>
      <c r="C388" s="1" t="n">
        <v>45996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55477-2022</t>
        </is>
      </c>
      <c r="B389" s="1" t="n">
        <v>44887</v>
      </c>
      <c r="C389" s="1" t="n">
        <v>45996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33335-2025</t>
        </is>
      </c>
      <c r="B390" s="1" t="n">
        <v>45841.35607638889</v>
      </c>
      <c r="C390" s="1" t="n">
        <v>45996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44859-2024</t>
        </is>
      </c>
      <c r="B391" s="1" t="n">
        <v>45575.29123842593</v>
      </c>
      <c r="C391" s="1" t="n">
        <v>45996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33008-2025</t>
        </is>
      </c>
      <c r="B392" s="1" t="n">
        <v>45840.35980324074</v>
      </c>
      <c r="C392" s="1" t="n">
        <v>45996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33426-2025</t>
        </is>
      </c>
      <c r="B393" s="1" t="n">
        <v>45841.44555555555</v>
      </c>
      <c r="C393" s="1" t="n">
        <v>45996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991-2025</t>
        </is>
      </c>
      <c r="B394" s="1" t="n">
        <v>45666</v>
      </c>
      <c r="C394" s="1" t="n">
        <v>45996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13141-2024</t>
        </is>
      </c>
      <c r="B395" s="1" t="n">
        <v>45386.34681712963</v>
      </c>
      <c r="C395" s="1" t="n">
        <v>45996</v>
      </c>
      <c r="D395" t="inlineStr">
        <is>
          <t>GÄVLEBORGS LÄN</t>
        </is>
      </c>
      <c r="E395" t="inlineStr">
        <is>
          <t>OVANÅKER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20117-2025</t>
        </is>
      </c>
      <c r="B396" s="1" t="n">
        <v>45772.48638888889</v>
      </c>
      <c r="C396" s="1" t="n">
        <v>45996</v>
      </c>
      <c r="D396" t="inlineStr">
        <is>
          <t>GÄVLEBORGS LÄN</t>
        </is>
      </c>
      <c r="E396" t="inlineStr">
        <is>
          <t>OVANÅKER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11482-2025</t>
        </is>
      </c>
      <c r="B397" s="1" t="n">
        <v>45726.69202546297</v>
      </c>
      <c r="C397" s="1" t="n">
        <v>45996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5059-2023</t>
        </is>
      </c>
      <c r="B398" s="1" t="n">
        <v>44958</v>
      </c>
      <c r="C398" s="1" t="n">
        <v>45996</v>
      </c>
      <c r="D398" t="inlineStr">
        <is>
          <t>GÄVLEBORGS LÄN</t>
        </is>
      </c>
      <c r="E398" t="inlineStr">
        <is>
          <t>OVANÅKER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13123-2023</t>
        </is>
      </c>
      <c r="B399" s="1" t="n">
        <v>45002.49291666667</v>
      </c>
      <c r="C399" s="1" t="n">
        <v>45996</v>
      </c>
      <c r="D399" t="inlineStr">
        <is>
          <t>GÄVLEBORGS LÄN</t>
        </is>
      </c>
      <c r="E399" t="inlineStr">
        <is>
          <t>OVANÅKER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24056-2024</t>
        </is>
      </c>
      <c r="B400" s="1" t="n">
        <v>45456.52451388889</v>
      </c>
      <c r="C400" s="1" t="n">
        <v>45996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24074-2024</t>
        </is>
      </c>
      <c r="B401" s="1" t="n">
        <v>45456</v>
      </c>
      <c r="C401" s="1" t="n">
        <v>45996</v>
      </c>
      <c r="D401" t="inlineStr">
        <is>
          <t>GÄVLEBORGS LÄN</t>
        </is>
      </c>
      <c r="E401" t="inlineStr">
        <is>
          <t>OVANÅKER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19657-2023</t>
        </is>
      </c>
      <c r="B402" s="1" t="n">
        <v>45051</v>
      </c>
      <c r="C402" s="1" t="n">
        <v>45996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53604-2023</t>
        </is>
      </c>
      <c r="B403" s="1" t="n">
        <v>45230.56694444444</v>
      </c>
      <c r="C403" s="1" t="n">
        <v>45996</v>
      </c>
      <c r="D403" t="inlineStr">
        <is>
          <t>GÄVLEBORGS LÄN</t>
        </is>
      </c>
      <c r="E403" t="inlineStr">
        <is>
          <t>OVANÅKER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34321-2025</t>
        </is>
      </c>
      <c r="B404" s="1" t="n">
        <v>45846.42568287037</v>
      </c>
      <c r="C404" s="1" t="n">
        <v>45996</v>
      </c>
      <c r="D404" t="inlineStr">
        <is>
          <t>GÄVLEBORGS LÄN</t>
        </is>
      </c>
      <c r="E404" t="inlineStr">
        <is>
          <t>OVANÅKER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50236-2023</t>
        </is>
      </c>
      <c r="B405" s="1" t="n">
        <v>45216</v>
      </c>
      <c r="C405" s="1" t="n">
        <v>45996</v>
      </c>
      <c r="D405" t="inlineStr">
        <is>
          <t>GÄVLEBORGS LÄN</t>
        </is>
      </c>
      <c r="E405" t="inlineStr">
        <is>
          <t>OVANÅKER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36452-2023</t>
        </is>
      </c>
      <c r="B406" s="1" t="n">
        <v>45152</v>
      </c>
      <c r="C406" s="1" t="n">
        <v>45996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55411-2024</t>
        </is>
      </c>
      <c r="B407" s="1" t="n">
        <v>45622.36931712963</v>
      </c>
      <c r="C407" s="1" t="n">
        <v>45996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29380-2023</t>
        </is>
      </c>
      <c r="B408" s="1" t="n">
        <v>45106.39375</v>
      </c>
      <c r="C408" s="1" t="n">
        <v>45996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12139-2021</t>
        </is>
      </c>
      <c r="B409" s="1" t="n">
        <v>44266</v>
      </c>
      <c r="C409" s="1" t="n">
        <v>45996</v>
      </c>
      <c r="D409" t="inlineStr">
        <is>
          <t>GÄVLEBORGS LÄN</t>
        </is>
      </c>
      <c r="E409" t="inlineStr">
        <is>
          <t>OVANÅKER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26365-2021</t>
        </is>
      </c>
      <c r="B410" s="1" t="n">
        <v>44347.65292824074</v>
      </c>
      <c r="C410" s="1" t="n">
        <v>45996</v>
      </c>
      <c r="D410" t="inlineStr">
        <is>
          <t>GÄVLEBORGS LÄN</t>
        </is>
      </c>
      <c r="E410" t="inlineStr">
        <is>
          <t>OVANÅKER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55281-2023</t>
        </is>
      </c>
      <c r="B411" s="1" t="n">
        <v>45237.71347222223</v>
      </c>
      <c r="C411" s="1" t="n">
        <v>45996</v>
      </c>
      <c r="D411" t="inlineStr">
        <is>
          <t>GÄVLEBORGS LÄN</t>
        </is>
      </c>
      <c r="E411" t="inlineStr">
        <is>
          <t>OVANÅKER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19632-2024</t>
        </is>
      </c>
      <c r="B412" s="1" t="n">
        <v>45432.36549768518</v>
      </c>
      <c r="C412" s="1" t="n">
        <v>45996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35075-2025</t>
        </is>
      </c>
      <c r="B413" s="1" t="n">
        <v>45852.48225694444</v>
      </c>
      <c r="C413" s="1" t="n">
        <v>45996</v>
      </c>
      <c r="D413" t="inlineStr">
        <is>
          <t>GÄVLEBORGS LÄN</t>
        </is>
      </c>
      <c r="E413" t="inlineStr">
        <is>
          <t>OVANÅKER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60275-2022</t>
        </is>
      </c>
      <c r="B414" s="1" t="n">
        <v>44910</v>
      </c>
      <c r="C414" s="1" t="n">
        <v>45996</v>
      </c>
      <c r="D414" t="inlineStr">
        <is>
          <t>GÄVLEBORGS LÄN</t>
        </is>
      </c>
      <c r="E414" t="inlineStr">
        <is>
          <t>OVANÅKER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35069-2025</t>
        </is>
      </c>
      <c r="B415" s="1" t="n">
        <v>45852.46069444445</v>
      </c>
      <c r="C415" s="1" t="n">
        <v>45996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51700-2022</t>
        </is>
      </c>
      <c r="B416" s="1" t="n">
        <v>44872</v>
      </c>
      <c r="C416" s="1" t="n">
        <v>45996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51734-2022</t>
        </is>
      </c>
      <c r="B417" s="1" t="n">
        <v>44872.47747685185</v>
      </c>
      <c r="C417" s="1" t="n">
        <v>45996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20356-2021</t>
        </is>
      </c>
      <c r="B418" s="1" t="n">
        <v>44315.429375</v>
      </c>
      <c r="C418" s="1" t="n">
        <v>45996</v>
      </c>
      <c r="D418" t="inlineStr">
        <is>
          <t>GÄVLEBORGS LÄN</t>
        </is>
      </c>
      <c r="E418" t="inlineStr">
        <is>
          <t>OVANÅKER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29046-2025</t>
        </is>
      </c>
      <c r="B419" s="1" t="n">
        <v>45821.45869212963</v>
      </c>
      <c r="C419" s="1" t="n">
        <v>45996</v>
      </c>
      <c r="D419" t="inlineStr">
        <is>
          <t>GÄVLEBORGS LÄN</t>
        </is>
      </c>
      <c r="E419" t="inlineStr">
        <is>
          <t>OVANÅKER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49565-2021</t>
        </is>
      </c>
      <c r="B420" s="1" t="n">
        <v>44455.36539351852</v>
      </c>
      <c r="C420" s="1" t="n">
        <v>45996</v>
      </c>
      <c r="D420" t="inlineStr">
        <is>
          <t>GÄVLEBORGS LÄN</t>
        </is>
      </c>
      <c r="E420" t="inlineStr">
        <is>
          <t>OVANÅKER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35029-2025</t>
        </is>
      </c>
      <c r="B421" s="1" t="n">
        <v>45852.30025462963</v>
      </c>
      <c r="C421" s="1" t="n">
        <v>45996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35311-2025</t>
        </is>
      </c>
      <c r="B422" s="1" t="n">
        <v>45854.45430555556</v>
      </c>
      <c r="C422" s="1" t="n">
        <v>45996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53818-2023</t>
        </is>
      </c>
      <c r="B423" s="1" t="n">
        <v>45231</v>
      </c>
      <c r="C423" s="1" t="n">
        <v>45996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55811-2023</t>
        </is>
      </c>
      <c r="B424" s="1" t="n">
        <v>45239</v>
      </c>
      <c r="C424" s="1" t="n">
        <v>45996</v>
      </c>
      <c r="D424" t="inlineStr">
        <is>
          <t>GÄVLEBORGS LÄN</t>
        </is>
      </c>
      <c r="E424" t="inlineStr">
        <is>
          <t>OVANÅKER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35302-2025</t>
        </is>
      </c>
      <c r="B425" s="1" t="n">
        <v>45854.42663194444</v>
      </c>
      <c r="C425" s="1" t="n">
        <v>45996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47380-2024</t>
        </is>
      </c>
      <c r="B426" s="1" t="n">
        <v>45587.45914351852</v>
      </c>
      <c r="C426" s="1" t="n">
        <v>45996</v>
      </c>
      <c r="D426" t="inlineStr">
        <is>
          <t>GÄVLEBORGS LÄN</t>
        </is>
      </c>
      <c r="E426" t="inlineStr">
        <is>
          <t>OVANÅKER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25939-2021</t>
        </is>
      </c>
      <c r="B427" s="1" t="n">
        <v>44344.47533564815</v>
      </c>
      <c r="C427" s="1" t="n">
        <v>45996</v>
      </c>
      <c r="D427" t="inlineStr">
        <is>
          <t>GÄVLEBORGS LÄN</t>
        </is>
      </c>
      <c r="E427" t="inlineStr">
        <is>
          <t>OVANÅKER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35812-2025</t>
        </is>
      </c>
      <c r="B428" s="1" t="n">
        <v>45861.43253472223</v>
      </c>
      <c r="C428" s="1" t="n">
        <v>45996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35823-2025</t>
        </is>
      </c>
      <c r="B429" s="1" t="n">
        <v>45861.47555555555</v>
      </c>
      <c r="C429" s="1" t="n">
        <v>45996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35849-2025</t>
        </is>
      </c>
      <c r="B430" s="1" t="n">
        <v>45861.590625</v>
      </c>
      <c r="C430" s="1" t="n">
        <v>45996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35993-2024</t>
        </is>
      </c>
      <c r="B431" s="1" t="n">
        <v>45533.53946759259</v>
      </c>
      <c r="C431" s="1" t="n">
        <v>45996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40946-2025</t>
        </is>
      </c>
      <c r="B432" s="1" t="n">
        <v>45897.65844907407</v>
      </c>
      <c r="C432" s="1" t="n">
        <v>45996</v>
      </c>
      <c r="D432" t="inlineStr">
        <is>
          <t>GÄVLEBORGS LÄN</t>
        </is>
      </c>
      <c r="E432" t="inlineStr">
        <is>
          <t>OVANÅKER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48298-2023</t>
        </is>
      </c>
      <c r="B433" s="1" t="n">
        <v>45205</v>
      </c>
      <c r="C433" s="1" t="n">
        <v>45996</v>
      </c>
      <c r="D433" t="inlineStr">
        <is>
          <t>GÄVLEBORGS LÄN</t>
        </is>
      </c>
      <c r="E433" t="inlineStr">
        <is>
          <t>OVANÅKER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16911-2025</t>
        </is>
      </c>
      <c r="B434" s="1" t="n">
        <v>45755.36253472222</v>
      </c>
      <c r="C434" s="1" t="n">
        <v>45996</v>
      </c>
      <c r="D434" t="inlineStr">
        <is>
          <t>GÄVLEBORGS LÄN</t>
        </is>
      </c>
      <c r="E434" t="inlineStr">
        <is>
          <t>OVANÅKER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35840-2025</t>
        </is>
      </c>
      <c r="B435" s="1" t="n">
        <v>45861.5499537037</v>
      </c>
      <c r="C435" s="1" t="n">
        <v>45996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35846-2025</t>
        </is>
      </c>
      <c r="B436" s="1" t="n">
        <v>45861.57856481482</v>
      </c>
      <c r="C436" s="1" t="n">
        <v>45996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17672-2025</t>
        </is>
      </c>
      <c r="B437" s="1" t="n">
        <v>45758.36832175926</v>
      </c>
      <c r="C437" s="1" t="n">
        <v>45996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50389-2024</t>
        </is>
      </c>
      <c r="B438" s="1" t="n">
        <v>45601.33396990741</v>
      </c>
      <c r="C438" s="1" t="n">
        <v>45996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24134-2024</t>
        </is>
      </c>
      <c r="B439" s="1" t="n">
        <v>45456.63509259259</v>
      </c>
      <c r="C439" s="1" t="n">
        <v>45996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24137-2024</t>
        </is>
      </c>
      <c r="B440" s="1" t="n">
        <v>45456.63956018518</v>
      </c>
      <c r="C440" s="1" t="n">
        <v>45996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40489-2025</t>
        </is>
      </c>
      <c r="B441" s="1" t="n">
        <v>45895.89425925926</v>
      </c>
      <c r="C441" s="1" t="n">
        <v>45996</v>
      </c>
      <c r="D441" t="inlineStr">
        <is>
          <t>GÄVLEBORGS LÄN</t>
        </is>
      </c>
      <c r="E441" t="inlineStr">
        <is>
          <t>OVANÅKER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10888-2025</t>
        </is>
      </c>
      <c r="B442" s="1" t="n">
        <v>45722.67070601852</v>
      </c>
      <c r="C442" s="1" t="n">
        <v>45996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28446-2024</t>
        </is>
      </c>
      <c r="B443" s="1" t="n">
        <v>45477.67075231481</v>
      </c>
      <c r="C443" s="1" t="n">
        <v>45996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36140-2025</t>
        </is>
      </c>
      <c r="B444" s="1" t="n">
        <v>45866.65291666667</v>
      </c>
      <c r="C444" s="1" t="n">
        <v>45996</v>
      </c>
      <c r="D444" t="inlineStr">
        <is>
          <t>GÄVLEBORGS LÄN</t>
        </is>
      </c>
      <c r="E444" t="inlineStr">
        <is>
          <t>OVANÅKER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52158-2023</t>
        </is>
      </c>
      <c r="B445" s="1" t="n">
        <v>45224.31581018519</v>
      </c>
      <c r="C445" s="1" t="n">
        <v>45996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36136-2025</t>
        </is>
      </c>
      <c r="B446" s="1" t="n">
        <v>45866.63949074074</v>
      </c>
      <c r="C446" s="1" t="n">
        <v>45996</v>
      </c>
      <c r="D446" t="inlineStr">
        <is>
          <t>GÄVLEBORGS LÄN</t>
        </is>
      </c>
      <c r="E446" t="inlineStr">
        <is>
          <t>OVANÅKER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36184-2025</t>
        </is>
      </c>
      <c r="B447" s="1" t="n">
        <v>45867.41747685185</v>
      </c>
      <c r="C447" s="1" t="n">
        <v>45996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36076-2025</t>
        </is>
      </c>
      <c r="B448" s="1" t="n">
        <v>45866.44275462963</v>
      </c>
      <c r="C448" s="1" t="n">
        <v>45996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23.7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40491-2025</t>
        </is>
      </c>
      <c r="B449" s="1" t="n">
        <v>45895.92241898148</v>
      </c>
      <c r="C449" s="1" t="n">
        <v>45996</v>
      </c>
      <c r="D449" t="inlineStr">
        <is>
          <t>GÄVLEBORGS LÄN</t>
        </is>
      </c>
      <c r="E449" t="inlineStr">
        <is>
          <t>OVANÅKER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36158-2025</t>
        </is>
      </c>
      <c r="B450" s="1" t="n">
        <v>45867.35741898148</v>
      </c>
      <c r="C450" s="1" t="n">
        <v>45996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40941-2025</t>
        </is>
      </c>
      <c r="B451" s="1" t="n">
        <v>45897.65469907408</v>
      </c>
      <c r="C451" s="1" t="n">
        <v>45996</v>
      </c>
      <c r="D451" t="inlineStr">
        <is>
          <t>GÄVLEBORGS LÄN</t>
        </is>
      </c>
      <c r="E451" t="inlineStr">
        <is>
          <t>OVANÅKER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40948-2025</t>
        </is>
      </c>
      <c r="B452" s="1" t="n">
        <v>45897.66027777778</v>
      </c>
      <c r="C452" s="1" t="n">
        <v>45996</v>
      </c>
      <c r="D452" t="inlineStr">
        <is>
          <t>GÄVLEBORGS LÄN</t>
        </is>
      </c>
      <c r="E452" t="inlineStr">
        <is>
          <t>OVANÅKER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36404-2025</t>
        </is>
      </c>
      <c r="B453" s="1" t="n">
        <v>45868.66592592592</v>
      </c>
      <c r="C453" s="1" t="n">
        <v>45996</v>
      </c>
      <c r="D453" t="inlineStr">
        <is>
          <t>GÄVLEBORGS LÄN</t>
        </is>
      </c>
      <c r="E453" t="inlineStr">
        <is>
          <t>OVANÅKER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40488-2025</t>
        </is>
      </c>
      <c r="B454" s="1" t="n">
        <v>45895.88559027778</v>
      </c>
      <c r="C454" s="1" t="n">
        <v>45996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55992-2022</t>
        </is>
      </c>
      <c r="B455" s="1" t="n">
        <v>44889</v>
      </c>
      <c r="C455" s="1" t="n">
        <v>45996</v>
      </c>
      <c r="D455" t="inlineStr">
        <is>
          <t>GÄVLEBORGS LÄN</t>
        </is>
      </c>
      <c r="E455" t="inlineStr">
        <is>
          <t>OVANÅKER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45947-2022</t>
        </is>
      </c>
      <c r="B456" s="1" t="n">
        <v>44846.65460648148</v>
      </c>
      <c r="C456" s="1" t="n">
        <v>45996</v>
      </c>
      <c r="D456" t="inlineStr">
        <is>
          <t>GÄVLEBORGS LÄN</t>
        </is>
      </c>
      <c r="E456" t="inlineStr">
        <is>
          <t>OVANÅKER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40979-2025</t>
        </is>
      </c>
      <c r="B457" s="1" t="n">
        <v>45898.2896875</v>
      </c>
      <c r="C457" s="1" t="n">
        <v>45996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19172-2024</t>
        </is>
      </c>
      <c r="B458" s="1" t="n">
        <v>45428.46696759259</v>
      </c>
      <c r="C458" s="1" t="n">
        <v>45996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36403-2025</t>
        </is>
      </c>
      <c r="B459" s="1" t="n">
        <v>45868.6621875</v>
      </c>
      <c r="C459" s="1" t="n">
        <v>45996</v>
      </c>
      <c r="D459" t="inlineStr">
        <is>
          <t>GÄVLEBORGS LÄN</t>
        </is>
      </c>
      <c r="E459" t="inlineStr">
        <is>
          <t>OVANÅKER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36406-2025</t>
        </is>
      </c>
      <c r="B460" s="1" t="n">
        <v>45868.67018518518</v>
      </c>
      <c r="C460" s="1" t="n">
        <v>45996</v>
      </c>
      <c r="D460" t="inlineStr">
        <is>
          <t>GÄVLEBORGS LÄN</t>
        </is>
      </c>
      <c r="E460" t="inlineStr">
        <is>
          <t>OVANÅKER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16426-2025</t>
        </is>
      </c>
      <c r="B461" s="1" t="n">
        <v>45751.47662037037</v>
      </c>
      <c r="C461" s="1" t="n">
        <v>45996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22173-2024</t>
        </is>
      </c>
      <c r="B462" s="1" t="n">
        <v>45446.31018518518</v>
      </c>
      <c r="C462" s="1" t="n">
        <v>45996</v>
      </c>
      <c r="D462" t="inlineStr">
        <is>
          <t>GÄVLEBORGS LÄN</t>
        </is>
      </c>
      <c r="E462" t="inlineStr">
        <is>
          <t>OVANÅKER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30946-2024</t>
        </is>
      </c>
      <c r="B463" s="1" t="n">
        <v>45499.37065972222</v>
      </c>
      <c r="C463" s="1" t="n">
        <v>45996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öst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13365-2023</t>
        </is>
      </c>
      <c r="B464" s="1" t="n">
        <v>45005</v>
      </c>
      <c r="C464" s="1" t="n">
        <v>45996</v>
      </c>
      <c r="D464" t="inlineStr">
        <is>
          <t>GÄVLEBORGS LÄN</t>
        </is>
      </c>
      <c r="E464" t="inlineStr">
        <is>
          <t>OVANÅKER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17617-2025</t>
        </is>
      </c>
      <c r="B465" s="1" t="n">
        <v>45757.82751157408</v>
      </c>
      <c r="C465" s="1" t="n">
        <v>45996</v>
      </c>
      <c r="D465" t="inlineStr">
        <is>
          <t>GÄVLEBORGS LÄN</t>
        </is>
      </c>
      <c r="E465" t="inlineStr">
        <is>
          <t>OVANÅKER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36753-2025</t>
        </is>
      </c>
      <c r="B466" s="1" t="n">
        <v>45873.55734953703</v>
      </c>
      <c r="C466" s="1" t="n">
        <v>45996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36717-2025</t>
        </is>
      </c>
      <c r="B467" s="1" t="n">
        <v>45873.46980324074</v>
      </c>
      <c r="C467" s="1" t="n">
        <v>45996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36744-2025</t>
        </is>
      </c>
      <c r="B468" s="1" t="n">
        <v>45873.53833333333</v>
      </c>
      <c r="C468" s="1" t="n">
        <v>45996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26028-2024</t>
        </is>
      </c>
      <c r="B469" s="1" t="n">
        <v>45467.96247685186</v>
      </c>
      <c r="C469" s="1" t="n">
        <v>45996</v>
      </c>
      <c r="D469" t="inlineStr">
        <is>
          <t>GÄVLEBORGS LÄN</t>
        </is>
      </c>
      <c r="E469" t="inlineStr">
        <is>
          <t>OVANÅKER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36658-2025</t>
        </is>
      </c>
      <c r="B470" s="1" t="n">
        <v>45873.35398148148</v>
      </c>
      <c r="C470" s="1" t="n">
        <v>45996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36659-2025</t>
        </is>
      </c>
      <c r="B471" s="1" t="n">
        <v>45873.35548611111</v>
      </c>
      <c r="C471" s="1" t="n">
        <v>45996</v>
      </c>
      <c r="D471" t="inlineStr">
        <is>
          <t>GÄVLEBORGS LÄN</t>
        </is>
      </c>
      <c r="E471" t="inlineStr">
        <is>
          <t>OVANÅKER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15304-2025</t>
        </is>
      </c>
      <c r="B472" s="1" t="n">
        <v>45746.53479166667</v>
      </c>
      <c r="C472" s="1" t="n">
        <v>45996</v>
      </c>
      <c r="D472" t="inlineStr">
        <is>
          <t>GÄVLEBORGS LÄN</t>
        </is>
      </c>
      <c r="E472" t="inlineStr">
        <is>
          <t>OVANÅKER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36703-2025</t>
        </is>
      </c>
      <c r="B473" s="1" t="n">
        <v>45873.45009259259</v>
      </c>
      <c r="C473" s="1" t="n">
        <v>45996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36551-2025</t>
        </is>
      </c>
      <c r="B474" s="1" t="n">
        <v>45870.32935185185</v>
      </c>
      <c r="C474" s="1" t="n">
        <v>45996</v>
      </c>
      <c r="D474" t="inlineStr">
        <is>
          <t>GÄVLEBORGS LÄN</t>
        </is>
      </c>
      <c r="E474" t="inlineStr">
        <is>
          <t>OVANÅKER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15564-2024</t>
        </is>
      </c>
      <c r="B475" s="1" t="n">
        <v>45401.65928240741</v>
      </c>
      <c r="C475" s="1" t="n">
        <v>45996</v>
      </c>
      <c r="D475" t="inlineStr">
        <is>
          <t>GÄVLEBORGS LÄN</t>
        </is>
      </c>
      <c r="E475" t="inlineStr">
        <is>
          <t>OVANÅKER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36836-2025</t>
        </is>
      </c>
      <c r="B476" s="1" t="n">
        <v>45874.36065972222</v>
      </c>
      <c r="C476" s="1" t="n">
        <v>45996</v>
      </c>
      <c r="D476" t="inlineStr">
        <is>
          <t>GÄVLEBORGS LÄN</t>
        </is>
      </c>
      <c r="E476" t="inlineStr">
        <is>
          <t>OVANÅKER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53213-2022</t>
        </is>
      </c>
      <c r="B477" s="1" t="n">
        <v>44876.60974537037</v>
      </c>
      <c r="C477" s="1" t="n">
        <v>45996</v>
      </c>
      <c r="D477" t="inlineStr">
        <is>
          <t>GÄVLEBORGS LÄN</t>
        </is>
      </c>
      <c r="E477" t="inlineStr">
        <is>
          <t>OVANÅKER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3324-2024</t>
        </is>
      </c>
      <c r="B478" s="1" t="n">
        <v>45317.53914351852</v>
      </c>
      <c r="C478" s="1" t="n">
        <v>45996</v>
      </c>
      <c r="D478" t="inlineStr">
        <is>
          <t>GÄVLEBORGS LÄN</t>
        </is>
      </c>
      <c r="E478" t="inlineStr">
        <is>
          <t>OVANÅKER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17965-2025</t>
        </is>
      </c>
      <c r="B479" s="1" t="n">
        <v>45761.34359953704</v>
      </c>
      <c r="C479" s="1" t="n">
        <v>45996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37366-2025</t>
        </is>
      </c>
      <c r="B480" s="1" t="n">
        <v>45877.32983796296</v>
      </c>
      <c r="C480" s="1" t="n">
        <v>45996</v>
      </c>
      <c r="D480" t="inlineStr">
        <is>
          <t>GÄVLEBORGS LÄN</t>
        </is>
      </c>
      <c r="E480" t="inlineStr">
        <is>
          <t>OVANÅKER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37392-2025</t>
        </is>
      </c>
      <c r="B481" s="1" t="n">
        <v>45877.41195601852</v>
      </c>
      <c r="C481" s="1" t="n">
        <v>45996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37472-2025</t>
        </is>
      </c>
      <c r="B482" s="1" t="n">
        <v>45877.59339120371</v>
      </c>
      <c r="C482" s="1" t="n">
        <v>45996</v>
      </c>
      <c r="D482" t="inlineStr">
        <is>
          <t>GÄVLEBORGS LÄN</t>
        </is>
      </c>
      <c r="E482" t="inlineStr">
        <is>
          <t>OVANÅKER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31723-2023</t>
        </is>
      </c>
      <c r="B483" s="1" t="n">
        <v>45117.91378472222</v>
      </c>
      <c r="C483" s="1" t="n">
        <v>45996</v>
      </c>
      <c r="D483" t="inlineStr">
        <is>
          <t>GÄVLEBORGS LÄN</t>
        </is>
      </c>
      <c r="E483" t="inlineStr">
        <is>
          <t>OVANÅKER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30695-2024</t>
        </is>
      </c>
      <c r="B484" s="1" t="n">
        <v>45496.33076388889</v>
      </c>
      <c r="C484" s="1" t="n">
        <v>45996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63703-2023</t>
        </is>
      </c>
      <c r="B485" s="1" t="n">
        <v>45275.92704861111</v>
      </c>
      <c r="C485" s="1" t="n">
        <v>45996</v>
      </c>
      <c r="D485" t="inlineStr">
        <is>
          <t>GÄVLEBORGS LÄN</t>
        </is>
      </c>
      <c r="E485" t="inlineStr">
        <is>
          <t>OVANÅKER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43299-2023</t>
        </is>
      </c>
      <c r="B486" s="1" t="n">
        <v>45183.58574074074</v>
      </c>
      <c r="C486" s="1" t="n">
        <v>45996</v>
      </c>
      <c r="D486" t="inlineStr">
        <is>
          <t>GÄVLEBORGS LÄN</t>
        </is>
      </c>
      <c r="E486" t="inlineStr">
        <is>
          <t>OVANÅKER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1892-2024</t>
        </is>
      </c>
      <c r="B487" s="1" t="n">
        <v>45308.30474537037</v>
      </c>
      <c r="C487" s="1" t="n">
        <v>45996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37531-2025</t>
        </is>
      </c>
      <c r="B488" s="1" t="n">
        <v>45878.34459490741</v>
      </c>
      <c r="C488" s="1" t="n">
        <v>45996</v>
      </c>
      <c r="D488" t="inlineStr">
        <is>
          <t>GÄVLEBORGS LÄN</t>
        </is>
      </c>
      <c r="E488" t="inlineStr">
        <is>
          <t>OVANÅKER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4704-2025</t>
        </is>
      </c>
      <c r="B489" s="1" t="n">
        <v>45688.37835648148</v>
      </c>
      <c r="C489" s="1" t="n">
        <v>45996</v>
      </c>
      <c r="D489" t="inlineStr">
        <is>
          <t>GÄVLEBORGS LÄN</t>
        </is>
      </c>
      <c r="E489" t="inlineStr">
        <is>
          <t>OVANÅKER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37540-2025</t>
        </is>
      </c>
      <c r="B490" s="1" t="n">
        <v>45879.455625</v>
      </c>
      <c r="C490" s="1" t="n">
        <v>45996</v>
      </c>
      <c r="D490" t="inlineStr">
        <is>
          <t>GÄVLEBORGS LÄN</t>
        </is>
      </c>
      <c r="E490" t="inlineStr">
        <is>
          <t>OVANÅKER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24860-2025</t>
        </is>
      </c>
      <c r="B491" s="1" t="n">
        <v>45799</v>
      </c>
      <c r="C491" s="1" t="n">
        <v>45996</v>
      </c>
      <c r="D491" t="inlineStr">
        <is>
          <t>GÄVLEBORGS LÄN</t>
        </is>
      </c>
      <c r="E491" t="inlineStr">
        <is>
          <t>OVANÅKER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32345-2024</t>
        </is>
      </c>
      <c r="B492" s="1" t="n">
        <v>45512.52994212963</v>
      </c>
      <c r="C492" s="1" t="n">
        <v>45996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41120-2025</t>
        </is>
      </c>
      <c r="B493" s="1" t="n">
        <v>45898.46620370371</v>
      </c>
      <c r="C493" s="1" t="n">
        <v>45996</v>
      </c>
      <c r="D493" t="inlineStr">
        <is>
          <t>GÄVLEBORGS LÄN</t>
        </is>
      </c>
      <c r="E493" t="inlineStr">
        <is>
          <t>OVANÅKER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23023-2022</t>
        </is>
      </c>
      <c r="B494" s="1" t="n">
        <v>44719.38415509259</v>
      </c>
      <c r="C494" s="1" t="n">
        <v>45996</v>
      </c>
      <c r="D494" t="inlineStr">
        <is>
          <t>GÄVLEBORGS LÄN</t>
        </is>
      </c>
      <c r="E494" t="inlineStr">
        <is>
          <t>OVANÅKER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51003-2024</t>
        </is>
      </c>
      <c r="B495" s="1" t="n">
        <v>45603</v>
      </c>
      <c r="C495" s="1" t="n">
        <v>45996</v>
      </c>
      <c r="D495" t="inlineStr">
        <is>
          <t>GÄVLEBORGS LÄN</t>
        </is>
      </c>
      <c r="E495" t="inlineStr">
        <is>
          <t>OVANÅKER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69007-2021</t>
        </is>
      </c>
      <c r="B496" s="1" t="n">
        <v>44530.59005787037</v>
      </c>
      <c r="C496" s="1" t="n">
        <v>45996</v>
      </c>
      <c r="D496" t="inlineStr">
        <is>
          <t>GÄVLEBORGS LÄN</t>
        </is>
      </c>
      <c r="E496" t="inlineStr">
        <is>
          <t>OVANÅKER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45996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3453-2023</t>
        </is>
      </c>
      <c r="B498" s="1" t="n">
        <v>44949.62175925926</v>
      </c>
      <c r="C498" s="1" t="n">
        <v>45996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25133-2022</t>
        </is>
      </c>
      <c r="B499" s="1" t="n">
        <v>44729.49839120371</v>
      </c>
      <c r="C499" s="1" t="n">
        <v>45996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31163-2022</t>
        </is>
      </c>
      <c r="B500" s="1" t="n">
        <v>44770.4959837963</v>
      </c>
      <c r="C500" s="1" t="n">
        <v>45996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12140-2021</t>
        </is>
      </c>
      <c r="B501" s="1" t="n">
        <v>44266.56907407408</v>
      </c>
      <c r="C501" s="1" t="n">
        <v>45996</v>
      </c>
      <c r="D501" t="inlineStr">
        <is>
          <t>GÄVLEBORGS LÄN</t>
        </is>
      </c>
      <c r="E501" t="inlineStr">
        <is>
          <t>OVANÅKER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18570-2025</t>
        </is>
      </c>
      <c r="B502" s="1" t="n">
        <v>45763.4565162037</v>
      </c>
      <c r="C502" s="1" t="n">
        <v>45996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40986-2025</t>
        </is>
      </c>
      <c r="B503" s="1" t="n">
        <v>45898.30623842592</v>
      </c>
      <c r="C503" s="1" t="n">
        <v>45996</v>
      </c>
      <c r="D503" t="inlineStr">
        <is>
          <t>GÄVLEBORGS LÄN</t>
        </is>
      </c>
      <c r="E503" t="inlineStr">
        <is>
          <t>OVANÅKER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12550-2025</t>
        </is>
      </c>
      <c r="B504" s="1" t="n">
        <v>45731.31880787037</v>
      </c>
      <c r="C504" s="1" t="n">
        <v>45996</v>
      </c>
      <c r="D504" t="inlineStr">
        <is>
          <t>GÄVLEBORGS LÄN</t>
        </is>
      </c>
      <c r="E504" t="inlineStr">
        <is>
          <t>OVANÅKER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32420-2021</t>
        </is>
      </c>
      <c r="B505" s="1" t="n">
        <v>44371.69201388889</v>
      </c>
      <c r="C505" s="1" t="n">
        <v>45996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4475-2025</t>
        </is>
      </c>
      <c r="B506" s="1" t="n">
        <v>45686.62489583333</v>
      </c>
      <c r="C506" s="1" t="n">
        <v>45996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38217-2025</t>
        </is>
      </c>
      <c r="B507" s="1" t="n">
        <v>45883.30810185185</v>
      </c>
      <c r="C507" s="1" t="n">
        <v>45996</v>
      </c>
      <c r="D507" t="inlineStr">
        <is>
          <t>GÄVLEBORGS LÄN</t>
        </is>
      </c>
      <c r="E507" t="inlineStr">
        <is>
          <t>OVANÅKER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49178-2023</t>
        </is>
      </c>
      <c r="B508" s="1" t="n">
        <v>45210</v>
      </c>
      <c r="C508" s="1" t="n">
        <v>45996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öst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46377-2022</t>
        </is>
      </c>
      <c r="B509" s="1" t="n">
        <v>44848.36462962963</v>
      </c>
      <c r="C509" s="1" t="n">
        <v>45996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59974-2024</t>
        </is>
      </c>
      <c r="B510" s="1" t="n">
        <v>45642.36561342593</v>
      </c>
      <c r="C510" s="1" t="n">
        <v>45996</v>
      </c>
      <c r="D510" t="inlineStr">
        <is>
          <t>GÄVLEBORGS LÄN</t>
        </is>
      </c>
      <c r="E510" t="inlineStr">
        <is>
          <t>OVANÅKER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47917-2022</t>
        </is>
      </c>
      <c r="B511" s="1" t="n">
        <v>44855.49208333333</v>
      </c>
      <c r="C511" s="1" t="n">
        <v>45996</v>
      </c>
      <c r="D511" t="inlineStr">
        <is>
          <t>GÄVLEBORGS LÄN</t>
        </is>
      </c>
      <c r="E511" t="inlineStr">
        <is>
          <t>OVANÅKER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36316-2023</t>
        </is>
      </c>
      <c r="B512" s="1" t="n">
        <v>45152.41521990741</v>
      </c>
      <c r="C512" s="1" t="n">
        <v>45996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48757-2024</t>
        </is>
      </c>
      <c r="B513" s="1" t="n">
        <v>45593.5981712963</v>
      </c>
      <c r="C513" s="1" t="n">
        <v>45996</v>
      </c>
      <c r="D513" t="inlineStr">
        <is>
          <t>GÄVLEBORGS LÄN</t>
        </is>
      </c>
      <c r="E513" t="inlineStr">
        <is>
          <t>OVANÅKER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10107-2025</t>
        </is>
      </c>
      <c r="B514" s="1" t="n">
        <v>45719.58622685185</v>
      </c>
      <c r="C514" s="1" t="n">
        <v>45996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41684-2025</t>
        </is>
      </c>
      <c r="B515" s="1" t="n">
        <v>45902.38506944444</v>
      </c>
      <c r="C515" s="1" t="n">
        <v>45996</v>
      </c>
      <c r="D515" t="inlineStr">
        <is>
          <t>GÄVLEBORGS LÄN</t>
        </is>
      </c>
      <c r="E515" t="inlineStr">
        <is>
          <t>OVANÅKER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25058-2022</t>
        </is>
      </c>
      <c r="B516" s="1" t="n">
        <v>44729.31721064815</v>
      </c>
      <c r="C516" s="1" t="n">
        <v>45996</v>
      </c>
      <c r="D516" t="inlineStr">
        <is>
          <t>GÄVLEBORGS LÄN</t>
        </is>
      </c>
      <c r="E516" t="inlineStr">
        <is>
          <t>OVANÅKER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33634-2024</t>
        </is>
      </c>
      <c r="B517" s="1" t="n">
        <v>45520.43453703704</v>
      </c>
      <c r="C517" s="1" t="n">
        <v>45996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öst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46733-2021</t>
        </is>
      </c>
      <c r="B518" s="1" t="n">
        <v>44445.67016203704</v>
      </c>
      <c r="C518" s="1" t="n">
        <v>45996</v>
      </c>
      <c r="D518" t="inlineStr">
        <is>
          <t>GÄVLEBORGS LÄN</t>
        </is>
      </c>
      <c r="E518" t="inlineStr">
        <is>
          <t>OVANÅKER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19235-2025</t>
        </is>
      </c>
      <c r="B519" s="1" t="n">
        <v>45769.46902777778</v>
      </c>
      <c r="C519" s="1" t="n">
        <v>45996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19442-2021</t>
        </is>
      </c>
      <c r="B520" s="1" t="n">
        <v>44310</v>
      </c>
      <c r="C520" s="1" t="n">
        <v>45996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41682-2025</t>
        </is>
      </c>
      <c r="B521" s="1" t="n">
        <v>45902.38340277778</v>
      </c>
      <c r="C521" s="1" t="n">
        <v>45996</v>
      </c>
      <c r="D521" t="inlineStr">
        <is>
          <t>GÄVLEBORGS LÄN</t>
        </is>
      </c>
      <c r="E521" t="inlineStr">
        <is>
          <t>OVANÅKER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32686-2024</t>
        </is>
      </c>
      <c r="B522" s="1" t="n">
        <v>45515.68230324074</v>
      </c>
      <c r="C522" s="1" t="n">
        <v>45996</v>
      </c>
      <c r="D522" t="inlineStr">
        <is>
          <t>GÄVLEBORGS LÄN</t>
        </is>
      </c>
      <c r="E522" t="inlineStr">
        <is>
          <t>OVANÅKER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51788-2024</t>
        </is>
      </c>
      <c r="B523" s="1" t="n">
        <v>45607.46204861111</v>
      </c>
      <c r="C523" s="1" t="n">
        <v>45996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42263-2025</t>
        </is>
      </c>
      <c r="B524" s="1" t="n">
        <v>45904.59862268518</v>
      </c>
      <c r="C524" s="1" t="n">
        <v>45996</v>
      </c>
      <c r="D524" t="inlineStr">
        <is>
          <t>GÄVLEBORGS LÄN</t>
        </is>
      </c>
      <c r="E524" t="inlineStr">
        <is>
          <t>OVANÅKER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42356-2025</t>
        </is>
      </c>
      <c r="B525" s="1" t="n">
        <v>45905.29364583334</v>
      </c>
      <c r="C525" s="1" t="n">
        <v>45996</v>
      </c>
      <c r="D525" t="inlineStr">
        <is>
          <t>GÄVLEBORGS LÄN</t>
        </is>
      </c>
      <c r="E525" t="inlineStr">
        <is>
          <t>OVANÅKER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43259-2023</t>
        </is>
      </c>
      <c r="B526" s="1" t="n">
        <v>45183</v>
      </c>
      <c r="C526" s="1" t="n">
        <v>45996</v>
      </c>
      <c r="D526" t="inlineStr">
        <is>
          <t>GÄVLEBORGS LÄN</t>
        </is>
      </c>
      <c r="E526" t="inlineStr">
        <is>
          <t>OVANÅKER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42259-2025</t>
        </is>
      </c>
      <c r="B527" s="1" t="n">
        <v>45904.5949537037</v>
      </c>
      <c r="C527" s="1" t="n">
        <v>45996</v>
      </c>
      <c r="D527" t="inlineStr">
        <is>
          <t>GÄVLEBORGS LÄN</t>
        </is>
      </c>
      <c r="E527" t="inlineStr">
        <is>
          <t>OVANÅKER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13443-2024</t>
        </is>
      </c>
      <c r="B528" s="1" t="n">
        <v>45387.49703703704</v>
      </c>
      <c r="C528" s="1" t="n">
        <v>45996</v>
      </c>
      <c r="D528" t="inlineStr">
        <is>
          <t>GÄVLEBORGS LÄN</t>
        </is>
      </c>
      <c r="E528" t="inlineStr">
        <is>
          <t>OVANÅKER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13486-2024</t>
        </is>
      </c>
      <c r="B529" s="1" t="n">
        <v>45387.61106481482</v>
      </c>
      <c r="C529" s="1" t="n">
        <v>45996</v>
      </c>
      <c r="D529" t="inlineStr">
        <is>
          <t>GÄVLEBORGS LÄN</t>
        </is>
      </c>
      <c r="E529" t="inlineStr">
        <is>
          <t>OVANÅKER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22347-2024</t>
        </is>
      </c>
      <c r="B530" s="1" t="n">
        <v>45446.61068287037</v>
      </c>
      <c r="C530" s="1" t="n">
        <v>45996</v>
      </c>
      <c r="D530" t="inlineStr">
        <is>
          <t>GÄVLEBORGS LÄN</t>
        </is>
      </c>
      <c r="E530" t="inlineStr">
        <is>
          <t>OVANÅKER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3871-2024</t>
        </is>
      </c>
      <c r="B531" s="1" t="n">
        <v>45322</v>
      </c>
      <c r="C531" s="1" t="n">
        <v>45996</v>
      </c>
      <c r="D531" t="inlineStr">
        <is>
          <t>GÄVLEBORGS LÄN</t>
        </is>
      </c>
      <c r="E531" t="inlineStr">
        <is>
          <t>OVANÅKER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59354-2024</t>
        </is>
      </c>
      <c r="B532" s="1" t="n">
        <v>45638.3077662037</v>
      </c>
      <c r="C532" s="1" t="n">
        <v>45996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42331-2024</t>
        </is>
      </c>
      <c r="B533" s="1" t="n">
        <v>45562.65523148148</v>
      </c>
      <c r="C533" s="1" t="n">
        <v>45996</v>
      </c>
      <c r="D533" t="inlineStr">
        <is>
          <t>GÄVLEBORGS LÄN</t>
        </is>
      </c>
      <c r="E533" t="inlineStr">
        <is>
          <t>OVANÅKER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943-2024</t>
        </is>
      </c>
      <c r="B534" s="1" t="n">
        <v>45301.53942129629</v>
      </c>
      <c r="C534" s="1" t="n">
        <v>45996</v>
      </c>
      <c r="D534" t="inlineStr">
        <is>
          <t>GÄVLEBORGS LÄN</t>
        </is>
      </c>
      <c r="E534" t="inlineStr">
        <is>
          <t>OVANÅKER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37391-2025</t>
        </is>
      </c>
      <c r="B535" s="1" t="n">
        <v>45877.40203703703</v>
      </c>
      <c r="C535" s="1" t="n">
        <v>45996</v>
      </c>
      <c r="D535" t="inlineStr">
        <is>
          <t>GÄVLEBORGS LÄN</t>
        </is>
      </c>
      <c r="E535" t="inlineStr">
        <is>
          <t>OVANÅKER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28835-2025</t>
        </is>
      </c>
      <c r="B536" s="1" t="n">
        <v>45820.55809027778</v>
      </c>
      <c r="C536" s="1" t="n">
        <v>45996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42266-2025</t>
        </is>
      </c>
      <c r="B537" s="1" t="n">
        <v>45904.60201388889</v>
      </c>
      <c r="C537" s="1" t="n">
        <v>45996</v>
      </c>
      <c r="D537" t="inlineStr">
        <is>
          <t>GÄVLEBORGS LÄN</t>
        </is>
      </c>
      <c r="E537" t="inlineStr">
        <is>
          <t>OVANÅKER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42272-2025</t>
        </is>
      </c>
      <c r="B538" s="1" t="n">
        <v>45904.60482638889</v>
      </c>
      <c r="C538" s="1" t="n">
        <v>45996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27971-2024</t>
        </is>
      </c>
      <c r="B539" s="1" t="n">
        <v>45476.38420138889</v>
      </c>
      <c r="C539" s="1" t="n">
        <v>45996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58791-2023</t>
        </is>
      </c>
      <c r="B540" s="1" t="n">
        <v>45252.33528935185</v>
      </c>
      <c r="C540" s="1" t="n">
        <v>45996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58307-2022</t>
        </is>
      </c>
      <c r="B541" s="1" t="n">
        <v>44901.53635416667</v>
      </c>
      <c r="C541" s="1" t="n">
        <v>45996</v>
      </c>
      <c r="D541" t="inlineStr">
        <is>
          <t>GÄVLEBORGS LÄN</t>
        </is>
      </c>
      <c r="E541" t="inlineStr">
        <is>
          <t>OVANÅKER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9010-2023</t>
        </is>
      </c>
      <c r="B542" s="1" t="n">
        <v>44979</v>
      </c>
      <c r="C542" s="1" t="n">
        <v>45996</v>
      </c>
      <c r="D542" t="inlineStr">
        <is>
          <t>GÄVLEBORGS LÄN</t>
        </is>
      </c>
      <c r="E542" t="inlineStr">
        <is>
          <t>OVANÅKER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26076-2023</t>
        </is>
      </c>
      <c r="B543" s="1" t="n">
        <v>45091.37141203704</v>
      </c>
      <c r="C543" s="1" t="n">
        <v>45996</v>
      </c>
      <c r="D543" t="inlineStr">
        <is>
          <t>GÄVLEBORGS LÄN</t>
        </is>
      </c>
      <c r="E543" t="inlineStr">
        <is>
          <t>OVANÅKER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5331-2025</t>
        </is>
      </c>
      <c r="B544" s="1" t="n">
        <v>45692</v>
      </c>
      <c r="C544" s="1" t="n">
        <v>45996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46210-2023</t>
        </is>
      </c>
      <c r="B545" s="1" t="n">
        <v>45196.65177083333</v>
      </c>
      <c r="C545" s="1" t="n">
        <v>45996</v>
      </c>
      <c r="D545" t="inlineStr">
        <is>
          <t>GÄVLEBORGS LÄN</t>
        </is>
      </c>
      <c r="E545" t="inlineStr">
        <is>
          <t>OVANÅKER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3586-2025</t>
        </is>
      </c>
      <c r="B546" s="1" t="n">
        <v>45680.83643518519</v>
      </c>
      <c r="C546" s="1" t="n">
        <v>45996</v>
      </c>
      <c r="D546" t="inlineStr">
        <is>
          <t>GÄVLEBORGS LÄN</t>
        </is>
      </c>
      <c r="E546" t="inlineStr">
        <is>
          <t>OVANÅKER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3587-2025</t>
        </is>
      </c>
      <c r="B547" s="1" t="n">
        <v>45680.87159722222</v>
      </c>
      <c r="C547" s="1" t="n">
        <v>45996</v>
      </c>
      <c r="D547" t="inlineStr">
        <is>
          <t>GÄVLEBORGS LÄN</t>
        </is>
      </c>
      <c r="E547" t="inlineStr">
        <is>
          <t>OVANÅKER</t>
        </is>
      </c>
      <c r="G547" t="n">
        <v>11.4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3989-2025</t>
        </is>
      </c>
      <c r="B548" s="1" t="n">
        <v>45684.55628472222</v>
      </c>
      <c r="C548" s="1" t="n">
        <v>45996</v>
      </c>
      <c r="D548" t="inlineStr">
        <is>
          <t>GÄVLEBORGS LÄN</t>
        </is>
      </c>
      <c r="E548" t="inlineStr">
        <is>
          <t>OVANÅKER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13683-2024</t>
        </is>
      </c>
      <c r="B549" s="1" t="n">
        <v>45390.55900462963</v>
      </c>
      <c r="C549" s="1" t="n">
        <v>45996</v>
      </c>
      <c r="D549" t="inlineStr">
        <is>
          <t>GÄVLEBORGS LÄN</t>
        </is>
      </c>
      <c r="E549" t="inlineStr">
        <is>
          <t>OVANÅKER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51122-2022</t>
        </is>
      </c>
      <c r="B550" s="1" t="n">
        <v>44868.46877314815</v>
      </c>
      <c r="C550" s="1" t="n">
        <v>45996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8967-2022</t>
        </is>
      </c>
      <c r="B551" s="1" t="n">
        <v>44614</v>
      </c>
      <c r="C551" s="1" t="n">
        <v>45996</v>
      </c>
      <c r="D551" t="inlineStr">
        <is>
          <t>GÄVLEBORGS LÄN</t>
        </is>
      </c>
      <c r="E551" t="inlineStr">
        <is>
          <t>OVANÅKER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15912-2024</t>
        </is>
      </c>
      <c r="B552" s="1" t="n">
        <v>45405.4396875</v>
      </c>
      <c r="C552" s="1" t="n">
        <v>45996</v>
      </c>
      <c r="D552" t="inlineStr">
        <is>
          <t>GÄVLEBORGS LÄN</t>
        </is>
      </c>
      <c r="E552" t="inlineStr">
        <is>
          <t>OVANÅKER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43021-2025</t>
        </is>
      </c>
      <c r="B553" s="1" t="n">
        <v>45909.50746527778</v>
      </c>
      <c r="C553" s="1" t="n">
        <v>45996</v>
      </c>
      <c r="D553" t="inlineStr">
        <is>
          <t>GÄVLEBORGS LÄN</t>
        </is>
      </c>
      <c r="E553" t="inlineStr">
        <is>
          <t>OVANÅKER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44853.64416666667</v>
      </c>
      <c r="C554" s="1" t="n">
        <v>45996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43018-2025</t>
        </is>
      </c>
      <c r="B555" s="1" t="n">
        <v>45909</v>
      </c>
      <c r="C555" s="1" t="n">
        <v>45996</v>
      </c>
      <c r="D555" t="inlineStr">
        <is>
          <t>GÄVLEBORGS LÄN</t>
        </is>
      </c>
      <c r="E555" t="inlineStr">
        <is>
          <t>OVANÅKER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62774-2021</t>
        </is>
      </c>
      <c r="B556" s="1" t="n">
        <v>44503</v>
      </c>
      <c r="C556" s="1" t="n">
        <v>45996</v>
      </c>
      <c r="D556" t="inlineStr">
        <is>
          <t>GÄVLEBORGS LÄN</t>
        </is>
      </c>
      <c r="E556" t="inlineStr">
        <is>
          <t>OVANÅKER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40476-2024</t>
        </is>
      </c>
      <c r="B557" s="1" t="n">
        <v>45555.54435185185</v>
      </c>
      <c r="C557" s="1" t="n">
        <v>45996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34513-2021</t>
        </is>
      </c>
      <c r="B558" s="1" t="n">
        <v>44382.37893518519</v>
      </c>
      <c r="C558" s="1" t="n">
        <v>45996</v>
      </c>
      <c r="D558" t="inlineStr">
        <is>
          <t>GÄVLEBORGS LÄN</t>
        </is>
      </c>
      <c r="E558" t="inlineStr">
        <is>
          <t>OVANÅKER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10762-2025</t>
        </is>
      </c>
      <c r="B559" s="1" t="n">
        <v>45722.45832175926</v>
      </c>
      <c r="C559" s="1" t="n">
        <v>45996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3047-2022</t>
        </is>
      </c>
      <c r="B560" s="1" t="n">
        <v>44581</v>
      </c>
      <c r="C560" s="1" t="n">
        <v>45996</v>
      </c>
      <c r="D560" t="inlineStr">
        <is>
          <t>GÄVLEBORGS LÄN</t>
        </is>
      </c>
      <c r="E560" t="inlineStr">
        <is>
          <t>OVANÅKER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18591-2025</t>
        </is>
      </c>
      <c r="B561" s="1" t="n">
        <v>45763.48015046296</v>
      </c>
      <c r="C561" s="1" t="n">
        <v>45996</v>
      </c>
      <c r="D561" t="inlineStr">
        <is>
          <t>GÄVLEBORGS LÄN</t>
        </is>
      </c>
      <c r="E561" t="inlineStr">
        <is>
          <t>OVANÅKER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36090-2025</t>
        </is>
      </c>
      <c r="B562" s="1" t="n">
        <v>45866.47789351852</v>
      </c>
      <c r="C562" s="1" t="n">
        <v>45996</v>
      </c>
      <c r="D562" t="inlineStr">
        <is>
          <t>GÄVLEBORGS LÄN</t>
        </is>
      </c>
      <c r="E562" t="inlineStr">
        <is>
          <t>OVANÅKER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36684-2025</t>
        </is>
      </c>
      <c r="B563" s="1" t="n">
        <v>45873.41694444444</v>
      </c>
      <c r="C563" s="1" t="n">
        <v>45996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41415-2025</t>
        </is>
      </c>
      <c r="B564" s="1" t="n">
        <v>45901</v>
      </c>
      <c r="C564" s="1" t="n">
        <v>45996</v>
      </c>
      <c r="D564" t="inlineStr">
        <is>
          <t>GÄVLEBORGS LÄN</t>
        </is>
      </c>
      <c r="E564" t="inlineStr">
        <is>
          <t>OVANÅKER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50637-2022</t>
        </is>
      </c>
      <c r="B565" s="1" t="n">
        <v>44866.9324537037</v>
      </c>
      <c r="C565" s="1" t="n">
        <v>45996</v>
      </c>
      <c r="D565" t="inlineStr">
        <is>
          <t>GÄVLEBORGS LÄN</t>
        </is>
      </c>
      <c r="E565" t="inlineStr">
        <is>
          <t>OVANÅKER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32804-2024</t>
        </is>
      </c>
      <c r="B566" s="1" t="n">
        <v>45516.56881944444</v>
      </c>
      <c r="C566" s="1" t="n">
        <v>45996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54099-2023</t>
        </is>
      </c>
      <c r="B567" s="1" t="n">
        <v>45225</v>
      </c>
      <c r="C567" s="1" t="n">
        <v>45996</v>
      </c>
      <c r="D567" t="inlineStr">
        <is>
          <t>GÄVLEBORGS LÄN</t>
        </is>
      </c>
      <c r="E567" t="inlineStr">
        <is>
          <t>OVANÅKER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14693-2025</t>
        </is>
      </c>
      <c r="B568" s="1" t="n">
        <v>45742.58847222223</v>
      </c>
      <c r="C568" s="1" t="n">
        <v>45996</v>
      </c>
      <c r="D568" t="inlineStr">
        <is>
          <t>GÄVLEBORGS LÄN</t>
        </is>
      </c>
      <c r="E568" t="inlineStr">
        <is>
          <t>OVANÅKER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5629-2025</t>
        </is>
      </c>
      <c r="B569" s="1" t="n">
        <v>45693.65769675926</v>
      </c>
      <c r="C569" s="1" t="n">
        <v>45996</v>
      </c>
      <c r="D569" t="inlineStr">
        <is>
          <t>GÄVLEBORGS LÄN</t>
        </is>
      </c>
      <c r="E569" t="inlineStr">
        <is>
          <t>OVANÅKER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36118-2025</t>
        </is>
      </c>
      <c r="B570" s="1" t="n">
        <v>45866.5916087963</v>
      </c>
      <c r="C570" s="1" t="n">
        <v>45996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58280-2024</t>
        </is>
      </c>
      <c r="B571" s="1" t="n">
        <v>45632.57650462963</v>
      </c>
      <c r="C571" s="1" t="n">
        <v>45996</v>
      </c>
      <c r="D571" t="inlineStr">
        <is>
          <t>GÄVLEBORGS LÄN</t>
        </is>
      </c>
      <c r="E571" t="inlineStr">
        <is>
          <t>OVANÅKER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44594-2022</t>
        </is>
      </c>
      <c r="B572" s="1" t="n">
        <v>44840</v>
      </c>
      <c r="C572" s="1" t="n">
        <v>45996</v>
      </c>
      <c r="D572" t="inlineStr">
        <is>
          <t>GÄVLEBORGS LÄN</t>
        </is>
      </c>
      <c r="E572" t="inlineStr">
        <is>
          <t>OVANÅKER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34298-2021</t>
        </is>
      </c>
      <c r="B573" s="1" t="n">
        <v>44379</v>
      </c>
      <c r="C573" s="1" t="n">
        <v>45996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12825-2021</t>
        </is>
      </c>
      <c r="B574" s="1" t="n">
        <v>44270</v>
      </c>
      <c r="C574" s="1" t="n">
        <v>45996</v>
      </c>
      <c r="D574" t="inlineStr">
        <is>
          <t>GÄVLEBORGS LÄN</t>
        </is>
      </c>
      <c r="E574" t="inlineStr">
        <is>
          <t>OVANÅKER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45778-2022</t>
        </is>
      </c>
      <c r="B575" s="1" t="n">
        <v>44846.42177083333</v>
      </c>
      <c r="C575" s="1" t="n">
        <v>45996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36252-2024</t>
        </is>
      </c>
      <c r="B576" s="1" t="n">
        <v>45534</v>
      </c>
      <c r="C576" s="1" t="n">
        <v>45996</v>
      </c>
      <c r="D576" t="inlineStr">
        <is>
          <t>GÄVLEBORGS LÄN</t>
        </is>
      </c>
      <c r="E576" t="inlineStr">
        <is>
          <t>OVANÅKER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36254-2024</t>
        </is>
      </c>
      <c r="B577" s="1" t="n">
        <v>45534</v>
      </c>
      <c r="C577" s="1" t="n">
        <v>45996</v>
      </c>
      <c r="D577" t="inlineStr">
        <is>
          <t>GÄVLEBORGS LÄN</t>
        </is>
      </c>
      <c r="E577" t="inlineStr">
        <is>
          <t>OVANÅKER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7227-2023</t>
        </is>
      </c>
      <c r="B578" s="1" t="n">
        <v>44970.59476851852</v>
      </c>
      <c r="C578" s="1" t="n">
        <v>45996</v>
      </c>
      <c r="D578" t="inlineStr">
        <is>
          <t>GÄVLEBORGS LÄN</t>
        </is>
      </c>
      <c r="E578" t="inlineStr">
        <is>
          <t>OVANÅKER</t>
        </is>
      </c>
      <c r="G578" t="n">
        <v>14.6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43802-2025</t>
        </is>
      </c>
      <c r="B579" s="1" t="n">
        <v>45912.57256944444</v>
      </c>
      <c r="C579" s="1" t="n">
        <v>45996</v>
      </c>
      <c r="D579" t="inlineStr">
        <is>
          <t>GÄVLEBORGS LÄN</t>
        </is>
      </c>
      <c r="E579" t="inlineStr">
        <is>
          <t>OVANÅKER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20115-2025</t>
        </is>
      </c>
      <c r="B580" s="1" t="n">
        <v>45772.48476851852</v>
      </c>
      <c r="C580" s="1" t="n">
        <v>45996</v>
      </c>
      <c r="D580" t="inlineStr">
        <is>
          <t>GÄVLEBORGS LÄN</t>
        </is>
      </c>
      <c r="E580" t="inlineStr">
        <is>
          <t>OVANÅKER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43807-2025</t>
        </is>
      </c>
      <c r="B581" s="1" t="n">
        <v>45912.5783912037</v>
      </c>
      <c r="C581" s="1" t="n">
        <v>45996</v>
      </c>
      <c r="D581" t="inlineStr">
        <is>
          <t>GÄVLEBORGS LÄN</t>
        </is>
      </c>
      <c r="E581" t="inlineStr">
        <is>
          <t>OVANÅKER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16360-2025</t>
        </is>
      </c>
      <c r="B582" s="1" t="n">
        <v>45751.39</v>
      </c>
      <c r="C582" s="1" t="n">
        <v>45996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öst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52550-2025</t>
        </is>
      </c>
      <c r="B583" s="1" t="n">
        <v>45954.55650462963</v>
      </c>
      <c r="C583" s="1" t="n">
        <v>45996</v>
      </c>
      <c r="D583" t="inlineStr">
        <is>
          <t>GÄVLEBORGS LÄN</t>
        </is>
      </c>
      <c r="E583" t="inlineStr">
        <is>
          <t>OVANÅKER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48907-2024</t>
        </is>
      </c>
      <c r="B584" s="1" t="n">
        <v>45594.36177083333</v>
      </c>
      <c r="C584" s="1" t="n">
        <v>45996</v>
      </c>
      <c r="D584" t="inlineStr">
        <is>
          <t>GÄVLEBORGS LÄN</t>
        </is>
      </c>
      <c r="E584" t="inlineStr">
        <is>
          <t>OVANÅKER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60417-2023</t>
        </is>
      </c>
      <c r="B585" s="1" t="n">
        <v>45259.49364583333</v>
      </c>
      <c r="C585" s="1" t="n">
        <v>45996</v>
      </c>
      <c r="D585" t="inlineStr">
        <is>
          <t>GÄVLEBORGS LÄN</t>
        </is>
      </c>
      <c r="E585" t="inlineStr">
        <is>
          <t>OVANÅKER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46960-2022</t>
        </is>
      </c>
      <c r="B586" s="1" t="n">
        <v>44851.94489583333</v>
      </c>
      <c r="C586" s="1" t="n">
        <v>45996</v>
      </c>
      <c r="D586" t="inlineStr">
        <is>
          <t>GÄVLEBORGS LÄN</t>
        </is>
      </c>
      <c r="E586" t="inlineStr">
        <is>
          <t>OVANÅKER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52608-2021</t>
        </is>
      </c>
      <c r="B587" s="1" t="n">
        <v>44466.599375</v>
      </c>
      <c r="C587" s="1" t="n">
        <v>45996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18545-2025</t>
        </is>
      </c>
      <c r="B588" s="1" t="n">
        <v>45763.42251157408</v>
      </c>
      <c r="C588" s="1" t="n">
        <v>45996</v>
      </c>
      <c r="D588" t="inlineStr">
        <is>
          <t>GÄVLEBORGS LÄN</t>
        </is>
      </c>
      <c r="E588" t="inlineStr">
        <is>
          <t>OVANÅKER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40886-2024</t>
        </is>
      </c>
      <c r="B589" s="1" t="n">
        <v>45558.60701388889</v>
      </c>
      <c r="C589" s="1" t="n">
        <v>45996</v>
      </c>
      <c r="D589" t="inlineStr">
        <is>
          <t>GÄVLEBORGS LÄN</t>
        </is>
      </c>
      <c r="E589" t="inlineStr">
        <is>
          <t>OVANÅKER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62126-2023</t>
        </is>
      </c>
      <c r="B590" s="1" t="n">
        <v>45267</v>
      </c>
      <c r="C590" s="1" t="n">
        <v>45996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43805-2025</t>
        </is>
      </c>
      <c r="B591" s="1" t="n">
        <v>45912.57600694444</v>
      </c>
      <c r="C591" s="1" t="n">
        <v>45996</v>
      </c>
      <c r="D591" t="inlineStr">
        <is>
          <t>GÄVLEBORGS LÄN</t>
        </is>
      </c>
      <c r="E591" t="inlineStr">
        <is>
          <t>OVANÅKER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52399-2025</t>
        </is>
      </c>
      <c r="B592" s="1" t="n">
        <v>45954.34666666666</v>
      </c>
      <c r="C592" s="1" t="n">
        <v>45996</v>
      </c>
      <c r="D592" t="inlineStr">
        <is>
          <t>GÄVLEBORGS LÄN</t>
        </is>
      </c>
      <c r="E592" t="inlineStr">
        <is>
          <t>OVANÅKER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52400-2025</t>
        </is>
      </c>
      <c r="B593" s="1" t="n">
        <v>45954.34914351852</v>
      </c>
      <c r="C593" s="1" t="n">
        <v>45996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12325-2025</t>
        </is>
      </c>
      <c r="B594" s="1" t="n">
        <v>45730.30092592593</v>
      </c>
      <c r="C594" s="1" t="n">
        <v>45996</v>
      </c>
      <c r="D594" t="inlineStr">
        <is>
          <t>GÄVLEBORGS LÄN</t>
        </is>
      </c>
      <c r="E594" t="inlineStr">
        <is>
          <t>OVANÅKER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12326-2025</t>
        </is>
      </c>
      <c r="B595" s="1" t="n">
        <v>45730.30270833334</v>
      </c>
      <c r="C595" s="1" t="n">
        <v>45996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38144-2023</t>
        </is>
      </c>
      <c r="B596" s="1" t="n">
        <v>45161.37980324074</v>
      </c>
      <c r="C596" s="1" t="n">
        <v>45996</v>
      </c>
      <c r="D596" t="inlineStr">
        <is>
          <t>GÄVLEBORGS LÄN</t>
        </is>
      </c>
      <c r="E596" t="inlineStr">
        <is>
          <t>OVANÅKER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52803-2025</t>
        </is>
      </c>
      <c r="B597" s="1" t="n">
        <v>45957.44484953704</v>
      </c>
      <c r="C597" s="1" t="n">
        <v>45996</v>
      </c>
      <c r="D597" t="inlineStr">
        <is>
          <t>GÄVLEBORGS LÄN</t>
        </is>
      </c>
      <c r="E597" t="inlineStr">
        <is>
          <t>OVANÅKER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926-2022</t>
        </is>
      </c>
      <c r="B598" s="1" t="n">
        <v>44571</v>
      </c>
      <c r="C598" s="1" t="n">
        <v>45996</v>
      </c>
      <c r="D598" t="inlineStr">
        <is>
          <t>GÄVLEBORGS LÄN</t>
        </is>
      </c>
      <c r="E598" t="inlineStr">
        <is>
          <t>OVANÅKER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52543-2025</t>
        </is>
      </c>
      <c r="B599" s="1" t="n">
        <v>45954.55025462963</v>
      </c>
      <c r="C599" s="1" t="n">
        <v>45996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54187-2024</t>
        </is>
      </c>
      <c r="B600" s="1" t="n">
        <v>45616.64136574074</v>
      </c>
      <c r="C600" s="1" t="n">
        <v>45996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19875-2025</t>
        </is>
      </c>
      <c r="B601" s="1" t="n">
        <v>45771.55023148148</v>
      </c>
      <c r="C601" s="1" t="n">
        <v>45996</v>
      </c>
      <c r="D601" t="inlineStr">
        <is>
          <t>GÄVLEBORGS LÄN</t>
        </is>
      </c>
      <c r="E601" t="inlineStr">
        <is>
          <t>OVANÅKER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628-2025</t>
        </is>
      </c>
      <c r="B602" s="1" t="n">
        <v>45664</v>
      </c>
      <c r="C602" s="1" t="n">
        <v>45996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59912-2023</t>
        </is>
      </c>
      <c r="B603" s="1" t="n">
        <v>45257.63767361111</v>
      </c>
      <c r="C603" s="1" t="n">
        <v>45996</v>
      </c>
      <c r="D603" t="inlineStr">
        <is>
          <t>GÄVLEBORGS LÄN</t>
        </is>
      </c>
      <c r="E603" t="inlineStr">
        <is>
          <t>OVANÅKER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44538-2025</t>
        </is>
      </c>
      <c r="B604" s="1" t="n">
        <v>45917.28050925926</v>
      </c>
      <c r="C604" s="1" t="n">
        <v>45996</v>
      </c>
      <c r="D604" t="inlineStr">
        <is>
          <t>GÄVLEBORGS LÄN</t>
        </is>
      </c>
      <c r="E604" t="inlineStr">
        <is>
          <t>OVANÅKER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56127-2023</t>
        </is>
      </c>
      <c r="B605" s="1" t="n">
        <v>45240.58010416666</v>
      </c>
      <c r="C605" s="1" t="n">
        <v>45996</v>
      </c>
      <c r="D605" t="inlineStr">
        <is>
          <t>GÄVLEBORGS LÄN</t>
        </is>
      </c>
      <c r="E605" t="inlineStr">
        <is>
          <t>OVANÅKER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31875-2023</t>
        </is>
      </c>
      <c r="B606" s="1" t="n">
        <v>45118</v>
      </c>
      <c r="C606" s="1" t="n">
        <v>45996</v>
      </c>
      <c r="D606" t="inlineStr">
        <is>
          <t>GÄVLEBORGS LÄN</t>
        </is>
      </c>
      <c r="E606" t="inlineStr">
        <is>
          <t>OVANÅKER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25411-2024</t>
        </is>
      </c>
      <c r="B607" s="1" t="n">
        <v>45463.35957175926</v>
      </c>
      <c r="C607" s="1" t="n">
        <v>45996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35348-2022</t>
        </is>
      </c>
      <c r="B608" s="1" t="n">
        <v>44798</v>
      </c>
      <c r="C608" s="1" t="n">
        <v>45996</v>
      </c>
      <c r="D608" t="inlineStr">
        <is>
          <t>GÄVLEBORGS LÄN</t>
        </is>
      </c>
      <c r="E608" t="inlineStr">
        <is>
          <t>OVANÅKER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28606-2023</t>
        </is>
      </c>
      <c r="B609" s="1" t="n">
        <v>45103</v>
      </c>
      <c r="C609" s="1" t="n">
        <v>45996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27113-2023</t>
        </is>
      </c>
      <c r="B610" s="1" t="n">
        <v>45096.43399305556</v>
      </c>
      <c r="C610" s="1" t="n">
        <v>45996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4287-2021</t>
        </is>
      </c>
      <c r="B611" s="1" t="n">
        <v>44223</v>
      </c>
      <c r="C611" s="1" t="n">
        <v>45996</v>
      </c>
      <c r="D611" t="inlineStr">
        <is>
          <t>GÄVLEBORGS LÄN</t>
        </is>
      </c>
      <c r="E611" t="inlineStr">
        <is>
          <t>OVANÅKER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44398-2025</t>
        </is>
      </c>
      <c r="B612" s="1" t="n">
        <v>45916.50204861111</v>
      </c>
      <c r="C612" s="1" t="n">
        <v>45996</v>
      </c>
      <c r="D612" t="inlineStr">
        <is>
          <t>GÄVLEBORGS LÄN</t>
        </is>
      </c>
      <c r="E612" t="inlineStr">
        <is>
          <t>OVANÅKER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19910-2025</t>
        </is>
      </c>
      <c r="B613" s="1" t="n">
        <v>45771.60747685185</v>
      </c>
      <c r="C613" s="1" t="n">
        <v>45996</v>
      </c>
      <c r="D613" t="inlineStr">
        <is>
          <t>GÄVLEBORGS LÄN</t>
        </is>
      </c>
      <c r="E613" t="inlineStr">
        <is>
          <t>OVANÅKER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50469-2024</t>
        </is>
      </c>
      <c r="B614" s="1" t="n">
        <v>45601.47113425926</v>
      </c>
      <c r="C614" s="1" t="n">
        <v>45996</v>
      </c>
      <c r="D614" t="inlineStr">
        <is>
          <t>GÄVLEBORGS LÄN</t>
        </is>
      </c>
      <c r="E614" t="inlineStr">
        <is>
          <t>OVANÅKER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49654-2022</t>
        </is>
      </c>
      <c r="B615" s="1" t="n">
        <v>44862</v>
      </c>
      <c r="C615" s="1" t="n">
        <v>45996</v>
      </c>
      <c r="D615" t="inlineStr">
        <is>
          <t>GÄVLEBORGS LÄN</t>
        </is>
      </c>
      <c r="E615" t="inlineStr">
        <is>
          <t>OVANÅKER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62651-2023</t>
        </is>
      </c>
      <c r="B616" s="1" t="n">
        <v>45271</v>
      </c>
      <c r="C616" s="1" t="n">
        <v>45996</v>
      </c>
      <c r="D616" t="inlineStr">
        <is>
          <t>GÄVLEBORGS LÄN</t>
        </is>
      </c>
      <c r="E616" t="inlineStr">
        <is>
          <t>OVANÅKER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4234-2024</t>
        </is>
      </c>
      <c r="B617" s="1" t="n">
        <v>45324</v>
      </c>
      <c r="C617" s="1" t="n">
        <v>45996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68228-2020</t>
        </is>
      </c>
      <c r="B618" s="1" t="n">
        <v>44183</v>
      </c>
      <c r="C618" s="1" t="n">
        <v>45996</v>
      </c>
      <c r="D618" t="inlineStr">
        <is>
          <t>GÄVLEBORGS LÄN</t>
        </is>
      </c>
      <c r="E618" t="inlineStr">
        <is>
          <t>OVANÅKER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53060-2025</t>
        </is>
      </c>
      <c r="B619" s="1" t="n">
        <v>45958.36918981482</v>
      </c>
      <c r="C619" s="1" t="n">
        <v>45996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53434-2025</t>
        </is>
      </c>
      <c r="B620" s="1" t="n">
        <v>45959.63295138889</v>
      </c>
      <c r="C620" s="1" t="n">
        <v>45996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59998-2022</t>
        </is>
      </c>
      <c r="B621" s="1" t="n">
        <v>44909</v>
      </c>
      <c r="C621" s="1" t="n">
        <v>45996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53492-2025</t>
        </is>
      </c>
      <c r="B622" s="1" t="n">
        <v>45960.32342592593</v>
      </c>
      <c r="C622" s="1" t="n">
        <v>45996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53503-2025</t>
        </is>
      </c>
      <c r="B623" s="1" t="n">
        <v>45960.34327546296</v>
      </c>
      <c r="C623" s="1" t="n">
        <v>45996</v>
      </c>
      <c r="D623" t="inlineStr">
        <is>
          <t>GÄVLEBORGS LÄN</t>
        </is>
      </c>
      <c r="E623" t="inlineStr">
        <is>
          <t>OVANÅKER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33231-2023</t>
        </is>
      </c>
      <c r="B624" s="1" t="n">
        <v>45127.48289351852</v>
      </c>
      <c r="C624" s="1" t="n">
        <v>45996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öst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45069-2025</t>
        </is>
      </c>
      <c r="B625" s="1" t="n">
        <v>45919</v>
      </c>
      <c r="C625" s="1" t="n">
        <v>45996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60218-2023</t>
        </is>
      </c>
      <c r="B626" s="1" t="n">
        <v>45258.61202546296</v>
      </c>
      <c r="C626" s="1" t="n">
        <v>45996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53758-2025</t>
        </is>
      </c>
      <c r="B627" s="1" t="n">
        <v>45960.6690162037</v>
      </c>
      <c r="C627" s="1" t="n">
        <v>45996</v>
      </c>
      <c r="D627" t="inlineStr">
        <is>
          <t>GÄVLEBORGS LÄN</t>
        </is>
      </c>
      <c r="E627" t="inlineStr">
        <is>
          <t>OVANÅKER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53519-2025</t>
        </is>
      </c>
      <c r="B628" s="1" t="n">
        <v>45960.35457175926</v>
      </c>
      <c r="C628" s="1" t="n">
        <v>45996</v>
      </c>
      <c r="D628" t="inlineStr">
        <is>
          <t>GÄVLEBORGS LÄN</t>
        </is>
      </c>
      <c r="E628" t="inlineStr">
        <is>
          <t>OVANÅKER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59718-2021</t>
        </is>
      </c>
      <c r="B629" s="1" t="n">
        <v>44494</v>
      </c>
      <c r="C629" s="1" t="n">
        <v>45996</v>
      </c>
      <c r="D629" t="inlineStr">
        <is>
          <t>GÄVLEBORGS LÄN</t>
        </is>
      </c>
      <c r="E629" t="inlineStr">
        <is>
          <t>OVANÅKER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27422-2024</t>
        </is>
      </c>
      <c r="B630" s="1" t="n">
        <v>45474.37935185185</v>
      </c>
      <c r="C630" s="1" t="n">
        <v>45996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53760-2025</t>
        </is>
      </c>
      <c r="B631" s="1" t="n">
        <v>45960.67046296296</v>
      </c>
      <c r="C631" s="1" t="n">
        <v>45996</v>
      </c>
      <c r="D631" t="inlineStr">
        <is>
          <t>GÄVLEBORGS LÄN</t>
        </is>
      </c>
      <c r="E631" t="inlineStr">
        <is>
          <t>OVANÅKER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45193-2025</t>
        </is>
      </c>
      <c r="B632" s="1" t="n">
        <v>45919.55265046296</v>
      </c>
      <c r="C632" s="1" t="n">
        <v>45996</v>
      </c>
      <c r="D632" t="inlineStr">
        <is>
          <t>GÄVLEBORGS LÄN</t>
        </is>
      </c>
      <c r="E632" t="inlineStr">
        <is>
          <t>OVANÅKER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57798-2021</t>
        </is>
      </c>
      <c r="B633" s="1" t="n">
        <v>44484</v>
      </c>
      <c r="C633" s="1" t="n">
        <v>45996</v>
      </c>
      <c r="D633" t="inlineStr">
        <is>
          <t>GÄVLEBORGS LÄN</t>
        </is>
      </c>
      <c r="E633" t="inlineStr">
        <is>
          <t>OVANÅKER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41544-2023</t>
        </is>
      </c>
      <c r="B634" s="1" t="n">
        <v>45175.56778935185</v>
      </c>
      <c r="C634" s="1" t="n">
        <v>45996</v>
      </c>
      <c r="D634" t="inlineStr">
        <is>
          <t>GÄVLEBORGS LÄN</t>
        </is>
      </c>
      <c r="E634" t="inlineStr">
        <is>
          <t>OVANÅKER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33225-2023</t>
        </is>
      </c>
      <c r="B635" s="1" t="n">
        <v>45127.47550925926</v>
      </c>
      <c r="C635" s="1" t="n">
        <v>45996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19.8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17962-2025</t>
        </is>
      </c>
      <c r="B636" s="1" t="n">
        <v>45761.33565972222</v>
      </c>
      <c r="C636" s="1" t="n">
        <v>45996</v>
      </c>
      <c r="D636" t="inlineStr">
        <is>
          <t>GÄVLEBORGS LÄN</t>
        </is>
      </c>
      <c r="E636" t="inlineStr">
        <is>
          <t>OVANÅKER</t>
        </is>
      </c>
      <c r="F636" t="inlineStr">
        <is>
          <t>Holmen skog AB</t>
        </is>
      </c>
      <c r="G636" t="n">
        <v>12.6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45204-2025</t>
        </is>
      </c>
      <c r="B637" s="1" t="n">
        <v>45919.56417824074</v>
      </c>
      <c r="C637" s="1" t="n">
        <v>45996</v>
      </c>
      <c r="D637" t="inlineStr">
        <is>
          <t>GÄVLEBORGS LÄN</t>
        </is>
      </c>
      <c r="E637" t="inlineStr">
        <is>
          <t>OVANÅKER</t>
        </is>
      </c>
      <c r="F637" t="inlineStr">
        <is>
          <t>Holmen skog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50937-2022</t>
        </is>
      </c>
      <c r="B638" s="1" t="n">
        <v>44867.65224537037</v>
      </c>
      <c r="C638" s="1" t="n">
        <v>45996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53592-2025</t>
        </is>
      </c>
      <c r="B639" s="1" t="n">
        <v>45960.44153935185</v>
      </c>
      <c r="C639" s="1" t="n">
        <v>45996</v>
      </c>
      <c r="D639" t="inlineStr">
        <is>
          <t>GÄVLEBORGS LÄN</t>
        </is>
      </c>
      <c r="E639" t="inlineStr">
        <is>
          <t>OVANÅKER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53526-2025</t>
        </is>
      </c>
      <c r="B640" s="1" t="n">
        <v>45960.36133101852</v>
      </c>
      <c r="C640" s="1" t="n">
        <v>45996</v>
      </c>
      <c r="D640" t="inlineStr">
        <is>
          <t>GÄVLEBORGS LÄN</t>
        </is>
      </c>
      <c r="E640" t="inlineStr">
        <is>
          <t>OVANÅKER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53598-2025</t>
        </is>
      </c>
      <c r="B641" s="1" t="n">
        <v>45960.45462962963</v>
      </c>
      <c r="C641" s="1" t="n">
        <v>45996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47376-2024</t>
        </is>
      </c>
      <c r="B642" s="1" t="n">
        <v>45587.45378472222</v>
      </c>
      <c r="C642" s="1" t="n">
        <v>45996</v>
      </c>
      <c r="D642" t="inlineStr">
        <is>
          <t>GÄVLEBORGS LÄN</t>
        </is>
      </c>
      <c r="E642" t="inlineStr">
        <is>
          <t>OVANÅKER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7785-2022</t>
        </is>
      </c>
      <c r="B643" s="1" t="n">
        <v>44608.47659722222</v>
      </c>
      <c r="C643" s="1" t="n">
        <v>45996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36576-2022</t>
        </is>
      </c>
      <c r="B644" s="1" t="n">
        <v>44804</v>
      </c>
      <c r="C644" s="1" t="n">
        <v>45996</v>
      </c>
      <c r="D644" t="inlineStr">
        <is>
          <t>GÄVLEBORGS LÄN</t>
        </is>
      </c>
      <c r="E644" t="inlineStr">
        <is>
          <t>OVANÅKER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11301-2025</t>
        </is>
      </c>
      <c r="B645" s="1" t="n">
        <v>45726.44162037037</v>
      </c>
      <c r="C645" s="1" t="n">
        <v>45996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10119-2025</t>
        </is>
      </c>
      <c r="B646" s="1" t="n">
        <v>45719.59969907408</v>
      </c>
      <c r="C646" s="1" t="n">
        <v>45996</v>
      </c>
      <c r="D646" t="inlineStr">
        <is>
          <t>GÄVLEBORGS LÄN</t>
        </is>
      </c>
      <c r="E646" t="inlineStr">
        <is>
          <t>OVANÅKER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54582-2025</t>
        </is>
      </c>
      <c r="B647" s="1" t="n">
        <v>45965.71502314815</v>
      </c>
      <c r="C647" s="1" t="n">
        <v>45996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19884-2025</t>
        </is>
      </c>
      <c r="B648" s="1" t="n">
        <v>45771.56451388889</v>
      </c>
      <c r="C648" s="1" t="n">
        <v>45996</v>
      </c>
      <c r="D648" t="inlineStr">
        <is>
          <t>GÄVLEBORGS LÄN</t>
        </is>
      </c>
      <c r="E648" t="inlineStr">
        <is>
          <t>OVANÅKER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59353-2024</t>
        </is>
      </c>
      <c r="B649" s="1" t="n">
        <v>45638.30491898148</v>
      </c>
      <c r="C649" s="1" t="n">
        <v>45996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19303-2025</t>
        </is>
      </c>
      <c r="B650" s="1" t="n">
        <v>45769.56547453703</v>
      </c>
      <c r="C650" s="1" t="n">
        <v>45996</v>
      </c>
      <c r="D650" t="inlineStr">
        <is>
          <t>GÄVLEBORGS LÄN</t>
        </is>
      </c>
      <c r="E650" t="inlineStr">
        <is>
          <t>OVANÅKER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41512-2023</t>
        </is>
      </c>
      <c r="B651" s="1" t="n">
        <v>45175</v>
      </c>
      <c r="C651" s="1" t="n">
        <v>45996</v>
      </c>
      <c r="D651" t="inlineStr">
        <is>
          <t>GÄVLEBORGS LÄN</t>
        </is>
      </c>
      <c r="E651" t="inlineStr">
        <is>
          <t>OVANÅKER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39249-2024</t>
        </is>
      </c>
      <c r="B652" s="1" t="n">
        <v>45551.31310185185</v>
      </c>
      <c r="C652" s="1" t="n">
        <v>45996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54519-2025</t>
        </is>
      </c>
      <c r="B653" s="1" t="n">
        <v>45965.62609953704</v>
      </c>
      <c r="C653" s="1" t="n">
        <v>45996</v>
      </c>
      <c r="D653" t="inlineStr">
        <is>
          <t>GÄVLEBORGS LÄN</t>
        </is>
      </c>
      <c r="E653" t="inlineStr">
        <is>
          <t>OVANÅKER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25345-2024</t>
        </is>
      </c>
      <c r="B654" s="1" t="n">
        <v>45462.92701388889</v>
      </c>
      <c r="C654" s="1" t="n">
        <v>45996</v>
      </c>
      <c r="D654" t="inlineStr">
        <is>
          <t>GÄVLEBORGS LÄN</t>
        </is>
      </c>
      <c r="E654" t="inlineStr">
        <is>
          <t>OVANÅKER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31269-2025</t>
        </is>
      </c>
      <c r="B655" s="1" t="n">
        <v>45833.33678240741</v>
      </c>
      <c r="C655" s="1" t="n">
        <v>45996</v>
      </c>
      <c r="D655" t="inlineStr">
        <is>
          <t>GÄVLEBORGS LÄN</t>
        </is>
      </c>
      <c r="E655" t="inlineStr">
        <is>
          <t>OVANÅKER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2478-2023</t>
        </is>
      </c>
      <c r="B656" s="1" t="n">
        <v>44943</v>
      </c>
      <c r="C656" s="1" t="n">
        <v>45996</v>
      </c>
      <c r="D656" t="inlineStr">
        <is>
          <t>GÄVLEBORGS LÄN</t>
        </is>
      </c>
      <c r="E656" t="inlineStr">
        <is>
          <t>OVANÅKER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35025-2024</t>
        </is>
      </c>
      <c r="B657" s="1" t="n">
        <v>45527.60422453703</v>
      </c>
      <c r="C657" s="1" t="n">
        <v>45996</v>
      </c>
      <c r="D657" t="inlineStr">
        <is>
          <t>GÄVLEBORGS LÄN</t>
        </is>
      </c>
      <c r="E657" t="inlineStr">
        <is>
          <t>OVANÅKER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55672-2024</t>
        </is>
      </c>
      <c r="B658" s="1" t="n">
        <v>45622.65292824074</v>
      </c>
      <c r="C658" s="1" t="n">
        <v>45996</v>
      </c>
      <c r="D658" t="inlineStr">
        <is>
          <t>GÄVLEBORGS LÄN</t>
        </is>
      </c>
      <c r="E658" t="inlineStr">
        <is>
          <t>OVANÅKER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41801-2023</t>
        </is>
      </c>
      <c r="B659" s="1" t="n">
        <v>45176.50149305556</v>
      </c>
      <c r="C659" s="1" t="n">
        <v>45996</v>
      </c>
      <c r="D659" t="inlineStr">
        <is>
          <t>GÄVLEBORGS LÄN</t>
        </is>
      </c>
      <c r="E659" t="inlineStr">
        <is>
          <t>OVANÅKER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14574-2025</t>
        </is>
      </c>
      <c r="B660" s="1" t="n">
        <v>45741</v>
      </c>
      <c r="C660" s="1" t="n">
        <v>45996</v>
      </c>
      <c r="D660" t="inlineStr">
        <is>
          <t>GÄVLEBORGS LÄN</t>
        </is>
      </c>
      <c r="E660" t="inlineStr">
        <is>
          <t>OVANÅKER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44208-2024</t>
        </is>
      </c>
      <c r="B661" s="1" t="n">
        <v>45573.35883101852</v>
      </c>
      <c r="C661" s="1" t="n">
        <v>45996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31084-2024</t>
        </is>
      </c>
      <c r="B662" s="1" t="n">
        <v>45502.47806712963</v>
      </c>
      <c r="C662" s="1" t="n">
        <v>45996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30906-2024</t>
        </is>
      </c>
      <c r="B663" s="1" t="n">
        <v>45498.55421296296</v>
      </c>
      <c r="C663" s="1" t="n">
        <v>45996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50769-2023</t>
        </is>
      </c>
      <c r="B664" s="1" t="n">
        <v>45217.62091435185</v>
      </c>
      <c r="C664" s="1" t="n">
        <v>45996</v>
      </c>
      <c r="D664" t="inlineStr">
        <is>
          <t>GÄVLEBORGS LÄN</t>
        </is>
      </c>
      <c r="E664" t="inlineStr">
        <is>
          <t>OVANÅKER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45701-2025</t>
        </is>
      </c>
      <c r="B665" s="1" t="n">
        <v>45923.4074537037</v>
      </c>
      <c r="C665" s="1" t="n">
        <v>45996</v>
      </c>
      <c r="D665" t="inlineStr">
        <is>
          <t>GÄVLEBORGS LÄN</t>
        </is>
      </c>
      <c r="E665" t="inlineStr">
        <is>
          <t>OVANÅKER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60449-2022</t>
        </is>
      </c>
      <c r="B666" s="1" t="n">
        <v>44911.37099537037</v>
      </c>
      <c r="C666" s="1" t="n">
        <v>45996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2176-2025</t>
        </is>
      </c>
      <c r="B667" s="1" t="n">
        <v>45673.33479166667</v>
      </c>
      <c r="C667" s="1" t="n">
        <v>45996</v>
      </c>
      <c r="D667" t="inlineStr">
        <is>
          <t>GÄVLEBORGS LÄN</t>
        </is>
      </c>
      <c r="E667" t="inlineStr">
        <is>
          <t>OVANÅKER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41545-2024</t>
        </is>
      </c>
      <c r="B668" s="1" t="n">
        <v>45560.51070601852</v>
      </c>
      <c r="C668" s="1" t="n">
        <v>45996</v>
      </c>
      <c r="D668" t="inlineStr">
        <is>
          <t>GÄVLEBORGS LÄN</t>
        </is>
      </c>
      <c r="E668" t="inlineStr">
        <is>
          <t>OVANÅKER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59186-2022</t>
        </is>
      </c>
      <c r="B669" s="1" t="n">
        <v>44904.49101851852</v>
      </c>
      <c r="C669" s="1" t="n">
        <v>45996</v>
      </c>
      <c r="D669" t="inlineStr">
        <is>
          <t>GÄVLEBORGS LÄN</t>
        </is>
      </c>
      <c r="E669" t="inlineStr">
        <is>
          <t>OVANÅKER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54512-2025</t>
        </is>
      </c>
      <c r="B670" s="1" t="n">
        <v>45965.62202546297</v>
      </c>
      <c r="C670" s="1" t="n">
        <v>45996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59511-2022</t>
        </is>
      </c>
      <c r="B671" s="1" t="n">
        <v>44907</v>
      </c>
      <c r="C671" s="1" t="n">
        <v>45996</v>
      </c>
      <c r="D671" t="inlineStr">
        <is>
          <t>GÄVLEBORGS LÄN</t>
        </is>
      </c>
      <c r="E671" t="inlineStr">
        <is>
          <t>OVANÅKER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62152-2024</t>
        </is>
      </c>
      <c r="B672" s="1" t="n">
        <v>45656</v>
      </c>
      <c r="C672" s="1" t="n">
        <v>45996</v>
      </c>
      <c r="D672" t="inlineStr">
        <is>
          <t>GÄVLEBORGS LÄN</t>
        </is>
      </c>
      <c r="E672" t="inlineStr">
        <is>
          <t>OVANÅKER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10593-2025</t>
        </is>
      </c>
      <c r="B673" s="1" t="n">
        <v>45721.56726851852</v>
      </c>
      <c r="C673" s="1" t="n">
        <v>45996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11476-2025</t>
        </is>
      </c>
      <c r="B674" s="1" t="n">
        <v>45726.67202546296</v>
      </c>
      <c r="C674" s="1" t="n">
        <v>45996</v>
      </c>
      <c r="D674" t="inlineStr">
        <is>
          <t>GÄVLEBORGS LÄN</t>
        </is>
      </c>
      <c r="E674" t="inlineStr">
        <is>
          <t>OVANÅKER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45939-2025</t>
        </is>
      </c>
      <c r="B675" s="1" t="n">
        <v>45924.30354166667</v>
      </c>
      <c r="C675" s="1" t="n">
        <v>45996</v>
      </c>
      <c r="D675" t="inlineStr">
        <is>
          <t>GÄVLEBORGS LÄN</t>
        </is>
      </c>
      <c r="E675" t="inlineStr">
        <is>
          <t>OVANÅKER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1405-2024</t>
        </is>
      </c>
      <c r="B676" s="1" t="n">
        <v>45303</v>
      </c>
      <c r="C676" s="1" t="n">
        <v>45996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16019-2024</t>
        </is>
      </c>
      <c r="B677" s="1" t="n">
        <v>45405.67047453704</v>
      </c>
      <c r="C677" s="1" t="n">
        <v>45996</v>
      </c>
      <c r="D677" t="inlineStr">
        <is>
          <t>GÄVLEBORGS LÄN</t>
        </is>
      </c>
      <c r="E677" t="inlineStr">
        <is>
          <t>OVANÅKER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54788-2025</t>
        </is>
      </c>
      <c r="B678" s="1" t="n">
        <v>45966.63012731481</v>
      </c>
      <c r="C678" s="1" t="n">
        <v>45996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46188-2025</t>
        </is>
      </c>
      <c r="B679" s="1" t="n">
        <v>45924.66311342592</v>
      </c>
      <c r="C679" s="1" t="n">
        <v>45996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10101-2025</t>
        </is>
      </c>
      <c r="B680" s="1" t="n">
        <v>45719.57923611111</v>
      </c>
      <c r="C680" s="1" t="n">
        <v>45996</v>
      </c>
      <c r="D680" t="inlineStr">
        <is>
          <t>GÄVLEBORGS LÄN</t>
        </is>
      </c>
      <c r="E680" t="inlineStr">
        <is>
          <t>OVANÅKER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20264-2024</t>
        </is>
      </c>
      <c r="B681" s="1" t="n">
        <v>45434.94854166666</v>
      </c>
      <c r="C681" s="1" t="n">
        <v>45996</v>
      </c>
      <c r="D681" t="inlineStr">
        <is>
          <t>GÄVLEBORGS LÄN</t>
        </is>
      </c>
      <c r="E681" t="inlineStr">
        <is>
          <t>OVANÅKER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19957-2025</t>
        </is>
      </c>
      <c r="B682" s="1" t="n">
        <v>45771.66318287037</v>
      </c>
      <c r="C682" s="1" t="n">
        <v>45996</v>
      </c>
      <c r="D682" t="inlineStr">
        <is>
          <t>GÄVLEBORGS LÄN</t>
        </is>
      </c>
      <c r="E682" t="inlineStr">
        <is>
          <t>OVANÅKER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31175-2024</t>
        </is>
      </c>
      <c r="B683" s="1" t="n">
        <v>45503</v>
      </c>
      <c r="C683" s="1" t="n">
        <v>45996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19960-2025</t>
        </is>
      </c>
      <c r="B684" s="1" t="n">
        <v>45771.66837962963</v>
      </c>
      <c r="C684" s="1" t="n">
        <v>45996</v>
      </c>
      <c r="D684" t="inlineStr">
        <is>
          <t>GÄVLEBORGS LÄN</t>
        </is>
      </c>
      <c r="E684" t="inlineStr">
        <is>
          <t>OVANÅKER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20927-2025</t>
        </is>
      </c>
      <c r="B685" s="1" t="n">
        <v>45777.42354166666</v>
      </c>
      <c r="C685" s="1" t="n">
        <v>45996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46463-2025</t>
        </is>
      </c>
      <c r="B686" s="1" t="n">
        <v>45925.66907407407</v>
      </c>
      <c r="C686" s="1" t="n">
        <v>45996</v>
      </c>
      <c r="D686" t="inlineStr">
        <is>
          <t>GÄVLEBORGS LÄN</t>
        </is>
      </c>
      <c r="E686" t="inlineStr">
        <is>
          <t>OVANÅKER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19963-2025</t>
        </is>
      </c>
      <c r="B687" s="1" t="n">
        <v>45771.67196759259</v>
      </c>
      <c r="C687" s="1" t="n">
        <v>45996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48267-2023</t>
        </is>
      </c>
      <c r="B688" s="1" t="n">
        <v>45205.54505787037</v>
      </c>
      <c r="C688" s="1" t="n">
        <v>45996</v>
      </c>
      <c r="D688" t="inlineStr">
        <is>
          <t>GÄVLEBORGS LÄN</t>
        </is>
      </c>
      <c r="E688" t="inlineStr">
        <is>
          <t>OVANÅKER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19177-2024</t>
        </is>
      </c>
      <c r="B689" s="1" t="n">
        <v>45428.47560185185</v>
      </c>
      <c r="C689" s="1" t="n">
        <v>45996</v>
      </c>
      <c r="D689" t="inlineStr">
        <is>
          <t>GÄVLEBORGS LÄN</t>
        </is>
      </c>
      <c r="E689" t="inlineStr">
        <is>
          <t>OVANÅKER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20742-2025</t>
        </is>
      </c>
      <c r="B690" s="1" t="n">
        <v>45776.54644675926</v>
      </c>
      <c r="C690" s="1" t="n">
        <v>45996</v>
      </c>
      <c r="D690" t="inlineStr">
        <is>
          <t>GÄVLEBORGS LÄN</t>
        </is>
      </c>
      <c r="E690" t="inlineStr">
        <is>
          <t>OVANÅKER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20795-2025</t>
        </is>
      </c>
      <c r="B691" s="1" t="n">
        <v>45776.63881944444</v>
      </c>
      <c r="C691" s="1" t="n">
        <v>45996</v>
      </c>
      <c r="D691" t="inlineStr">
        <is>
          <t>GÄVLEBORGS LÄN</t>
        </is>
      </c>
      <c r="E691" t="inlineStr">
        <is>
          <t>OVANÅKER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20799-2025</t>
        </is>
      </c>
      <c r="B692" s="1" t="n">
        <v>45776.64336805556</v>
      </c>
      <c r="C692" s="1" t="n">
        <v>45996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46399-2025</t>
        </is>
      </c>
      <c r="B693" s="1" t="n">
        <v>45925.55168981481</v>
      </c>
      <c r="C693" s="1" t="n">
        <v>45996</v>
      </c>
      <c r="D693" t="inlineStr">
        <is>
          <t>GÄVLEBORGS LÄN</t>
        </is>
      </c>
      <c r="E693" t="inlineStr">
        <is>
          <t>OVANÅKER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44905-2024</t>
        </is>
      </c>
      <c r="B694" s="1" t="n">
        <v>45575.38402777778</v>
      </c>
      <c r="C694" s="1" t="n">
        <v>45996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39540-2024</t>
        </is>
      </c>
      <c r="B695" s="1" t="n">
        <v>45551.92954861111</v>
      </c>
      <c r="C695" s="1" t="n">
        <v>45996</v>
      </c>
      <c r="D695" t="inlineStr">
        <is>
          <t>GÄVLEBORGS LÄN</t>
        </is>
      </c>
      <c r="E695" t="inlineStr">
        <is>
          <t>OVANÅKER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28604-2023</t>
        </is>
      </c>
      <c r="B696" s="1" t="n">
        <v>45103</v>
      </c>
      <c r="C696" s="1" t="n">
        <v>45996</v>
      </c>
      <c r="D696" t="inlineStr">
        <is>
          <t>GÄVLEBORGS LÄN</t>
        </is>
      </c>
      <c r="E696" t="inlineStr">
        <is>
          <t>OVANÅKER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31298-2024</t>
        </is>
      </c>
      <c r="B697" s="1" t="n">
        <v>45504.49959490741</v>
      </c>
      <c r="C697" s="1" t="n">
        <v>45996</v>
      </c>
      <c r="D697" t="inlineStr">
        <is>
          <t>GÄVLEBORGS LÄN</t>
        </is>
      </c>
      <c r="E697" t="inlineStr">
        <is>
          <t>OVANÅKER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21734-2025</t>
        </is>
      </c>
      <c r="B698" s="1" t="n">
        <v>45783.58751157407</v>
      </c>
      <c r="C698" s="1" t="n">
        <v>45996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21744-2025</t>
        </is>
      </c>
      <c r="B699" s="1" t="n">
        <v>45783.60194444445</v>
      </c>
      <c r="C699" s="1" t="n">
        <v>45996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19008-2025</t>
        </is>
      </c>
      <c r="B700" s="1" t="n">
        <v>45764.59033564815</v>
      </c>
      <c r="C700" s="1" t="n">
        <v>45996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12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14575-2024</t>
        </is>
      </c>
      <c r="B701" s="1" t="n">
        <v>45394</v>
      </c>
      <c r="C701" s="1" t="n">
        <v>45996</v>
      </c>
      <c r="D701" t="inlineStr">
        <is>
          <t>GÄVLEBORGS LÄN</t>
        </is>
      </c>
      <c r="E701" t="inlineStr">
        <is>
          <t>OVANÅKER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21446-2025</t>
        </is>
      </c>
      <c r="B702" s="1" t="n">
        <v>45782.54756944445</v>
      </c>
      <c r="C702" s="1" t="n">
        <v>45996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öst AB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35086-2024</t>
        </is>
      </c>
      <c r="B703" s="1" t="n">
        <v>45527.70609953703</v>
      </c>
      <c r="C703" s="1" t="n">
        <v>45996</v>
      </c>
      <c r="D703" t="inlineStr">
        <is>
          <t>GÄVLEBORGS LÄN</t>
        </is>
      </c>
      <c r="E703" t="inlineStr">
        <is>
          <t>OVANÅKER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21394-2025</t>
        </is>
      </c>
      <c r="B704" s="1" t="n">
        <v>45782.48197916667</v>
      </c>
      <c r="C704" s="1" t="n">
        <v>45996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42722-2024</t>
        </is>
      </c>
      <c r="B705" s="1" t="n">
        <v>45566.46315972223</v>
      </c>
      <c r="C705" s="1" t="n">
        <v>45996</v>
      </c>
      <c r="D705" t="inlineStr">
        <is>
          <t>GÄVLEBORGS LÄN</t>
        </is>
      </c>
      <c r="E705" t="inlineStr">
        <is>
          <t>OVANÅKER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35352-2024</t>
        </is>
      </c>
      <c r="B706" s="1" t="n">
        <v>45531</v>
      </c>
      <c r="C706" s="1" t="n">
        <v>45996</v>
      </c>
      <c r="D706" t="inlineStr">
        <is>
          <t>GÄVLEBORGS LÄN</t>
        </is>
      </c>
      <c r="E706" t="inlineStr">
        <is>
          <t>OVANÅKER</t>
        </is>
      </c>
      <c r="F706" t="inlineStr">
        <is>
          <t>Sveaskog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43504-2024</t>
        </is>
      </c>
      <c r="B707" s="1" t="n">
        <v>45569.30541666667</v>
      </c>
      <c r="C707" s="1" t="n">
        <v>45996</v>
      </c>
      <c r="D707" t="inlineStr">
        <is>
          <t>GÄVLEBORGS LÄN</t>
        </is>
      </c>
      <c r="E707" t="inlineStr">
        <is>
          <t>OVANÅKER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37071-2024</t>
        </is>
      </c>
      <c r="B708" s="1" t="n">
        <v>45539.46820601852</v>
      </c>
      <c r="C708" s="1" t="n">
        <v>45996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52165-2023</t>
        </is>
      </c>
      <c r="B709" s="1" t="n">
        <v>45224.33109953703</v>
      </c>
      <c r="C709" s="1" t="n">
        <v>45996</v>
      </c>
      <c r="D709" t="inlineStr">
        <is>
          <t>GÄVLEBORGS LÄN</t>
        </is>
      </c>
      <c r="E709" t="inlineStr">
        <is>
          <t>OVANÅKER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58645-2024</t>
        </is>
      </c>
      <c r="B710" s="1" t="n">
        <v>45632</v>
      </c>
      <c r="C710" s="1" t="n">
        <v>45996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19163-2024</t>
        </is>
      </c>
      <c r="B711" s="1" t="n">
        <v>45428</v>
      </c>
      <c r="C711" s="1" t="n">
        <v>45996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23093-2022</t>
        </is>
      </c>
      <c r="B712" s="1" t="n">
        <v>44719.4865625</v>
      </c>
      <c r="C712" s="1" t="n">
        <v>45996</v>
      </c>
      <c r="D712" t="inlineStr">
        <is>
          <t>GÄVLEBORGS LÄN</t>
        </is>
      </c>
      <c r="E712" t="inlineStr">
        <is>
          <t>OVANÅKER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55910-2024</t>
        </is>
      </c>
      <c r="B713" s="1" t="n">
        <v>45623.58634259259</v>
      </c>
      <c r="C713" s="1" t="n">
        <v>45996</v>
      </c>
      <c r="D713" t="inlineStr">
        <is>
          <t>GÄVLEBORGS LÄN</t>
        </is>
      </c>
      <c r="E713" t="inlineStr">
        <is>
          <t>OVANÅKER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18906-2023</t>
        </is>
      </c>
      <c r="B714" s="1" t="n">
        <v>45044.57915509259</v>
      </c>
      <c r="C714" s="1" t="n">
        <v>45996</v>
      </c>
      <c r="D714" t="inlineStr">
        <is>
          <t>GÄVLEBORGS LÄN</t>
        </is>
      </c>
      <c r="E714" t="inlineStr">
        <is>
          <t>OVANÅKER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19629-2024</t>
        </is>
      </c>
      <c r="B715" s="1" t="n">
        <v>45432.36076388889</v>
      </c>
      <c r="C715" s="1" t="n">
        <v>45996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36864-2024</t>
        </is>
      </c>
      <c r="B716" s="1" t="n">
        <v>45538.57896990741</v>
      </c>
      <c r="C716" s="1" t="n">
        <v>45996</v>
      </c>
      <c r="D716" t="inlineStr">
        <is>
          <t>GÄVLEBORGS LÄN</t>
        </is>
      </c>
      <c r="E716" t="inlineStr">
        <is>
          <t>OVANÅKER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46036-2024</t>
        </is>
      </c>
      <c r="B717" s="1" t="n">
        <v>45580.72539351852</v>
      </c>
      <c r="C717" s="1" t="n">
        <v>45996</v>
      </c>
      <c r="D717" t="inlineStr">
        <is>
          <t>GÄVLEBORGS LÄN</t>
        </is>
      </c>
      <c r="E717" t="inlineStr">
        <is>
          <t>OVANÅKER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54866-2025</t>
        </is>
      </c>
      <c r="B718" s="1" t="n">
        <v>45966.83371527777</v>
      </c>
      <c r="C718" s="1" t="n">
        <v>45996</v>
      </c>
      <c r="D718" t="inlineStr">
        <is>
          <t>GÄVLEBORGS LÄN</t>
        </is>
      </c>
      <c r="E718" t="inlineStr">
        <is>
          <t>OVANÅKER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43169-2023</t>
        </is>
      </c>
      <c r="B719" s="1" t="n">
        <v>45183.3571875</v>
      </c>
      <c r="C719" s="1" t="n">
        <v>45996</v>
      </c>
      <c r="D719" t="inlineStr">
        <is>
          <t>GÄVLEBORGS LÄN</t>
        </is>
      </c>
      <c r="E719" t="inlineStr">
        <is>
          <t>OVANÅKER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55064-2025</t>
        </is>
      </c>
      <c r="B720" s="1" t="n">
        <v>45967.70875</v>
      </c>
      <c r="C720" s="1" t="n">
        <v>45996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22312-2025</t>
        </is>
      </c>
      <c r="B721" s="1" t="n">
        <v>45786.384375</v>
      </c>
      <c r="C721" s="1" t="n">
        <v>45996</v>
      </c>
      <c r="D721" t="inlineStr">
        <is>
          <t>GÄVLEBORGS LÄN</t>
        </is>
      </c>
      <c r="E721" t="inlineStr">
        <is>
          <t>OVANÅKER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54790-2025</t>
        </is>
      </c>
      <c r="B722" s="1" t="n">
        <v>45966.63303240741</v>
      </c>
      <c r="C722" s="1" t="n">
        <v>45996</v>
      </c>
      <c r="D722" t="inlineStr">
        <is>
          <t>GÄVLEBORGS LÄN</t>
        </is>
      </c>
      <c r="E722" t="inlineStr">
        <is>
          <t>OVANÅKER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10891-2025</t>
        </is>
      </c>
      <c r="B723" s="1" t="n">
        <v>45722.67386574074</v>
      </c>
      <c r="C723" s="1" t="n">
        <v>45996</v>
      </c>
      <c r="D723" t="inlineStr">
        <is>
          <t>GÄVLEBORGS LÄN</t>
        </is>
      </c>
      <c r="E723" t="inlineStr">
        <is>
          <t>OVANÅKER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46614-2025</t>
        </is>
      </c>
      <c r="B724" s="1" t="n">
        <v>45926.42737268518</v>
      </c>
      <c r="C724" s="1" t="n">
        <v>45996</v>
      </c>
      <c r="D724" t="inlineStr">
        <is>
          <t>GÄVLEBORGS LÄN</t>
        </is>
      </c>
      <c r="E724" t="inlineStr">
        <is>
          <t>OVANÅKER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4685-2025</t>
        </is>
      </c>
      <c r="B725" s="1" t="n">
        <v>45688.29756944445</v>
      </c>
      <c r="C725" s="1" t="n">
        <v>45996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46932-2025</t>
        </is>
      </c>
      <c r="B726" s="1" t="n">
        <v>45929.44258101852</v>
      </c>
      <c r="C726" s="1" t="n">
        <v>45996</v>
      </c>
      <c r="D726" t="inlineStr">
        <is>
          <t>GÄVLEBORGS LÄN</t>
        </is>
      </c>
      <c r="E726" t="inlineStr">
        <is>
          <t>OVANÅKER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24032-2024</t>
        </is>
      </c>
      <c r="B727" s="1" t="n">
        <v>45456.46153935185</v>
      </c>
      <c r="C727" s="1" t="n">
        <v>45996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6188-2024</t>
        </is>
      </c>
      <c r="B728" s="1" t="n">
        <v>45337</v>
      </c>
      <c r="C728" s="1" t="n">
        <v>45996</v>
      </c>
      <c r="D728" t="inlineStr">
        <is>
          <t>GÄVLEBORGS LÄN</t>
        </is>
      </c>
      <c r="E728" t="inlineStr">
        <is>
          <t>OVANÅKER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55232-2025</t>
        </is>
      </c>
      <c r="B729" s="1" t="n">
        <v>45968.60851851852</v>
      </c>
      <c r="C729" s="1" t="n">
        <v>45996</v>
      </c>
      <c r="D729" t="inlineStr">
        <is>
          <t>GÄVLEBORGS LÄN</t>
        </is>
      </c>
      <c r="E729" t="inlineStr">
        <is>
          <t>OVANÅKER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18244-2024</t>
        </is>
      </c>
      <c r="B730" s="1" t="n">
        <v>45421.353125</v>
      </c>
      <c r="C730" s="1" t="n">
        <v>45996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55642-2024</t>
        </is>
      </c>
      <c r="B731" s="1" t="n">
        <v>45622.61861111111</v>
      </c>
      <c r="C731" s="1" t="n">
        <v>45996</v>
      </c>
      <c r="D731" t="inlineStr">
        <is>
          <t>GÄVLEBORGS LÄN</t>
        </is>
      </c>
      <c r="E731" t="inlineStr">
        <is>
          <t>OVANÅKER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53399-2024</t>
        </is>
      </c>
      <c r="B732" s="1" t="n">
        <v>45614.48822916667</v>
      </c>
      <c r="C732" s="1" t="n">
        <v>45996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23098-2025</t>
        </is>
      </c>
      <c r="B733" s="1" t="n">
        <v>45791.3475</v>
      </c>
      <c r="C733" s="1" t="n">
        <v>45996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23106-2025</t>
        </is>
      </c>
      <c r="B734" s="1" t="n">
        <v>45791.35957175926</v>
      </c>
      <c r="C734" s="1" t="n">
        <v>45996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23178-2025</t>
        </is>
      </c>
      <c r="B735" s="1" t="n">
        <v>45791.43634259259</v>
      </c>
      <c r="C735" s="1" t="n">
        <v>45996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16393-2025</t>
        </is>
      </c>
      <c r="B736" s="1" t="n">
        <v>45751.43475694444</v>
      </c>
      <c r="C736" s="1" t="n">
        <v>45996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23242-2025</t>
        </is>
      </c>
      <c r="B737" s="1" t="n">
        <v>45791.50158564815</v>
      </c>
      <c r="C737" s="1" t="n">
        <v>45996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23135-2025</t>
        </is>
      </c>
      <c r="B738" s="1" t="n">
        <v>45791.38993055555</v>
      </c>
      <c r="C738" s="1" t="n">
        <v>45996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22938-2025</t>
        </is>
      </c>
      <c r="B739" s="1" t="n">
        <v>45790.46480324074</v>
      </c>
      <c r="C739" s="1" t="n">
        <v>45996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53444-2024</t>
        </is>
      </c>
      <c r="B740" s="1" t="n">
        <v>45614.54</v>
      </c>
      <c r="C740" s="1" t="n">
        <v>45996</v>
      </c>
      <c r="D740" t="inlineStr">
        <is>
          <t>GÄVLEBORGS LÄN</t>
        </is>
      </c>
      <c r="E740" t="inlineStr">
        <is>
          <t>OVANÅKER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55245-2025</t>
        </is>
      </c>
      <c r="B741" s="1" t="n">
        <v>45968.62094907407</v>
      </c>
      <c r="C741" s="1" t="n">
        <v>45996</v>
      </c>
      <c r="D741" t="inlineStr">
        <is>
          <t>GÄVLEBORGS LÄN</t>
        </is>
      </c>
      <c r="E741" t="inlineStr">
        <is>
          <t>OVANÅKER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55248-2025</t>
        </is>
      </c>
      <c r="B742" s="1" t="n">
        <v>45968.62568287037</v>
      </c>
      <c r="C742" s="1" t="n">
        <v>45996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23143-2025</t>
        </is>
      </c>
      <c r="B743" s="1" t="n">
        <v>45791.39702546296</v>
      </c>
      <c r="C743" s="1" t="n">
        <v>45996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23184-2025</t>
        </is>
      </c>
      <c r="B744" s="1" t="n">
        <v>45791.44305555556</v>
      </c>
      <c r="C744" s="1" t="n">
        <v>45996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23217-2025</t>
        </is>
      </c>
      <c r="B745" s="1" t="n">
        <v>45791.47516203704</v>
      </c>
      <c r="C745" s="1" t="n">
        <v>45996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23140-2025</t>
        </is>
      </c>
      <c r="B746" s="1" t="n">
        <v>45791.3959375</v>
      </c>
      <c r="C746" s="1" t="n">
        <v>45996</v>
      </c>
      <c r="D746" t="inlineStr">
        <is>
          <t>GÄVLEBORGS LÄN</t>
        </is>
      </c>
      <c r="E746" t="inlineStr">
        <is>
          <t>OVANÅKER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23167-2025</t>
        </is>
      </c>
      <c r="B747" s="1" t="n">
        <v>45791.42684027777</v>
      </c>
      <c r="C747" s="1" t="n">
        <v>45996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23175-2025</t>
        </is>
      </c>
      <c r="B748" s="1" t="n">
        <v>45791.43109953704</v>
      </c>
      <c r="C748" s="1" t="n">
        <v>45996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23180-2025</t>
        </is>
      </c>
      <c r="B749" s="1" t="n">
        <v>45791.44038194444</v>
      </c>
      <c r="C749" s="1" t="n">
        <v>45996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60779-2022</t>
        </is>
      </c>
      <c r="B750" s="1" t="n">
        <v>44914.38584490741</v>
      </c>
      <c r="C750" s="1" t="n">
        <v>45996</v>
      </c>
      <c r="D750" t="inlineStr">
        <is>
          <t>GÄVLEBORGS LÄN</t>
        </is>
      </c>
      <c r="E750" t="inlineStr">
        <is>
          <t>OVANÅKER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23220-2025</t>
        </is>
      </c>
      <c r="B751" s="1" t="n">
        <v>45791.48085648148</v>
      </c>
      <c r="C751" s="1" t="n">
        <v>45996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23223-2025</t>
        </is>
      </c>
      <c r="B752" s="1" t="n">
        <v>45791.4846875</v>
      </c>
      <c r="C752" s="1" t="n">
        <v>45996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55470-2025</t>
        </is>
      </c>
      <c r="B753" s="1" t="n">
        <v>45971.53881944445</v>
      </c>
      <c r="C753" s="1" t="n">
        <v>45996</v>
      </c>
      <c r="D753" t="inlineStr">
        <is>
          <t>GÄVLEBORGS LÄN</t>
        </is>
      </c>
      <c r="E753" t="inlineStr">
        <is>
          <t>OVANÅKER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53691-2022</t>
        </is>
      </c>
      <c r="B754" s="1" t="n">
        <v>44880.33012731482</v>
      </c>
      <c r="C754" s="1" t="n">
        <v>45996</v>
      </c>
      <c r="D754" t="inlineStr">
        <is>
          <t>GÄVLEBORGS LÄN</t>
        </is>
      </c>
      <c r="E754" t="inlineStr">
        <is>
          <t>OVANÅKER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23176-2025</t>
        </is>
      </c>
      <c r="B755" s="1" t="n">
        <v>45791.4331712963</v>
      </c>
      <c r="C755" s="1" t="n">
        <v>45996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13014-2023</t>
        </is>
      </c>
      <c r="B756" s="1" t="n">
        <v>45002</v>
      </c>
      <c r="C756" s="1" t="n">
        <v>45996</v>
      </c>
      <c r="D756" t="inlineStr">
        <is>
          <t>GÄVLEBORGS LÄN</t>
        </is>
      </c>
      <c r="E756" t="inlineStr">
        <is>
          <t>OVANÅKER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33489-2024</t>
        </is>
      </c>
      <c r="B757" s="1" t="n">
        <v>45519.61517361111</v>
      </c>
      <c r="C757" s="1" t="n">
        <v>45996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23416-2025</t>
        </is>
      </c>
      <c r="B758" s="1" t="n">
        <v>45792.34644675926</v>
      </c>
      <c r="C758" s="1" t="n">
        <v>45996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50480-2024</t>
        </is>
      </c>
      <c r="B759" s="1" t="n">
        <v>45601.47907407407</v>
      </c>
      <c r="C759" s="1" t="n">
        <v>45996</v>
      </c>
      <c r="D759" t="inlineStr">
        <is>
          <t>GÄVLEBORGS LÄN</t>
        </is>
      </c>
      <c r="E759" t="inlineStr">
        <is>
          <t>OVANÅKER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23424-2025</t>
        </is>
      </c>
      <c r="B760" s="1" t="n">
        <v>45792.35974537037</v>
      </c>
      <c r="C760" s="1" t="n">
        <v>45996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23434-2025</t>
        </is>
      </c>
      <c r="B761" s="1" t="n">
        <v>45792.36770833333</v>
      </c>
      <c r="C761" s="1" t="n">
        <v>45996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14.6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58460-2022</t>
        </is>
      </c>
      <c r="B762" s="1" t="n">
        <v>44902</v>
      </c>
      <c r="C762" s="1" t="n">
        <v>45996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62738-2023</t>
        </is>
      </c>
      <c r="B763" s="1" t="n">
        <v>45268</v>
      </c>
      <c r="C763" s="1" t="n">
        <v>45996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7569-2022</t>
        </is>
      </c>
      <c r="B764" s="1" t="n">
        <v>44607</v>
      </c>
      <c r="C764" s="1" t="n">
        <v>45996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11684-2024</t>
        </is>
      </c>
      <c r="B765" s="1" t="n">
        <v>45373.58568287037</v>
      </c>
      <c r="C765" s="1" t="n">
        <v>45996</v>
      </c>
      <c r="D765" t="inlineStr">
        <is>
          <t>GÄVLEBORGS LÄN</t>
        </is>
      </c>
      <c r="E765" t="inlineStr">
        <is>
          <t>OVANÅKER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55246-2025</t>
        </is>
      </c>
      <c r="B766" s="1" t="n">
        <v>45968.62332175926</v>
      </c>
      <c r="C766" s="1" t="n">
        <v>45996</v>
      </c>
      <c r="D766" t="inlineStr">
        <is>
          <t>GÄVLEBORGS LÄN</t>
        </is>
      </c>
      <c r="E766" t="inlineStr">
        <is>
          <t>OVANÅKER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4751-2025</t>
        </is>
      </c>
      <c r="B767" s="1" t="n">
        <v>45688.46480324074</v>
      </c>
      <c r="C767" s="1" t="n">
        <v>45996</v>
      </c>
      <c r="D767" t="inlineStr">
        <is>
          <t>GÄVLEBORGS LÄN</t>
        </is>
      </c>
      <c r="E767" t="inlineStr">
        <is>
          <t>OVANÅKER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53998-2025</t>
        </is>
      </c>
      <c r="B768" s="1" t="n">
        <v>45961</v>
      </c>
      <c r="C768" s="1" t="n">
        <v>45996</v>
      </c>
      <c r="D768" t="inlineStr">
        <is>
          <t>GÄVLEBORGS LÄN</t>
        </is>
      </c>
      <c r="E768" t="inlineStr">
        <is>
          <t>OVANÅKER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55154-2025</t>
        </is>
      </c>
      <c r="B769" s="1" t="n">
        <v>45968.46167824074</v>
      </c>
      <c r="C769" s="1" t="n">
        <v>45996</v>
      </c>
      <c r="D769" t="inlineStr">
        <is>
          <t>GÄVLEBORGS LÄN</t>
        </is>
      </c>
      <c r="E769" t="inlineStr">
        <is>
          <t>OVANÅKER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47382-2025</t>
        </is>
      </c>
      <c r="B770" s="1" t="n">
        <v>45930.59686342593</v>
      </c>
      <c r="C770" s="1" t="n">
        <v>45996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47384-2025</t>
        </is>
      </c>
      <c r="B771" s="1" t="n">
        <v>45930.59862268518</v>
      </c>
      <c r="C771" s="1" t="n">
        <v>45996</v>
      </c>
      <c r="D771" t="inlineStr">
        <is>
          <t>GÄVLEBORGS LÄN</t>
        </is>
      </c>
      <c r="E771" t="inlineStr">
        <is>
          <t>OVANÅKER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47600-2025</t>
        </is>
      </c>
      <c r="B772" s="1" t="n">
        <v>45931.46003472222</v>
      </c>
      <c r="C772" s="1" t="n">
        <v>45996</v>
      </c>
      <c r="D772" t="inlineStr">
        <is>
          <t>GÄVLEBORGS LÄN</t>
        </is>
      </c>
      <c r="E772" t="inlineStr">
        <is>
          <t>OVANÅKER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47617-2025</t>
        </is>
      </c>
      <c r="B773" s="1" t="n">
        <v>45931.47832175926</v>
      </c>
      <c r="C773" s="1" t="n">
        <v>45996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47618-2025</t>
        </is>
      </c>
      <c r="B774" s="1" t="n">
        <v>45931.4806712963</v>
      </c>
      <c r="C774" s="1" t="n">
        <v>45996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17384-2023</t>
        </is>
      </c>
      <c r="B775" s="1" t="n">
        <v>45035</v>
      </c>
      <c r="C775" s="1" t="n">
        <v>45996</v>
      </c>
      <c r="D775" t="inlineStr">
        <is>
          <t>GÄVLEBORGS LÄN</t>
        </is>
      </c>
      <c r="E775" t="inlineStr">
        <is>
          <t>OVANÅKER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47680-2025</t>
        </is>
      </c>
      <c r="B776" s="1" t="n">
        <v>45931.58048611111</v>
      </c>
      <c r="C776" s="1" t="n">
        <v>45996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47310-2025</t>
        </is>
      </c>
      <c r="B777" s="1" t="n">
        <v>45930.53824074074</v>
      </c>
      <c r="C777" s="1" t="n">
        <v>45996</v>
      </c>
      <c r="D777" t="inlineStr">
        <is>
          <t>GÄVLEBORGS LÄN</t>
        </is>
      </c>
      <c r="E777" t="inlineStr">
        <is>
          <t>OVANÅKER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47374-2025</t>
        </is>
      </c>
      <c r="B778" s="1" t="n">
        <v>45930.59420138889</v>
      </c>
      <c r="C778" s="1" t="n">
        <v>45996</v>
      </c>
      <c r="D778" t="inlineStr">
        <is>
          <t>GÄVLEBORGS LÄN</t>
        </is>
      </c>
      <c r="E778" t="inlineStr">
        <is>
          <t>OVANÅKER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55494-2025</t>
        </is>
      </c>
      <c r="B779" s="1" t="n">
        <v>45971.57972222222</v>
      </c>
      <c r="C779" s="1" t="n">
        <v>45996</v>
      </c>
      <c r="D779" t="inlineStr">
        <is>
          <t>GÄVLEBORGS LÄN</t>
        </is>
      </c>
      <c r="E779" t="inlineStr">
        <is>
          <t>OVANÅKER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55840-2025</t>
        </is>
      </c>
      <c r="B780" s="1" t="n">
        <v>45973.27221064815</v>
      </c>
      <c r="C780" s="1" t="n">
        <v>45996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47367-2025</t>
        </is>
      </c>
      <c r="B781" s="1" t="n">
        <v>45930.59047453704</v>
      </c>
      <c r="C781" s="1" t="n">
        <v>45996</v>
      </c>
      <c r="D781" t="inlineStr">
        <is>
          <t>GÄVLEBORGS LÄN</t>
        </is>
      </c>
      <c r="E781" t="inlineStr">
        <is>
          <t>OVANÅKER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55495-2025</t>
        </is>
      </c>
      <c r="B782" s="1" t="n">
        <v>45971.58234953704</v>
      </c>
      <c r="C782" s="1" t="n">
        <v>45996</v>
      </c>
      <c r="D782" t="inlineStr">
        <is>
          <t>GÄVLEBORGS LÄN</t>
        </is>
      </c>
      <c r="E782" t="inlineStr">
        <is>
          <t>OVANÅKER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56488-2025</t>
        </is>
      </c>
      <c r="B783" s="1" t="n">
        <v>45975.41121527777</v>
      </c>
      <c r="C783" s="1" t="n">
        <v>45996</v>
      </c>
      <c r="D783" t="inlineStr">
        <is>
          <t>GÄVLEBORGS LÄN</t>
        </is>
      </c>
      <c r="E783" t="inlineStr">
        <is>
          <t>OVANÅKER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42286-2025</t>
        </is>
      </c>
      <c r="B784" s="1" t="n">
        <v>45904.62043981482</v>
      </c>
      <c r="C784" s="1" t="n">
        <v>45996</v>
      </c>
      <c r="D784" t="inlineStr">
        <is>
          <t>GÄVLEBORGS LÄN</t>
        </is>
      </c>
      <c r="E784" t="inlineStr">
        <is>
          <t>OVANÅKER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57071-2025</t>
        </is>
      </c>
      <c r="B785" s="1" t="n">
        <v>45979.39049768518</v>
      </c>
      <c r="C785" s="1" t="n">
        <v>45996</v>
      </c>
      <c r="D785" t="inlineStr">
        <is>
          <t>GÄVLEBORGS LÄN</t>
        </is>
      </c>
      <c r="E785" t="inlineStr">
        <is>
          <t>OVANÅKER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56771-2025</t>
        </is>
      </c>
      <c r="B786" s="1" t="n">
        <v>45978.38471064815</v>
      </c>
      <c r="C786" s="1" t="n">
        <v>45996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57077-2025</t>
        </is>
      </c>
      <c r="B787" s="1" t="n">
        <v>45979.40359953704</v>
      </c>
      <c r="C787" s="1" t="n">
        <v>45996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57201-2025</t>
        </is>
      </c>
      <c r="B788" s="1" t="n">
        <v>45979.58494212963</v>
      </c>
      <c r="C788" s="1" t="n">
        <v>45996</v>
      </c>
      <c r="D788" t="inlineStr">
        <is>
          <t>GÄVLEBORGS LÄN</t>
        </is>
      </c>
      <c r="E788" t="inlineStr">
        <is>
          <t>OVANÅKER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57159-2025</t>
        </is>
      </c>
      <c r="B789" s="1" t="n">
        <v>45979.52887731481</v>
      </c>
      <c r="C789" s="1" t="n">
        <v>45996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57172-2025</t>
        </is>
      </c>
      <c r="B790" s="1" t="n">
        <v>45979.54767361111</v>
      </c>
      <c r="C790" s="1" t="n">
        <v>45996</v>
      </c>
      <c r="D790" t="inlineStr">
        <is>
          <t>GÄVLEBORGS LÄN</t>
        </is>
      </c>
      <c r="E790" t="inlineStr">
        <is>
          <t>OVANÅKER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56766-2025</t>
        </is>
      </c>
      <c r="B791" s="1" t="n">
        <v>45978.38041666667</v>
      </c>
      <c r="C791" s="1" t="n">
        <v>45996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48439-2025</t>
        </is>
      </c>
      <c r="B792" s="1" t="n">
        <v>45935.48214120371</v>
      </c>
      <c r="C792" s="1" t="n">
        <v>45996</v>
      </c>
      <c r="D792" t="inlineStr">
        <is>
          <t>GÄVLEBORGS LÄN</t>
        </is>
      </c>
      <c r="E792" t="inlineStr">
        <is>
          <t>OVANÅKER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57072-2025</t>
        </is>
      </c>
      <c r="B793" s="1" t="n">
        <v>45979.39356481482</v>
      </c>
      <c r="C793" s="1" t="n">
        <v>45996</v>
      </c>
      <c r="D793" t="inlineStr">
        <is>
          <t>GÄVLEBORGS LÄN</t>
        </is>
      </c>
      <c r="E793" t="inlineStr">
        <is>
          <t>OVANÅKER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49176-2025</t>
        </is>
      </c>
      <c r="B794" s="1" t="n">
        <v>45938.38094907408</v>
      </c>
      <c r="C794" s="1" t="n">
        <v>45996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44199-2025</t>
        </is>
      </c>
      <c r="B795" s="1" t="n">
        <v>45915.62221064815</v>
      </c>
      <c r="C795" s="1" t="n">
        <v>45996</v>
      </c>
      <c r="D795" t="inlineStr">
        <is>
          <t>GÄVLEBORGS LÄN</t>
        </is>
      </c>
      <c r="E795" t="inlineStr">
        <is>
          <t>OVANÅKER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57636-2025</t>
        </is>
      </c>
      <c r="B796" s="1" t="n">
        <v>45981.3564699074</v>
      </c>
      <c r="C796" s="1" t="n">
        <v>45996</v>
      </c>
      <c r="D796" t="inlineStr">
        <is>
          <t>GÄVLEBORGS LÄN</t>
        </is>
      </c>
      <c r="E796" t="inlineStr">
        <is>
          <t>OVANÅKER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57772-2025</t>
        </is>
      </c>
      <c r="B797" s="1" t="n">
        <v>45981.5628125</v>
      </c>
      <c r="C797" s="1" t="n">
        <v>45996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49145-2025</t>
        </is>
      </c>
      <c r="B798" s="1" t="n">
        <v>45938.33005787037</v>
      </c>
      <c r="C798" s="1" t="n">
        <v>45996</v>
      </c>
      <c r="D798" t="inlineStr">
        <is>
          <t>GÄVLEBORGS LÄN</t>
        </is>
      </c>
      <c r="E798" t="inlineStr">
        <is>
          <t>OVANÅKER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57554-2025</t>
        </is>
      </c>
      <c r="B799" s="1" t="n">
        <v>45980.67041666667</v>
      </c>
      <c r="C799" s="1" t="n">
        <v>45996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49548-2025</t>
        </is>
      </c>
      <c r="B800" s="1" t="n">
        <v>45939.4422337963</v>
      </c>
      <c r="C800" s="1" t="n">
        <v>45996</v>
      </c>
      <c r="D800" t="inlineStr">
        <is>
          <t>GÄVLEBORGS LÄN</t>
        </is>
      </c>
      <c r="E800" t="inlineStr">
        <is>
          <t>OVANÅKER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49213-2025</t>
        </is>
      </c>
      <c r="B801" s="1" t="n">
        <v>45938.44077546296</v>
      </c>
      <c r="C801" s="1" t="n">
        <v>45996</v>
      </c>
      <c r="D801" t="inlineStr">
        <is>
          <t>GÄVLEBORGS LÄN</t>
        </is>
      </c>
      <c r="E801" t="inlineStr">
        <is>
          <t>OVANÅKER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49173-2025</t>
        </is>
      </c>
      <c r="B802" s="1" t="n">
        <v>45938.37474537037</v>
      </c>
      <c r="C802" s="1" t="n">
        <v>45996</v>
      </c>
      <c r="D802" t="inlineStr">
        <is>
          <t>GÄVLEBORGS LÄN</t>
        </is>
      </c>
      <c r="E802" t="inlineStr">
        <is>
          <t>OVANÅKER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49486-2025</t>
        </is>
      </c>
      <c r="B803" s="1" t="n">
        <v>45939.36296296296</v>
      </c>
      <c r="C803" s="1" t="n">
        <v>45996</v>
      </c>
      <c r="D803" t="inlineStr">
        <is>
          <t>GÄVLEBORGS LÄN</t>
        </is>
      </c>
      <c r="E803" t="inlineStr">
        <is>
          <t>OVANÅKER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49672-2025</t>
        </is>
      </c>
      <c r="B804" s="1" t="n">
        <v>45939.64173611111</v>
      </c>
      <c r="C804" s="1" t="n">
        <v>45996</v>
      </c>
      <c r="D804" t="inlineStr">
        <is>
          <t>GÄVLEBORGS LÄN</t>
        </is>
      </c>
      <c r="E804" t="inlineStr">
        <is>
          <t>OVANÅKER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49487-2025</t>
        </is>
      </c>
      <c r="B805" s="1" t="n">
        <v>45939.36452546297</v>
      </c>
      <c r="C805" s="1" t="n">
        <v>45996</v>
      </c>
      <c r="D805" t="inlineStr">
        <is>
          <t>GÄVLEBORGS LÄN</t>
        </is>
      </c>
      <c r="E805" t="inlineStr">
        <is>
          <t>OVANÅKER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49551-2025</t>
        </is>
      </c>
      <c r="B806" s="1" t="n">
        <v>45939.44435185185</v>
      </c>
      <c r="C806" s="1" t="n">
        <v>45996</v>
      </c>
      <c r="D806" t="inlineStr">
        <is>
          <t>GÄVLEBORGS LÄN</t>
        </is>
      </c>
      <c r="E806" t="inlineStr">
        <is>
          <t>OVANÅKER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44475-2025</t>
        </is>
      </c>
      <c r="B807" s="1" t="n">
        <v>45916.64394675926</v>
      </c>
      <c r="C807" s="1" t="n">
        <v>45996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58492-2025</t>
        </is>
      </c>
      <c r="B808" s="1" t="n">
        <v>45985.67304398148</v>
      </c>
      <c r="C808" s="1" t="n">
        <v>45996</v>
      </c>
      <c r="D808" t="inlineStr">
        <is>
          <t>GÄVLEBORGS LÄN</t>
        </is>
      </c>
      <c r="E808" t="inlineStr">
        <is>
          <t>OVANÅKER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57936-2025</t>
        </is>
      </c>
      <c r="B809" s="1" t="n">
        <v>45982.27430555555</v>
      </c>
      <c r="C809" s="1" t="n">
        <v>45996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58214-2025</t>
        </is>
      </c>
      <c r="B810" s="1" t="n">
        <v>45985.35077546296</v>
      </c>
      <c r="C810" s="1" t="n">
        <v>45996</v>
      </c>
      <c r="D810" t="inlineStr">
        <is>
          <t>GÄVLEBORGS LÄN</t>
        </is>
      </c>
      <c r="E810" t="inlineStr">
        <is>
          <t>OVANÅKER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50064-2025</t>
        </is>
      </c>
      <c r="B811" s="1" t="n">
        <v>45943.45175925926</v>
      </c>
      <c r="C811" s="1" t="n">
        <v>45996</v>
      </c>
      <c r="D811" t="inlineStr">
        <is>
          <t>GÄVLEBORGS LÄN</t>
        </is>
      </c>
      <c r="E811" t="inlineStr">
        <is>
          <t>OVANÅKER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50446-2025</t>
        </is>
      </c>
      <c r="B812" s="1" t="n">
        <v>45945.2675</v>
      </c>
      <c r="C812" s="1" t="n">
        <v>45996</v>
      </c>
      <c r="D812" t="inlineStr">
        <is>
          <t>GÄVLEBORGS LÄN</t>
        </is>
      </c>
      <c r="E812" t="inlineStr">
        <is>
          <t>OVANÅKER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47737-2025</t>
        </is>
      </c>
      <c r="B813" s="1" t="n">
        <v>45931.63833333334</v>
      </c>
      <c r="C813" s="1" t="n">
        <v>45996</v>
      </c>
      <c r="D813" t="inlineStr">
        <is>
          <t>GÄVLEBORGS LÄN</t>
        </is>
      </c>
      <c r="E813" t="inlineStr">
        <is>
          <t>OVANÅKER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58655-2025</t>
        </is>
      </c>
      <c r="B814" s="1" t="n">
        <v>45986.52337962963</v>
      </c>
      <c r="C814" s="1" t="n">
        <v>45996</v>
      </c>
      <c r="D814" t="inlineStr">
        <is>
          <t>GÄVLEBORGS LÄN</t>
        </is>
      </c>
      <c r="E814" t="inlineStr">
        <is>
          <t>OVANÅKER</t>
        </is>
      </c>
      <c r="G814" t="n">
        <v>19.4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50878-2025</t>
        </is>
      </c>
      <c r="B815" s="1" t="n">
        <v>45946.61530092593</v>
      </c>
      <c r="C815" s="1" t="n">
        <v>45996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50854-2025</t>
        </is>
      </c>
      <c r="B816" s="1" t="n">
        <v>45946.58892361111</v>
      </c>
      <c r="C816" s="1" t="n">
        <v>45996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51013-2025</t>
        </is>
      </c>
      <c r="B817" s="1" t="n">
        <v>45947.38069444444</v>
      </c>
      <c r="C817" s="1" t="n">
        <v>45996</v>
      </c>
      <c r="D817" t="inlineStr">
        <is>
          <t>GÄVLEBORGS LÄN</t>
        </is>
      </c>
      <c r="E817" t="inlineStr">
        <is>
          <t>OVANÅKER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50970-2025</t>
        </is>
      </c>
      <c r="B818" s="1" t="n">
        <v>45947.30427083333</v>
      </c>
      <c r="C818" s="1" t="n">
        <v>45996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51565-2025</t>
        </is>
      </c>
      <c r="B819" s="1" t="n">
        <v>45951.30708333333</v>
      </c>
      <c r="C819" s="1" t="n">
        <v>45996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51302-2025</t>
        </is>
      </c>
      <c r="B820" s="1" t="n">
        <v>45950.36494212963</v>
      </c>
      <c r="C820" s="1" t="n">
        <v>45996</v>
      </c>
      <c r="D820" t="inlineStr">
        <is>
          <t>GÄVLEBORGS LÄN</t>
        </is>
      </c>
      <c r="E820" t="inlineStr">
        <is>
          <t>OVANÅKER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51428-2025</t>
        </is>
      </c>
      <c r="B821" s="1" t="n">
        <v>45950.5353125</v>
      </c>
      <c r="C821" s="1" t="n">
        <v>45996</v>
      </c>
      <c r="D821" t="inlineStr">
        <is>
          <t>GÄVLEBORGS LÄN</t>
        </is>
      </c>
      <c r="E821" t="inlineStr">
        <is>
          <t>OVANÅKER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59663-2025</t>
        </is>
      </c>
      <c r="B822" s="1" t="n">
        <v>45992.4491550926</v>
      </c>
      <c r="C822" s="1" t="n">
        <v>45996</v>
      </c>
      <c r="D822" t="inlineStr">
        <is>
          <t>GÄVLEBORGS LÄN</t>
        </is>
      </c>
      <c r="E822" t="inlineStr">
        <is>
          <t>OVANÅKER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59674-2025</t>
        </is>
      </c>
      <c r="B823" s="1" t="n">
        <v>45992.46377314815</v>
      </c>
      <c r="C823" s="1" t="n">
        <v>45996</v>
      </c>
      <c r="D823" t="inlineStr">
        <is>
          <t>GÄVLEBORGS LÄN</t>
        </is>
      </c>
      <c r="E823" t="inlineStr">
        <is>
          <t>OVANÅKER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59643-2025</t>
        </is>
      </c>
      <c r="B824" s="1" t="n">
        <v>45992.41833333333</v>
      </c>
      <c r="C824" s="1" t="n">
        <v>45996</v>
      </c>
      <c r="D824" t="inlineStr">
        <is>
          <t>GÄVLEBORGS LÄN</t>
        </is>
      </c>
      <c r="E824" t="inlineStr">
        <is>
          <t>OVANÅKER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51314-2025</t>
        </is>
      </c>
      <c r="B825" s="1" t="n">
        <v>45950.37649305556</v>
      </c>
      <c r="C825" s="1" t="n">
        <v>45996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51564-2025</t>
        </is>
      </c>
      <c r="B826" s="1" t="n">
        <v>45951.30474537037</v>
      </c>
      <c r="C826" s="1" t="n">
        <v>45996</v>
      </c>
      <c r="D826" t="inlineStr">
        <is>
          <t>GÄVLEBORGS LÄN</t>
        </is>
      </c>
      <c r="E826" t="inlineStr">
        <is>
          <t>OVANÅKER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25408-2025</t>
        </is>
      </c>
      <c r="B827" s="1" t="n">
        <v>45800</v>
      </c>
      <c r="C827" s="1" t="n">
        <v>45996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51570-2025</t>
        </is>
      </c>
      <c r="B828" s="1" t="n">
        <v>45951.33126157407</v>
      </c>
      <c r="C828" s="1" t="n">
        <v>45996</v>
      </c>
      <c r="D828" t="inlineStr">
        <is>
          <t>GÄVLEBORGS LÄN</t>
        </is>
      </c>
      <c r="E828" t="inlineStr">
        <is>
          <t>OVANÅKER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60121-2025</t>
        </is>
      </c>
      <c r="B829" s="1" t="n">
        <v>45994.33305555556</v>
      </c>
      <c r="C829" s="1" t="n">
        <v>45996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52100-2025</t>
        </is>
      </c>
      <c r="B830" s="1" t="n">
        <v>45952.68261574074</v>
      </c>
      <c r="C830" s="1" t="n">
        <v>45996</v>
      </c>
      <c r="D830" t="inlineStr">
        <is>
          <t>GÄVLEBORGS LÄN</t>
        </is>
      </c>
      <c r="E830" t="inlineStr">
        <is>
          <t>OVANÅKER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60108-2025</t>
        </is>
      </c>
      <c r="B831" s="1" t="n">
        <v>45994.29895833333</v>
      </c>
      <c r="C831" s="1" t="n">
        <v>45996</v>
      </c>
      <c r="D831" t="inlineStr">
        <is>
          <t>GÄVLEBORGS LÄN</t>
        </is>
      </c>
      <c r="E831" t="inlineStr">
        <is>
          <t>OVANÅKER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60107-2025</t>
        </is>
      </c>
      <c r="B832" s="1" t="n">
        <v>45994.29716435185</v>
      </c>
      <c r="C832" s="1" t="n">
        <v>45996</v>
      </c>
      <c r="D832" t="inlineStr">
        <is>
          <t>GÄVLEBORGS LÄN</t>
        </is>
      </c>
      <c r="E832" t="inlineStr">
        <is>
          <t>OVANÅKER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60476-2025</t>
        </is>
      </c>
      <c r="B833" s="1" t="n">
        <v>45995.58584490741</v>
      </c>
      <c r="C833" s="1" t="n">
        <v>45996</v>
      </c>
      <c r="D833" t="inlineStr">
        <is>
          <t>GÄVLEBORGS LÄN</t>
        </is>
      </c>
      <c r="E833" t="inlineStr">
        <is>
          <t>OVANÅKER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60106-2025</t>
        </is>
      </c>
      <c r="B834" s="1" t="n">
        <v>45994.28327546296</v>
      </c>
      <c r="C834" s="1" t="n">
        <v>45996</v>
      </c>
      <c r="D834" t="inlineStr">
        <is>
          <t>GÄVLEBORGS LÄN</t>
        </is>
      </c>
      <c r="E834" t="inlineStr">
        <is>
          <t>OVANÅKER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60379-2025</t>
        </is>
      </c>
      <c r="B835" s="1" t="n">
        <v>45995.36715277778</v>
      </c>
      <c r="C835" s="1" t="n">
        <v>45996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2025-12-05T10:33:22Z</dcterms:created>
  <dcterms:modified xmlns:dcterms="http://purl.org/dc/terms/" xmlns:xsi="http://www.w3.org/2001/XMLSchema-instance" xsi:type="dcterms:W3CDTF">2025-12-05T10:33:22Z</dcterms:modified>
</cp:coreProperties>
</file>