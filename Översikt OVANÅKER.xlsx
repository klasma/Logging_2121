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46179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46179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5582-2026</t>
        </is>
      </c>
      <c r="B4" s="1" t="n">
        <v>46051.30784722222</v>
      </c>
      <c r="C4" s="1" t="n">
        <v>46179</v>
      </c>
      <c r="D4" t="inlineStr">
        <is>
          <t>GÄVLEBORGS LÄN</t>
        </is>
      </c>
      <c r="E4" t="inlineStr">
        <is>
          <t>OVANÅKER</t>
        </is>
      </c>
      <c r="G4" t="n">
        <v>3.8</v>
      </c>
      <c r="H4" t="n">
        <v>8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8</v>
      </c>
      <c r="R4" s="2" t="inlineStr">
        <is>
          <t>Knärot
Korallrot
Spindelblomster
Tvåblad
Fläcknycklar
Myggblomster
Nattviol
Revlummer</t>
        </is>
      </c>
      <c r="S4">
        <f>HYPERLINK("https://klasma.github.io/Logging_2121/artfynd/A 5582-2026 artfynd.xlsx", "A 5582-2026")</f>
        <v/>
      </c>
      <c r="T4">
        <f>HYPERLINK("https://klasma.github.io/Logging_2121/kartor/A 5582-2026 karta.png", "A 5582-2026")</f>
        <v/>
      </c>
      <c r="U4">
        <f>HYPERLINK("https://klasma.github.io/Logging_2121/knärot/A 5582-2026 karta knärot.png", "A 5582-2026")</f>
        <v/>
      </c>
      <c r="V4">
        <f>HYPERLINK("https://klasma.github.io/Logging_2121/klagomål/A 5582-2026 FSC-klagomål.docx", "A 5582-2026")</f>
        <v/>
      </c>
      <c r="W4">
        <f>HYPERLINK("https://klasma.github.io/Logging_2121/klagomålsmail/A 5582-2026 FSC-klagomål mail.docx", "A 5582-2026")</f>
        <v/>
      </c>
      <c r="X4">
        <f>HYPERLINK("https://klasma.github.io/Logging_2121/tillsyn/A 5582-2026 tillsynsbegäran.docx", "A 5582-2026")</f>
        <v/>
      </c>
      <c r="Y4">
        <f>HYPERLINK("https://klasma.github.io/Logging_2121/tillsynsmail/A 5582-2026 tillsynsbegäran mail.docx", "A 5582-2026")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46179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 (aggregat)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46179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46179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46179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46179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46179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27859-2025</t>
        </is>
      </c>
      <c r="B11" s="1" t="n">
        <v>45817.41498842592</v>
      </c>
      <c r="C11" s="1" t="n">
        <v>46179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26.5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Kolflarnlav
Mörk kolflarnlav
Vedskivlav</t>
        </is>
      </c>
      <c r="S11">
        <f>HYPERLINK("https://klasma.github.io/Logging_2121/artfynd/A 27859-2025 artfynd.xlsx", "A 27859-2025")</f>
        <v/>
      </c>
      <c r="T11">
        <f>HYPERLINK("https://klasma.github.io/Logging_2121/kartor/A 27859-2025 karta.png", "A 27859-2025")</f>
        <v/>
      </c>
      <c r="V11">
        <f>HYPERLINK("https://klasma.github.io/Logging_2121/klagomål/A 27859-2025 FSC-klagomål.docx", "A 27859-2025")</f>
        <v/>
      </c>
      <c r="W11">
        <f>HYPERLINK("https://klasma.github.io/Logging_2121/klagomålsmail/A 27859-2025 FSC-klagomål mail.docx", "A 27859-2025")</f>
        <v/>
      </c>
      <c r="X11">
        <f>HYPERLINK("https://klasma.github.io/Logging_2121/tillsyn/A 27859-2025 tillsynsbegäran.docx", "A 27859-2025")</f>
        <v/>
      </c>
      <c r="Y11">
        <f>HYPERLINK("https://klasma.github.io/Logging_2121/tillsynsmail/A 27859-2025 tillsynsbegäran mail.docx", "A 27859-2025")</f>
        <v/>
      </c>
    </row>
    <row r="12" ht="15" customHeight="1">
      <c r="A12" t="inlineStr">
        <is>
          <t>A 5347-2026</t>
        </is>
      </c>
      <c r="B12" s="1" t="n">
        <v>46050.43341435185</v>
      </c>
      <c r="C12" s="1" t="n">
        <v>46179</v>
      </c>
      <c r="D12" t="inlineStr">
        <is>
          <t>GÄVLEBORGS LÄN</t>
        </is>
      </c>
      <c r="E12" t="inlineStr">
        <is>
          <t>OVANÅKER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Ärtsångare
Fläcknycklar</t>
        </is>
      </c>
      <c r="S12">
        <f>HYPERLINK("https://klasma.github.io/Logging_2121/artfynd/A 5347-2026 artfynd.xlsx", "A 5347-2026")</f>
        <v/>
      </c>
      <c r="T12">
        <f>HYPERLINK("https://klasma.github.io/Logging_2121/kartor/A 5347-2026 karta.png", "A 5347-2026")</f>
        <v/>
      </c>
      <c r="V12">
        <f>HYPERLINK("https://klasma.github.io/Logging_2121/klagomål/A 5347-2026 FSC-klagomål.docx", "A 5347-2026")</f>
        <v/>
      </c>
      <c r="W12">
        <f>HYPERLINK("https://klasma.github.io/Logging_2121/klagomålsmail/A 5347-2026 FSC-klagomål mail.docx", "A 5347-2026")</f>
        <v/>
      </c>
      <c r="X12">
        <f>HYPERLINK("https://klasma.github.io/Logging_2121/tillsyn/A 5347-2026 tillsynsbegäran.docx", "A 5347-2026")</f>
        <v/>
      </c>
      <c r="Y12">
        <f>HYPERLINK("https://klasma.github.io/Logging_2121/tillsynsmail/A 5347-2026 tillsynsbegäran mail.docx", "A 5347-2026")</f>
        <v/>
      </c>
      <c r="Z12">
        <f>HYPERLINK("https://klasma.github.io/Logging_2121/fåglar/A 5347-2026 prioriterade fågelarter.docx", "A 5347-2026")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46179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46179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46179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46179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46179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46179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46179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46179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16804-2026</t>
        </is>
      </c>
      <c r="B21" s="1" t="n">
        <v>46113.48826388889</v>
      </c>
      <c r="C21" s="1" t="n">
        <v>46179</v>
      </c>
      <c r="D21" t="inlineStr">
        <is>
          <t>GÄVLEBORGS LÄN</t>
        </is>
      </c>
      <c r="E21" t="inlineStr">
        <is>
          <t>OVANÅKER</t>
        </is>
      </c>
      <c r="G21" t="n">
        <v>12.6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Spindelblomster
Revlummer</t>
        </is>
      </c>
      <c r="S21">
        <f>HYPERLINK("https://klasma.github.io/Logging_2121/artfynd/A 16804-2026 artfynd.xlsx", "A 16804-2026")</f>
        <v/>
      </c>
      <c r="T21">
        <f>HYPERLINK("https://klasma.github.io/Logging_2121/kartor/A 16804-2026 karta.png", "A 16804-2026")</f>
        <v/>
      </c>
      <c r="V21">
        <f>HYPERLINK("https://klasma.github.io/Logging_2121/klagomål/A 16804-2026 FSC-klagomål.docx", "A 16804-2026")</f>
        <v/>
      </c>
      <c r="W21">
        <f>HYPERLINK("https://klasma.github.io/Logging_2121/klagomålsmail/A 16804-2026 FSC-klagomål mail.docx", "A 16804-2026")</f>
        <v/>
      </c>
      <c r="X21">
        <f>HYPERLINK("https://klasma.github.io/Logging_2121/tillsyn/A 16804-2026 tillsynsbegäran.docx", "A 16804-2026")</f>
        <v/>
      </c>
      <c r="Y21">
        <f>HYPERLINK("https://klasma.github.io/Logging_2121/tillsynsmail/A 16804-2026 tillsynsbegäran mail.docx", "A 16804-2026")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46179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46179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46179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46179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46179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46179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46179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46179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46179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46179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3628-2026</t>
        </is>
      </c>
      <c r="B32" s="1" t="n">
        <v>46043.32724537037</v>
      </c>
      <c r="C32" s="1" t="n">
        <v>46179</v>
      </c>
      <c r="D32" t="inlineStr">
        <is>
          <t>GÄVLEBORGS LÄN</t>
        </is>
      </c>
      <c r="E32" t="inlineStr">
        <is>
          <t>OVANÅKER</t>
        </is>
      </c>
      <c r="G32" t="n">
        <v>20.4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3628-2026 artfynd.xlsx", "A 3628-2026")</f>
        <v/>
      </c>
      <c r="T32">
        <f>HYPERLINK("https://klasma.github.io/Logging_2121/kartor/A 3628-2026 karta.png", "A 3628-2026")</f>
        <v/>
      </c>
      <c r="V32">
        <f>HYPERLINK("https://klasma.github.io/Logging_2121/klagomål/A 3628-2026 FSC-klagomål.docx", "A 3628-2026")</f>
        <v/>
      </c>
      <c r="W32">
        <f>HYPERLINK("https://klasma.github.io/Logging_2121/klagomålsmail/A 3628-2026 FSC-klagomål mail.docx", "A 3628-2026")</f>
        <v/>
      </c>
      <c r="X32">
        <f>HYPERLINK("https://klasma.github.io/Logging_2121/tillsyn/A 3628-2026 tillsynsbegäran.docx", "A 3628-2026")</f>
        <v/>
      </c>
      <c r="Y32">
        <f>HYPERLINK("https://klasma.github.io/Logging_2121/tillsynsmail/A 3628-2026 tillsynsbegäran mail.docx", "A 3628-2026")</f>
        <v/>
      </c>
    </row>
    <row r="33" ht="15" customHeight="1">
      <c r="A33" t="inlineStr">
        <is>
          <t>A 4713-2026</t>
        </is>
      </c>
      <c r="B33" s="1" t="n">
        <v>46048.46164351852</v>
      </c>
      <c r="C33" s="1" t="n">
        <v>46179</v>
      </c>
      <c r="D33" t="inlineStr">
        <is>
          <t>GÄVLEBORGS LÄN</t>
        </is>
      </c>
      <c r="E33" t="inlineStr">
        <is>
          <t>OVANÅKER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HYPERLINK("https://klasma.github.io/Logging_2121/artfynd/A 4713-2026 artfynd.xlsx", "A 4713-2026")</f>
        <v/>
      </c>
      <c r="T33">
        <f>HYPERLINK("https://klasma.github.io/Logging_2121/kartor/A 4713-2026 karta.png", "A 4713-2026")</f>
        <v/>
      </c>
      <c r="V33">
        <f>HYPERLINK("https://klasma.github.io/Logging_2121/klagomål/A 4713-2026 FSC-klagomål.docx", "A 4713-2026")</f>
        <v/>
      </c>
      <c r="W33">
        <f>HYPERLINK("https://klasma.github.io/Logging_2121/klagomålsmail/A 4713-2026 FSC-klagomål mail.docx", "A 4713-2026")</f>
        <v/>
      </c>
      <c r="X33">
        <f>HYPERLINK("https://klasma.github.io/Logging_2121/tillsyn/A 4713-2026 tillsynsbegäran.docx", "A 4713-2026")</f>
        <v/>
      </c>
      <c r="Y33">
        <f>HYPERLINK("https://klasma.github.io/Logging_2121/tillsynsmail/A 4713-2026 tillsynsbegäran mail.docx", "A 4713-2026")</f>
        <v/>
      </c>
      <c r="Z33">
        <f>HYPERLINK("https://klasma.github.io/Logging_2121/fåglar/A 4713-2026 prioriterade fågelarter.docx", "A 4713-2026")</f>
        <v/>
      </c>
    </row>
    <row r="34" ht="15" customHeight="1">
      <c r="A34" t="inlineStr">
        <is>
          <t>A 30156-2025</t>
        </is>
      </c>
      <c r="B34" s="1" t="n">
        <v>45827.31972222222</v>
      </c>
      <c r="C34" s="1" t="n">
        <v>46179</v>
      </c>
      <c r="D34" t="inlineStr">
        <is>
          <t>GÄVLEBORGS LÄN</t>
        </is>
      </c>
      <c r="E34" t="inlineStr">
        <is>
          <t>OVANÅKER</t>
        </is>
      </c>
      <c r="F34" t="inlineStr">
        <is>
          <t>Holmen skog AB</t>
        </is>
      </c>
      <c r="G34" t="n">
        <v>29.1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HYPERLINK("https://klasma.github.io/Logging_2121/artfynd/A 30156-2025 artfynd.xlsx", "A 30156-2025")</f>
        <v/>
      </c>
      <c r="T34">
        <f>HYPERLINK("https://klasma.github.io/Logging_2121/kartor/A 30156-2025 karta.png", "A 30156-2025")</f>
        <v/>
      </c>
      <c r="U34">
        <f>HYPERLINK("https://klasma.github.io/Logging_2121/knärot/A 30156-2025 karta knärot.png", "A 30156-2025")</f>
        <v/>
      </c>
      <c r="V34">
        <f>HYPERLINK("https://klasma.github.io/Logging_2121/klagomål/A 30156-2025 FSC-klagomål.docx", "A 30156-2025")</f>
        <v/>
      </c>
      <c r="W34">
        <f>HYPERLINK("https://klasma.github.io/Logging_2121/klagomålsmail/A 30156-2025 FSC-klagomål mail.docx", "A 30156-2025")</f>
        <v/>
      </c>
      <c r="X34">
        <f>HYPERLINK("https://klasma.github.io/Logging_2121/tillsyn/A 30156-2025 tillsynsbegäran.docx", "A 30156-2025")</f>
        <v/>
      </c>
      <c r="Y34">
        <f>HYPERLINK("https://klasma.github.io/Logging_2121/tillsynsmail/A 30156-2025 tillsynsbegäran mail.docx", "A 30156-2025")</f>
        <v/>
      </c>
    </row>
    <row r="35" ht="15" customHeight="1">
      <c r="A35" t="inlineStr">
        <is>
          <t>A 5078-2026</t>
        </is>
      </c>
      <c r="B35" s="1" t="n">
        <v>46049.53497685185</v>
      </c>
      <c r="C35" s="1" t="n">
        <v>46179</v>
      </c>
      <c r="D35" t="inlineStr">
        <is>
          <t>GÄVLEBORGS LÄN</t>
        </is>
      </c>
      <c r="E35" t="inlineStr">
        <is>
          <t>OVANÅKER</t>
        </is>
      </c>
      <c r="G35" t="n">
        <v>8.5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5078-2026 artfynd.xlsx", "A 5078-2026")</f>
        <v/>
      </c>
      <c r="T35">
        <f>HYPERLINK("https://klasma.github.io/Logging_2121/kartor/A 5078-2026 karta.png", "A 5078-2026")</f>
        <v/>
      </c>
      <c r="U35">
        <f>HYPERLINK("https://klasma.github.io/Logging_2121/knärot/A 5078-2026 karta knärot.png", "A 5078-2026")</f>
        <v/>
      </c>
      <c r="V35">
        <f>HYPERLINK("https://klasma.github.io/Logging_2121/klagomål/A 5078-2026 FSC-klagomål.docx", "A 5078-2026")</f>
        <v/>
      </c>
      <c r="W35">
        <f>HYPERLINK("https://klasma.github.io/Logging_2121/klagomålsmail/A 5078-2026 FSC-klagomål mail.docx", "A 5078-2026")</f>
        <v/>
      </c>
      <c r="X35">
        <f>HYPERLINK("https://klasma.github.io/Logging_2121/tillsyn/A 5078-2026 tillsynsbegäran.docx", "A 5078-2026")</f>
        <v/>
      </c>
      <c r="Y35">
        <f>HYPERLINK("https://klasma.github.io/Logging_2121/tillsynsmail/A 5078-2026 tillsynsbegäran mail.docx", "A 5078-2026")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46179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46179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7754-2026</t>
        </is>
      </c>
      <c r="B38" s="1" t="n">
        <v>46062.55003472222</v>
      </c>
      <c r="C38" s="1" t="n">
        <v>46179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7754-2026 artfynd.xlsx", "A 7754-2026")</f>
        <v/>
      </c>
      <c r="T38">
        <f>HYPERLINK("https://klasma.github.io/Logging_2121/kartor/A 7754-2026 karta.png", "A 7754-2026")</f>
        <v/>
      </c>
      <c r="V38">
        <f>HYPERLINK("https://klasma.github.io/Logging_2121/klagomål/A 7754-2026 FSC-klagomål.docx", "A 7754-2026")</f>
        <v/>
      </c>
      <c r="W38">
        <f>HYPERLINK("https://klasma.github.io/Logging_2121/klagomålsmail/A 7754-2026 FSC-klagomål mail.docx", "A 7754-2026")</f>
        <v/>
      </c>
      <c r="X38">
        <f>HYPERLINK("https://klasma.github.io/Logging_2121/tillsyn/A 7754-2026 tillsynsbegäran.docx", "A 7754-2026")</f>
        <v/>
      </c>
      <c r="Y38">
        <f>HYPERLINK("https://klasma.github.io/Logging_2121/tillsynsmail/A 7754-2026 tillsynsbegäran mail.docx", "A 7754-2026")</f>
        <v/>
      </c>
    </row>
    <row r="39" ht="15" customHeight="1">
      <c r="A39" t="inlineStr">
        <is>
          <t>A 8452-2026</t>
        </is>
      </c>
      <c r="B39" s="1" t="n">
        <v>46065</v>
      </c>
      <c r="C39" s="1" t="n">
        <v>46179</v>
      </c>
      <c r="D39" t="inlineStr">
        <is>
          <t>GÄVLEBORGS LÄN</t>
        </is>
      </c>
      <c r="E39" t="inlineStr">
        <is>
          <t>OVANÅKER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HYPERLINK("https://klasma.github.io/Logging_2121/artfynd/A 8452-2026 artfynd.xlsx", "A 8452-2026")</f>
        <v/>
      </c>
      <c r="T39">
        <f>HYPERLINK("https://klasma.github.io/Logging_2121/kartor/A 8452-2026 karta.png", "A 8452-2026")</f>
        <v/>
      </c>
      <c r="V39">
        <f>HYPERLINK("https://klasma.github.io/Logging_2121/klagomål/A 8452-2026 FSC-klagomål.docx", "A 8452-2026")</f>
        <v/>
      </c>
      <c r="W39">
        <f>HYPERLINK("https://klasma.github.io/Logging_2121/klagomålsmail/A 8452-2026 FSC-klagomål mail.docx", "A 8452-2026")</f>
        <v/>
      </c>
      <c r="X39">
        <f>HYPERLINK("https://klasma.github.io/Logging_2121/tillsyn/A 8452-2026 tillsynsbegäran.docx", "A 8452-2026")</f>
        <v/>
      </c>
      <c r="Y39">
        <f>HYPERLINK("https://klasma.github.io/Logging_2121/tillsynsmail/A 8452-2026 tillsynsbegäran mail.docx", "A 8452-2026")</f>
        <v/>
      </c>
    </row>
    <row r="40" ht="15" customHeight="1">
      <c r="A40" t="inlineStr">
        <is>
          <t>A 47738-2025</t>
        </is>
      </c>
      <c r="B40" s="1" t="n">
        <v>45931.64185185185</v>
      </c>
      <c r="C40" s="1" t="n">
        <v>46179</v>
      </c>
      <c r="D40" t="inlineStr">
        <is>
          <t>GÄVLEBORGS LÄN</t>
        </is>
      </c>
      <c r="E40" t="inlineStr">
        <is>
          <t>OVANÅKER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Myskmåra</t>
        </is>
      </c>
      <c r="S40">
        <f>HYPERLINK("https://klasma.github.io/Logging_2121/artfynd/A 47738-2025 artfynd.xlsx", "A 47738-2025")</f>
        <v/>
      </c>
      <c r="T40">
        <f>HYPERLINK("https://klasma.github.io/Logging_2121/kartor/A 47738-2025 karta.png", "A 47738-2025")</f>
        <v/>
      </c>
      <c r="V40">
        <f>HYPERLINK("https://klasma.github.io/Logging_2121/klagomål/A 47738-2025 FSC-klagomål.docx", "A 47738-2025")</f>
        <v/>
      </c>
      <c r="W40">
        <f>HYPERLINK("https://klasma.github.io/Logging_2121/klagomålsmail/A 47738-2025 FSC-klagomål mail.docx", "A 47738-2025")</f>
        <v/>
      </c>
      <c r="X40">
        <f>HYPERLINK("https://klasma.github.io/Logging_2121/tillsyn/A 47738-2025 tillsynsbegäran.docx", "A 47738-2025")</f>
        <v/>
      </c>
      <c r="Y40">
        <f>HYPERLINK("https://klasma.github.io/Logging_2121/tillsynsmail/A 47738-2025 tillsynsbegäran mail.docx", "A 47738-2025")</f>
        <v/>
      </c>
    </row>
    <row r="41" ht="15" customHeight="1">
      <c r="A41" t="inlineStr">
        <is>
          <t>A 62350-2025</t>
        </is>
      </c>
      <c r="B41" s="1" t="n">
        <v>46007.26527777778</v>
      </c>
      <c r="C41" s="1" t="n">
        <v>46179</v>
      </c>
      <c r="D41" t="inlineStr">
        <is>
          <t>GÄVLEBORGS LÄN</t>
        </is>
      </c>
      <c r="E41" t="inlineStr">
        <is>
          <t>OVANÅKER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HYPERLINK("https://klasma.github.io/Logging_2121/artfynd/A 62350-2025 artfynd.xlsx", "A 62350-2025")</f>
        <v/>
      </c>
      <c r="T41">
        <f>HYPERLINK("https://klasma.github.io/Logging_2121/kartor/A 62350-2025 karta.png", "A 62350-2025")</f>
        <v/>
      </c>
      <c r="V41">
        <f>HYPERLINK("https://klasma.github.io/Logging_2121/klagomål/A 62350-2025 FSC-klagomål.docx", "A 62350-2025")</f>
        <v/>
      </c>
      <c r="W41">
        <f>HYPERLINK("https://klasma.github.io/Logging_2121/klagomålsmail/A 62350-2025 FSC-klagomål mail.docx", "A 62350-2025")</f>
        <v/>
      </c>
      <c r="X41">
        <f>HYPERLINK("https://klasma.github.io/Logging_2121/tillsyn/A 62350-2025 tillsynsbegäran.docx", "A 62350-2025")</f>
        <v/>
      </c>
      <c r="Y41">
        <f>HYPERLINK("https://klasma.github.io/Logging_2121/tillsynsmail/A 62350-2025 tillsynsbegäran mail.docx", "A 62350-2025")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46179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1214-2024</t>
        </is>
      </c>
      <c r="B43" s="1" t="n">
        <v>45302</v>
      </c>
      <c r="C43" s="1" t="n">
        <v>46179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1214-2024 artfynd.xlsx", "A 1214-2024")</f>
        <v/>
      </c>
      <c r="T43">
        <f>HYPERLINK("https://klasma.github.io/Logging_2121/kartor/A 1214-2024 karta.png", "A 1214-2024")</f>
        <v/>
      </c>
      <c r="V43">
        <f>HYPERLINK("https://klasma.github.io/Logging_2121/klagomål/A 1214-2024 FSC-klagomål.docx", "A 1214-2024")</f>
        <v/>
      </c>
      <c r="W43">
        <f>HYPERLINK("https://klasma.github.io/Logging_2121/klagomålsmail/A 1214-2024 FSC-klagomål mail.docx", "A 1214-2024")</f>
        <v/>
      </c>
      <c r="X43">
        <f>HYPERLINK("https://klasma.github.io/Logging_2121/tillsyn/A 1214-2024 tillsynsbegäran.docx", "A 1214-2024")</f>
        <v/>
      </c>
      <c r="Y43">
        <f>HYPERLINK("https://klasma.github.io/Logging_2121/tillsynsmail/A 1214-2024 tillsynsbegäran mail.docx", "A 1214-2024")</f>
        <v/>
      </c>
    </row>
    <row r="44" ht="15" customHeight="1">
      <c r="A44" t="inlineStr">
        <is>
          <t>A 16309-2026</t>
        </is>
      </c>
      <c r="B44" s="1" t="n">
        <v>46111</v>
      </c>
      <c r="C44" s="1" t="n">
        <v>46179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HYPERLINK("https://klasma.github.io/Logging_2121/artfynd/A 16309-2026 artfynd.xlsx", "A 16309-2026")</f>
        <v/>
      </c>
      <c r="T44">
        <f>HYPERLINK("https://klasma.github.io/Logging_2121/kartor/A 16309-2026 karta.png", "A 16309-2026")</f>
        <v/>
      </c>
      <c r="V44">
        <f>HYPERLINK("https://klasma.github.io/Logging_2121/klagomål/A 16309-2026 FSC-klagomål.docx", "A 16309-2026")</f>
        <v/>
      </c>
      <c r="W44">
        <f>HYPERLINK("https://klasma.github.io/Logging_2121/klagomålsmail/A 16309-2026 FSC-klagomål mail.docx", "A 16309-2026")</f>
        <v/>
      </c>
      <c r="X44">
        <f>HYPERLINK("https://klasma.github.io/Logging_2121/tillsyn/A 16309-2026 tillsynsbegäran.docx", "A 16309-2026")</f>
        <v/>
      </c>
      <c r="Y44">
        <f>HYPERLINK("https://klasma.github.io/Logging_2121/tillsynsmail/A 16309-2026 tillsynsbegäran mail.docx", "A 16309-2026")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46179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32254-2025</t>
        </is>
      </c>
      <c r="B46" s="1" t="n">
        <v>45835.6319212963</v>
      </c>
      <c r="C46" s="1" t="n">
        <v>46179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HYPERLINK("https://klasma.github.io/Logging_2121/artfynd/A 32254-2025 artfynd.xlsx", "A 32254-2025")</f>
        <v/>
      </c>
      <c r="T46">
        <f>HYPERLINK("https://klasma.github.io/Logging_2121/kartor/A 32254-2025 karta.png", "A 32254-2025")</f>
        <v/>
      </c>
      <c r="V46">
        <f>HYPERLINK("https://klasma.github.io/Logging_2121/klagomål/A 32254-2025 FSC-klagomål.docx", "A 32254-2025")</f>
        <v/>
      </c>
      <c r="W46">
        <f>HYPERLINK("https://klasma.github.io/Logging_2121/klagomålsmail/A 32254-2025 FSC-klagomål mail.docx", "A 32254-2025")</f>
        <v/>
      </c>
      <c r="X46">
        <f>HYPERLINK("https://klasma.github.io/Logging_2121/tillsyn/A 32254-2025 tillsynsbegäran.docx", "A 32254-2025")</f>
        <v/>
      </c>
      <c r="Y46">
        <f>HYPERLINK("https://klasma.github.io/Logging_2121/tillsynsmail/A 32254-2025 tillsynsbegäran mail.docx", "A 32254-2025")</f>
        <v/>
      </c>
    </row>
    <row r="47" ht="15" customHeight="1">
      <c r="A47" t="inlineStr">
        <is>
          <t>A 30239-2025</t>
        </is>
      </c>
      <c r="B47" s="1" t="n">
        <v>45827.40430555555</v>
      </c>
      <c r="C47" s="1" t="n">
        <v>46179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HYPERLINK("https://klasma.github.io/Logging_2121/artfynd/A 30239-2025 artfynd.xlsx", "A 30239-2025")</f>
        <v/>
      </c>
      <c r="T47">
        <f>HYPERLINK("https://klasma.github.io/Logging_2121/kartor/A 30239-2025 karta.png", "A 30239-2025")</f>
        <v/>
      </c>
      <c r="V47">
        <f>HYPERLINK("https://klasma.github.io/Logging_2121/klagomål/A 30239-2025 FSC-klagomål.docx", "A 30239-2025")</f>
        <v/>
      </c>
      <c r="W47">
        <f>HYPERLINK("https://klasma.github.io/Logging_2121/klagomålsmail/A 30239-2025 FSC-klagomål mail.docx", "A 30239-2025")</f>
        <v/>
      </c>
      <c r="X47">
        <f>HYPERLINK("https://klasma.github.io/Logging_2121/tillsyn/A 30239-2025 tillsynsbegäran.docx", "A 30239-2025")</f>
        <v/>
      </c>
      <c r="Y47">
        <f>HYPERLINK("https://klasma.github.io/Logging_2121/tillsynsmail/A 30239-2025 tillsynsbegäran mail.docx", "A 30239-2025")</f>
        <v/>
      </c>
    </row>
    <row r="48" ht="15" customHeight="1">
      <c r="A48" t="inlineStr">
        <is>
          <t>A 51237-2022</t>
        </is>
      </c>
      <c r="B48" s="1" t="n">
        <v>44868.65212962963</v>
      </c>
      <c r="C48" s="1" t="n">
        <v>46179</v>
      </c>
      <c r="D48" t="inlineStr">
        <is>
          <t>GÄVLEBORGS LÄN</t>
        </is>
      </c>
      <c r="E48" t="inlineStr">
        <is>
          <t>OVANÅKER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25394-2022</t>
        </is>
      </c>
      <c r="B49" s="1" t="n">
        <v>44732.4194212963</v>
      </c>
      <c r="C49" s="1" t="n">
        <v>46179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46179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46179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46179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55241-2021</t>
        </is>
      </c>
      <c r="B53" s="1" t="n">
        <v>44475.39550925926</v>
      </c>
      <c r="C53" s="1" t="n">
        <v>46179</v>
      </c>
      <c r="D53" t="inlineStr">
        <is>
          <t>GÄVLEBORGS LÄN</t>
        </is>
      </c>
      <c r="E53" t="inlineStr">
        <is>
          <t>OVANÅKER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55408-2021</t>
        </is>
      </c>
      <c r="B54" s="1" t="n">
        <v>44475</v>
      </c>
      <c r="C54" s="1" t="n">
        <v>46179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46179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34260-2021</t>
        </is>
      </c>
      <c r="B56" s="1" t="n">
        <v>44379</v>
      </c>
      <c r="C56" s="1" t="n">
        <v>46179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34200-2021</t>
        </is>
      </c>
      <c r="B57" s="1" t="n">
        <v>44379</v>
      </c>
      <c r="C57" s="1" t="n">
        <v>46179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25409-2022</t>
        </is>
      </c>
      <c r="B58" s="1" t="n">
        <v>44732.4490625</v>
      </c>
      <c r="C58" s="1" t="n">
        <v>46179</v>
      </c>
      <c r="D58" t="inlineStr">
        <is>
          <t>GÄVLEBORGS LÄN</t>
        </is>
      </c>
      <c r="E58" t="inlineStr">
        <is>
          <t>OVANÅKER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30168-2022</t>
        </is>
      </c>
      <c r="B59" s="1" t="n">
        <v>44757.56515046296</v>
      </c>
      <c r="C59" s="1" t="n">
        <v>46179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46179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30424-2021</t>
        </is>
      </c>
      <c r="B61" s="1" t="n">
        <v>44364.55576388889</v>
      </c>
      <c r="C61" s="1" t="n">
        <v>46179</v>
      </c>
      <c r="D61" t="inlineStr">
        <is>
          <t>GÄVLEBORGS LÄN</t>
        </is>
      </c>
      <c r="E61" t="inlineStr">
        <is>
          <t>OVANÅKER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55243-2021</t>
        </is>
      </c>
      <c r="B62" s="1" t="n">
        <v>44475.39793981481</v>
      </c>
      <c r="C62" s="1" t="n">
        <v>46179</v>
      </c>
      <c r="D62" t="inlineStr">
        <is>
          <t>GÄVLEBORGS LÄN</t>
        </is>
      </c>
      <c r="E62" t="inlineStr">
        <is>
          <t>OVANÅKER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51252-2022</t>
        </is>
      </c>
      <c r="B63" s="1" t="n">
        <v>44868</v>
      </c>
      <c r="C63" s="1" t="n">
        <v>46179</v>
      </c>
      <c r="D63" t="inlineStr">
        <is>
          <t>GÄVLEBORGS LÄN</t>
        </is>
      </c>
      <c r="E63" t="inlineStr">
        <is>
          <t>OVANÅKER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46179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46179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46179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46179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46179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39450-2022</t>
        </is>
      </c>
      <c r="B69" s="1" t="n">
        <v>44818.36261574074</v>
      </c>
      <c r="C69" s="1" t="n">
        <v>46179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19741-2022</t>
        </is>
      </c>
      <c r="B70" s="1" t="n">
        <v>44694.59767361111</v>
      </c>
      <c r="C70" s="1" t="n">
        <v>46179</v>
      </c>
      <c r="D70" t="inlineStr">
        <is>
          <t>GÄVLEBORGS LÄN</t>
        </is>
      </c>
      <c r="E70" t="inlineStr">
        <is>
          <t>OVANÅKER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68245-2021</t>
        </is>
      </c>
      <c r="B71" s="1" t="n">
        <v>44526.60260416667</v>
      </c>
      <c r="C71" s="1" t="n">
        <v>46179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54731-2022</t>
        </is>
      </c>
      <c r="B72" s="1" t="n">
        <v>44883</v>
      </c>
      <c r="C72" s="1" t="n">
        <v>46179</v>
      </c>
      <c r="D72" t="inlineStr">
        <is>
          <t>GÄVLEBORGS LÄN</t>
        </is>
      </c>
      <c r="E72" t="inlineStr">
        <is>
          <t>OVANÅKER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64843-2021</t>
        </is>
      </c>
      <c r="B73" s="1" t="n">
        <v>44512.56739583334</v>
      </c>
      <c r="C73" s="1" t="n">
        <v>46179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46179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46179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70573-2021</t>
        </is>
      </c>
      <c r="B76" s="1" t="n">
        <v>44537.35547453703</v>
      </c>
      <c r="C76" s="1" t="n">
        <v>46179</v>
      </c>
      <c r="D76" t="inlineStr">
        <is>
          <t>GÄVLEBORGS LÄN</t>
        </is>
      </c>
      <c r="E76" t="inlineStr">
        <is>
          <t>OVANÅKER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46179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46179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55298-2021</t>
        </is>
      </c>
      <c r="B79" s="1" t="n">
        <v>44475.44704861111</v>
      </c>
      <c r="C79" s="1" t="n">
        <v>46179</v>
      </c>
      <c r="D79" t="inlineStr">
        <is>
          <t>GÄVLEBORGS LÄN</t>
        </is>
      </c>
      <c r="E79" t="inlineStr">
        <is>
          <t>OVANÅKER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8769-2022</t>
        </is>
      </c>
      <c r="B80" s="1" t="n">
        <v>44614.38916666667</v>
      </c>
      <c r="C80" s="1" t="n">
        <v>46179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19308-2022</t>
        </is>
      </c>
      <c r="B81" s="1" t="n">
        <v>44692.55635416666</v>
      </c>
      <c r="C81" s="1" t="n">
        <v>46179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28231-2022</t>
        </is>
      </c>
      <c r="B82" s="1" t="n">
        <v>44746.66461805555</v>
      </c>
      <c r="C82" s="1" t="n">
        <v>46179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45528-2022</t>
        </is>
      </c>
      <c r="B83" s="1" t="n">
        <v>44845.46920138889</v>
      </c>
      <c r="C83" s="1" t="n">
        <v>46179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1530-2022</t>
        </is>
      </c>
      <c r="B84" s="1" t="n">
        <v>44573.57800925926</v>
      </c>
      <c r="C84" s="1" t="n">
        <v>46179</v>
      </c>
      <c r="D84" t="inlineStr">
        <is>
          <t>GÄVLEBORGS LÄN</t>
        </is>
      </c>
      <c r="E84" t="inlineStr">
        <is>
          <t>OVANÅKER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48151-2021</t>
        </is>
      </c>
      <c r="B85" s="1" t="n">
        <v>44449</v>
      </c>
      <c r="C85" s="1" t="n">
        <v>46179</v>
      </c>
      <c r="D85" t="inlineStr">
        <is>
          <t>GÄVLEBORGS LÄN</t>
        </is>
      </c>
      <c r="E85" t="inlineStr">
        <is>
          <t>OVANÅKER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9635-2022</t>
        </is>
      </c>
      <c r="B86" s="1" t="n">
        <v>44617</v>
      </c>
      <c r="C86" s="1" t="n">
        <v>46179</v>
      </c>
      <c r="D86" t="inlineStr">
        <is>
          <t>GÄVLEBORGS LÄN</t>
        </is>
      </c>
      <c r="E86" t="inlineStr">
        <is>
          <t>OVANÅKER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9980-2022</t>
        </is>
      </c>
      <c r="B87" s="1" t="n">
        <v>44621</v>
      </c>
      <c r="C87" s="1" t="n">
        <v>46179</v>
      </c>
      <c r="D87" t="inlineStr">
        <is>
          <t>GÄVLEBORGS LÄN</t>
        </is>
      </c>
      <c r="E87" t="inlineStr">
        <is>
          <t>OVANÅKER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52046-2021</t>
        </is>
      </c>
      <c r="B88" s="1" t="n">
        <v>44463.36844907407</v>
      </c>
      <c r="C88" s="1" t="n">
        <v>46179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29762-2022</t>
        </is>
      </c>
      <c r="B89" s="1" t="n">
        <v>44755.60700231481</v>
      </c>
      <c r="C89" s="1" t="n">
        <v>46179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öst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51127-2022</t>
        </is>
      </c>
      <c r="B90" s="1" t="n">
        <v>44868.47707175926</v>
      </c>
      <c r="C90" s="1" t="n">
        <v>46179</v>
      </c>
      <c r="D90" t="inlineStr">
        <is>
          <t>GÄVLEBORGS LÄN</t>
        </is>
      </c>
      <c r="E90" t="inlineStr">
        <is>
          <t>OVANÅKER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46709-2022</t>
        </is>
      </c>
      <c r="B91" s="1" t="n">
        <v>44851.38769675926</v>
      </c>
      <c r="C91" s="1" t="n">
        <v>46179</v>
      </c>
      <c r="D91" t="inlineStr">
        <is>
          <t>GÄVLEBORGS LÄN</t>
        </is>
      </c>
      <c r="E91" t="inlineStr">
        <is>
          <t>OVANÅKER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53445-2022</t>
        </is>
      </c>
      <c r="B92" s="1" t="n">
        <v>44879.48770833333</v>
      </c>
      <c r="C92" s="1" t="n">
        <v>46179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30166-2022</t>
        </is>
      </c>
      <c r="B93" s="1" t="n">
        <v>44757.56145833333</v>
      </c>
      <c r="C93" s="1" t="n">
        <v>46179</v>
      </c>
      <c r="D93" t="inlineStr">
        <is>
          <t>GÄVLEBORGS LÄN</t>
        </is>
      </c>
      <c r="E93" t="inlineStr">
        <is>
          <t>OVANÅKER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35278-2021</t>
        </is>
      </c>
      <c r="B94" s="1" t="n">
        <v>44384.64277777778</v>
      </c>
      <c r="C94" s="1" t="n">
        <v>46179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53694-2022</t>
        </is>
      </c>
      <c r="B95" s="1" t="n">
        <v>44880.33703703704</v>
      </c>
      <c r="C95" s="1" t="n">
        <v>46179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44310-2022</t>
        </is>
      </c>
      <c r="B96" s="1" t="n">
        <v>44839.6370949074</v>
      </c>
      <c r="C96" s="1" t="n">
        <v>46179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40403-2022</t>
        </is>
      </c>
      <c r="B97" s="1" t="n">
        <v>44823</v>
      </c>
      <c r="C97" s="1" t="n">
        <v>46179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44092-2022</t>
        </is>
      </c>
      <c r="B98" s="1" t="n">
        <v>44839</v>
      </c>
      <c r="C98" s="1" t="n">
        <v>46179</v>
      </c>
      <c r="D98" t="inlineStr">
        <is>
          <t>GÄVLEBORGS LÄN</t>
        </is>
      </c>
      <c r="E98" t="inlineStr">
        <is>
          <t>OVANÅKER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55403-2021</t>
        </is>
      </c>
      <c r="B99" s="1" t="n">
        <v>44475.53581018518</v>
      </c>
      <c r="C99" s="1" t="n">
        <v>46179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33180-2021</t>
        </is>
      </c>
      <c r="B100" s="1" t="n">
        <v>44376</v>
      </c>
      <c r="C100" s="1" t="n">
        <v>46179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9593-2022</t>
        </is>
      </c>
      <c r="B101" s="1" t="n">
        <v>44617</v>
      </c>
      <c r="C101" s="1" t="n">
        <v>46179</v>
      </c>
      <c r="D101" t="inlineStr">
        <is>
          <t>GÄVLEBORGS LÄN</t>
        </is>
      </c>
      <c r="E101" t="inlineStr">
        <is>
          <t>OVANÅKER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2946-2022</t>
        </is>
      </c>
      <c r="B102" s="1" t="n">
        <v>44581.62998842593</v>
      </c>
      <c r="C102" s="1" t="n">
        <v>46179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20926-2022</t>
        </is>
      </c>
      <c r="B103" s="1" t="n">
        <v>44701</v>
      </c>
      <c r="C103" s="1" t="n">
        <v>46179</v>
      </c>
      <c r="D103" t="inlineStr">
        <is>
          <t>GÄVLEBORGS LÄN</t>
        </is>
      </c>
      <c r="E103" t="inlineStr">
        <is>
          <t>OVANÅKER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25087-2022</t>
        </is>
      </c>
      <c r="B104" s="1" t="n">
        <v>44729</v>
      </c>
      <c r="C104" s="1" t="n">
        <v>46179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54080-2021</t>
        </is>
      </c>
      <c r="B105" s="1" t="n">
        <v>44470.4640625</v>
      </c>
      <c r="C105" s="1" t="n">
        <v>46179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46823-2022</t>
        </is>
      </c>
      <c r="B106" s="1" t="n">
        <v>44851.56997685185</v>
      </c>
      <c r="C106" s="1" t="n">
        <v>46179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69001-2021</t>
        </is>
      </c>
      <c r="B107" s="1" t="n">
        <v>44530</v>
      </c>
      <c r="C107" s="1" t="n">
        <v>46179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13995-2022</t>
        </is>
      </c>
      <c r="B108" s="1" t="n">
        <v>44650</v>
      </c>
      <c r="C108" s="1" t="n">
        <v>46179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30374-2022</t>
        </is>
      </c>
      <c r="B109" s="1" t="n">
        <v>44760.65425925926</v>
      </c>
      <c r="C109" s="1" t="n">
        <v>46179</v>
      </c>
      <c r="D109" t="inlineStr">
        <is>
          <t>GÄVLEBORGS LÄN</t>
        </is>
      </c>
      <c r="E109" t="inlineStr">
        <is>
          <t>OVANÅKER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41529-2021</t>
        </is>
      </c>
      <c r="B110" s="1" t="n">
        <v>44425.33693287037</v>
      </c>
      <c r="C110" s="1" t="n">
        <v>46179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12330-2022</t>
        </is>
      </c>
      <c r="B111" s="1" t="n">
        <v>44637.62068287037</v>
      </c>
      <c r="C111" s="1" t="n">
        <v>46179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19957-2025</t>
        </is>
      </c>
      <c r="B112" s="1" t="n">
        <v>45771.66318287037</v>
      </c>
      <c r="C112" s="1" t="n">
        <v>46179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3871-2024</t>
        </is>
      </c>
      <c r="B113" s="1" t="n">
        <v>45322</v>
      </c>
      <c r="C113" s="1" t="n">
        <v>46179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20117-2025</t>
        </is>
      </c>
      <c r="B114" s="1" t="n">
        <v>45772.48638888889</v>
      </c>
      <c r="C114" s="1" t="n">
        <v>46179</v>
      </c>
      <c r="D114" t="inlineStr">
        <is>
          <t>GÄVLEBORGS LÄN</t>
        </is>
      </c>
      <c r="E114" t="inlineStr">
        <is>
          <t>OVANÅKER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46733-2021</t>
        </is>
      </c>
      <c r="B115" s="1" t="n">
        <v>44445.67016203704</v>
      </c>
      <c r="C115" s="1" t="n">
        <v>46179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50937-2022</t>
        </is>
      </c>
      <c r="B116" s="1" t="n">
        <v>44867.65224537037</v>
      </c>
      <c r="C116" s="1" t="n">
        <v>46179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49565-2021</t>
        </is>
      </c>
      <c r="B117" s="1" t="n">
        <v>44455.36539351852</v>
      </c>
      <c r="C117" s="1" t="n">
        <v>46179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11684-2024</t>
        </is>
      </c>
      <c r="B118" s="1" t="n">
        <v>45373.58568287037</v>
      </c>
      <c r="C118" s="1" t="n">
        <v>46179</v>
      </c>
      <c r="D118" t="inlineStr">
        <is>
          <t>GÄVLEBORGS LÄN</t>
        </is>
      </c>
      <c r="E118" t="inlineStr">
        <is>
          <t>OVANÅKER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19177-2024</t>
        </is>
      </c>
      <c r="B119" s="1" t="n">
        <v>45428.47560185185</v>
      </c>
      <c r="C119" s="1" t="n">
        <v>46179</v>
      </c>
      <c r="D119" t="inlineStr">
        <is>
          <t>GÄVLEBORGS LÄN</t>
        </is>
      </c>
      <c r="E119" t="inlineStr">
        <is>
          <t>OVANÅKER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58460-2022</t>
        </is>
      </c>
      <c r="B120" s="1" t="n">
        <v>44902</v>
      </c>
      <c r="C120" s="1" t="n">
        <v>46179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59442-2021</t>
        </is>
      </c>
      <c r="B121" s="1" t="n">
        <v>44491</v>
      </c>
      <c r="C121" s="1" t="n">
        <v>46179</v>
      </c>
      <c r="D121" t="inlineStr">
        <is>
          <t>GÄVLEBORGS LÄN</t>
        </is>
      </c>
      <c r="E121" t="inlineStr">
        <is>
          <t>OVANÅKER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17672-2025</t>
        </is>
      </c>
      <c r="B122" s="1" t="n">
        <v>45758.36832175926</v>
      </c>
      <c r="C122" s="1" t="n">
        <v>46179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60291-2022</t>
        </is>
      </c>
      <c r="B123" s="1" t="n">
        <v>44910.54173611111</v>
      </c>
      <c r="C123" s="1" t="n">
        <v>46179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34513-2021</t>
        </is>
      </c>
      <c r="B124" s="1" t="n">
        <v>44382.37893518519</v>
      </c>
      <c r="C124" s="1" t="n">
        <v>46179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943-2024</t>
        </is>
      </c>
      <c r="B125" s="1" t="n">
        <v>45301.53942129629</v>
      </c>
      <c r="C125" s="1" t="n">
        <v>46179</v>
      </c>
      <c r="D125" t="inlineStr">
        <is>
          <t>GÄVLEBORGS LÄN</t>
        </is>
      </c>
      <c r="E125" t="inlineStr">
        <is>
          <t>OVANÅKER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35053-2022</t>
        </is>
      </c>
      <c r="B126" s="1" t="n">
        <v>44797</v>
      </c>
      <c r="C126" s="1" t="n">
        <v>46179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59912-2023</t>
        </is>
      </c>
      <c r="B127" s="1" t="n">
        <v>45257.63767361111</v>
      </c>
      <c r="C127" s="1" t="n">
        <v>46179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47480-2022</t>
        </is>
      </c>
      <c r="B128" s="1" t="n">
        <v>44853.64416666667</v>
      </c>
      <c r="C128" s="1" t="n">
        <v>46179</v>
      </c>
      <c r="D128" t="inlineStr">
        <is>
          <t>GÄVLEBORGS LÄN</t>
        </is>
      </c>
      <c r="E128" t="inlineStr">
        <is>
          <t>OVANÅKER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60218-2023</t>
        </is>
      </c>
      <c r="B129" s="1" t="n">
        <v>45258.61202546296</v>
      </c>
      <c r="C129" s="1" t="n">
        <v>46179</v>
      </c>
      <c r="D129" t="inlineStr">
        <is>
          <t>GÄVLEBORGS LÄN</t>
        </is>
      </c>
      <c r="E129" t="inlineStr">
        <is>
          <t>OVANÅKER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53821-2023</t>
        </is>
      </c>
      <c r="B130" s="1" t="n">
        <v>45231.40760416666</v>
      </c>
      <c r="C130" s="1" t="n">
        <v>46179</v>
      </c>
      <c r="D130" t="inlineStr">
        <is>
          <t>GÄVLEBORGS LÄN</t>
        </is>
      </c>
      <c r="E130" t="inlineStr">
        <is>
          <t>OVANÅKER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32345-2024</t>
        </is>
      </c>
      <c r="B131" s="1" t="n">
        <v>45512.52994212963</v>
      </c>
      <c r="C131" s="1" t="n">
        <v>46179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49654-2022</t>
        </is>
      </c>
      <c r="B132" s="1" t="n">
        <v>44862</v>
      </c>
      <c r="C132" s="1" t="n">
        <v>46179</v>
      </c>
      <c r="D132" t="inlineStr">
        <is>
          <t>GÄVLEBORGS LÄN</t>
        </is>
      </c>
      <c r="E132" t="inlineStr">
        <is>
          <t>OVANÅKER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51734-2022</t>
        </is>
      </c>
      <c r="B133" s="1" t="n">
        <v>44872.47747685185</v>
      </c>
      <c r="C133" s="1" t="n">
        <v>46179</v>
      </c>
      <c r="D133" t="inlineStr">
        <is>
          <t>GÄVLEBORGS LÄN</t>
        </is>
      </c>
      <c r="E133" t="inlineStr">
        <is>
          <t>OVANÅKER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36048-2024</t>
        </is>
      </c>
      <c r="B134" s="1" t="n">
        <v>45533.61841435185</v>
      </c>
      <c r="C134" s="1" t="n">
        <v>46179</v>
      </c>
      <c r="D134" t="inlineStr">
        <is>
          <t>GÄVLEBORGS LÄN</t>
        </is>
      </c>
      <c r="E134" t="inlineStr">
        <is>
          <t>OVANÅKER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19632-2024</t>
        </is>
      </c>
      <c r="B135" s="1" t="n">
        <v>45432.36549768518</v>
      </c>
      <c r="C135" s="1" t="n">
        <v>46179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26027-2024</t>
        </is>
      </c>
      <c r="B136" s="1" t="n">
        <v>45467.96223379629</v>
      </c>
      <c r="C136" s="1" t="n">
        <v>46179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44594-2022</t>
        </is>
      </c>
      <c r="B137" s="1" t="n">
        <v>44840</v>
      </c>
      <c r="C137" s="1" t="n">
        <v>46179</v>
      </c>
      <c r="D137" t="inlineStr">
        <is>
          <t>GÄVLEBORGS LÄN</t>
        </is>
      </c>
      <c r="E137" t="inlineStr">
        <is>
          <t>OVANÅKER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438-2025</t>
        </is>
      </c>
      <c r="B138" s="1" t="n">
        <v>45664.38258101852</v>
      </c>
      <c r="C138" s="1" t="n">
        <v>46179</v>
      </c>
      <c r="D138" t="inlineStr">
        <is>
          <t>GÄVLEBORGS LÄN</t>
        </is>
      </c>
      <c r="E138" t="inlineStr">
        <is>
          <t>OVANÅKER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62651-2023</t>
        </is>
      </c>
      <c r="B139" s="1" t="n">
        <v>45271</v>
      </c>
      <c r="C139" s="1" t="n">
        <v>46179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39862-2023</t>
        </is>
      </c>
      <c r="B140" s="1" t="n">
        <v>45168.38649305556</v>
      </c>
      <c r="C140" s="1" t="n">
        <v>46179</v>
      </c>
      <c r="D140" t="inlineStr">
        <is>
          <t>GÄVLEBORGS LÄN</t>
        </is>
      </c>
      <c r="E140" t="inlineStr">
        <is>
          <t>OVANÅKER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3047-2022</t>
        </is>
      </c>
      <c r="B141" s="1" t="n">
        <v>44581</v>
      </c>
      <c r="C141" s="1" t="n">
        <v>46179</v>
      </c>
      <c r="D141" t="inlineStr">
        <is>
          <t>GÄVLEBORGS LÄN</t>
        </is>
      </c>
      <c r="E141" t="inlineStr">
        <is>
          <t>OVANÅKER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391-2026</t>
        </is>
      </c>
      <c r="B142" s="1" t="n">
        <v>46028.42581018519</v>
      </c>
      <c r="C142" s="1" t="n">
        <v>46179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230-2026</t>
        </is>
      </c>
      <c r="B143" s="1" t="n">
        <v>46027</v>
      </c>
      <c r="C143" s="1" t="n">
        <v>46179</v>
      </c>
      <c r="D143" t="inlineStr">
        <is>
          <t>GÄVLEBORGS LÄN</t>
        </is>
      </c>
      <c r="E143" t="inlineStr">
        <is>
          <t>OVANÅKER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221-2026</t>
        </is>
      </c>
      <c r="B144" s="1" t="n">
        <v>46026.81859953704</v>
      </c>
      <c r="C144" s="1" t="n">
        <v>46179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37338-2024</t>
        </is>
      </c>
      <c r="B145" s="1" t="n">
        <v>45540</v>
      </c>
      <c r="C145" s="1" t="n">
        <v>46179</v>
      </c>
      <c r="D145" t="inlineStr">
        <is>
          <t>GÄVLEBORGS LÄN</t>
        </is>
      </c>
      <c r="E145" t="inlineStr">
        <is>
          <t>OVANÅKER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361-2026</t>
        </is>
      </c>
      <c r="B146" s="1" t="n">
        <v>46027</v>
      </c>
      <c r="C146" s="1" t="n">
        <v>46179</v>
      </c>
      <c r="D146" t="inlineStr">
        <is>
          <t>GÄVLEBORGS LÄN</t>
        </is>
      </c>
      <c r="E146" t="inlineStr">
        <is>
          <t>OVANÅKER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44571-2024</t>
        </is>
      </c>
      <c r="B147" s="1" t="n">
        <v>45574</v>
      </c>
      <c r="C147" s="1" t="n">
        <v>46179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430-2026</t>
        </is>
      </c>
      <c r="B148" s="1" t="n">
        <v>46029</v>
      </c>
      <c r="C148" s="1" t="n">
        <v>46179</v>
      </c>
      <c r="D148" t="inlineStr">
        <is>
          <t>GÄVLEBORGS LÄN</t>
        </is>
      </c>
      <c r="E148" t="inlineStr">
        <is>
          <t>OVANÅKER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1040-2026</t>
        </is>
      </c>
      <c r="B149" s="1" t="n">
        <v>46030.61988425926</v>
      </c>
      <c r="C149" s="1" t="n">
        <v>46179</v>
      </c>
      <c r="D149" t="inlineStr">
        <is>
          <t>GÄVLEBORGS LÄN</t>
        </is>
      </c>
      <c r="E149" t="inlineStr">
        <is>
          <t>OVANÅKER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912-2026</t>
        </is>
      </c>
      <c r="B150" s="1" t="n">
        <v>46030.47767361111</v>
      </c>
      <c r="C150" s="1" t="n">
        <v>46179</v>
      </c>
      <c r="D150" t="inlineStr">
        <is>
          <t>GÄVLEBORGS LÄN</t>
        </is>
      </c>
      <c r="E150" t="inlineStr">
        <is>
          <t>OVANÅKER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961-2026</t>
        </is>
      </c>
      <c r="B151" s="1" t="n">
        <v>46030.55479166667</v>
      </c>
      <c r="C151" s="1" t="n">
        <v>46179</v>
      </c>
      <c r="D151" t="inlineStr">
        <is>
          <t>GÄVLEBORGS LÄN</t>
        </is>
      </c>
      <c r="E151" t="inlineStr">
        <is>
          <t>OVANÅKER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969-2026</t>
        </is>
      </c>
      <c r="B152" s="1" t="n">
        <v>46030.56228009259</v>
      </c>
      <c r="C152" s="1" t="n">
        <v>46179</v>
      </c>
      <c r="D152" t="inlineStr">
        <is>
          <t>GÄVLEBORGS LÄN</t>
        </is>
      </c>
      <c r="E152" t="inlineStr">
        <is>
          <t>OVANÅKER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965-2026</t>
        </is>
      </c>
      <c r="B153" s="1" t="n">
        <v>46030.55966435185</v>
      </c>
      <c r="C153" s="1" t="n">
        <v>46179</v>
      </c>
      <c r="D153" t="inlineStr">
        <is>
          <t>GÄVLEBORGS LÄN</t>
        </is>
      </c>
      <c r="E153" t="inlineStr">
        <is>
          <t>OVANÅKER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50480-2024</t>
        </is>
      </c>
      <c r="B154" s="1" t="n">
        <v>45601.47907407407</v>
      </c>
      <c r="C154" s="1" t="n">
        <v>46179</v>
      </c>
      <c r="D154" t="inlineStr">
        <is>
          <t>GÄVLEBORGS LÄN</t>
        </is>
      </c>
      <c r="E154" t="inlineStr">
        <is>
          <t>OVANÅKER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46377-2022</t>
        </is>
      </c>
      <c r="B155" s="1" t="n">
        <v>44848.36462962963</v>
      </c>
      <c r="C155" s="1" t="n">
        <v>46179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427-2026</t>
        </is>
      </c>
      <c r="B156" s="1" t="n">
        <v>46029</v>
      </c>
      <c r="C156" s="1" t="n">
        <v>46179</v>
      </c>
      <c r="D156" t="inlineStr">
        <is>
          <t>GÄVLEBORGS LÄN</t>
        </is>
      </c>
      <c r="E156" t="inlineStr">
        <is>
          <t>OVANÅKER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733-2026</t>
        </is>
      </c>
      <c r="B157" s="1" t="n">
        <v>46029</v>
      </c>
      <c r="C157" s="1" t="n">
        <v>46179</v>
      </c>
      <c r="D157" t="inlineStr">
        <is>
          <t>GÄVLEBORGS LÄN</t>
        </is>
      </c>
      <c r="E157" t="inlineStr">
        <is>
          <t>OVANÅKER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735-2026</t>
        </is>
      </c>
      <c r="B158" s="1" t="n">
        <v>46029.65177083333</v>
      </c>
      <c r="C158" s="1" t="n">
        <v>46179</v>
      </c>
      <c r="D158" t="inlineStr">
        <is>
          <t>GÄVLEBORGS LÄN</t>
        </is>
      </c>
      <c r="E158" t="inlineStr">
        <is>
          <t>OVANÅKER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908-2026</t>
        </is>
      </c>
      <c r="B159" s="1" t="n">
        <v>46030.47659722222</v>
      </c>
      <c r="C159" s="1" t="n">
        <v>46179</v>
      </c>
      <c r="D159" t="inlineStr">
        <is>
          <t>GÄVLEBORGS LÄN</t>
        </is>
      </c>
      <c r="E159" t="inlineStr">
        <is>
          <t>OVANÅKER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690-2026</t>
        </is>
      </c>
      <c r="B160" s="1" t="n">
        <v>46029</v>
      </c>
      <c r="C160" s="1" t="n">
        <v>46179</v>
      </c>
      <c r="D160" t="inlineStr">
        <is>
          <t>GÄVLEBORGS LÄN</t>
        </is>
      </c>
      <c r="E160" t="inlineStr">
        <is>
          <t>OVANÅKER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707-2026</t>
        </is>
      </c>
      <c r="B161" s="1" t="n">
        <v>46029</v>
      </c>
      <c r="C161" s="1" t="n">
        <v>46179</v>
      </c>
      <c r="D161" t="inlineStr">
        <is>
          <t>GÄVLEBORGS LÄN</t>
        </is>
      </c>
      <c r="E161" t="inlineStr">
        <is>
          <t>OVANÅKER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874-2026</t>
        </is>
      </c>
      <c r="B162" s="1" t="n">
        <v>46030</v>
      </c>
      <c r="C162" s="1" t="n">
        <v>46179</v>
      </c>
      <c r="D162" t="inlineStr">
        <is>
          <t>GÄVLEBORGS LÄN</t>
        </is>
      </c>
      <c r="E162" t="inlineStr">
        <is>
          <t>OVANÅKER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7569-2022</t>
        </is>
      </c>
      <c r="B163" s="1" t="n">
        <v>44607</v>
      </c>
      <c r="C163" s="1" t="n">
        <v>46179</v>
      </c>
      <c r="D163" t="inlineStr">
        <is>
          <t>GÄVLEBORGS LÄN</t>
        </is>
      </c>
      <c r="E163" t="inlineStr">
        <is>
          <t>OVANÅKER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44577-2024</t>
        </is>
      </c>
      <c r="B164" s="1" t="n">
        <v>45574.4846875</v>
      </c>
      <c r="C164" s="1" t="n">
        <v>46179</v>
      </c>
      <c r="D164" t="inlineStr">
        <is>
          <t>GÄVLEBORGS LÄN</t>
        </is>
      </c>
      <c r="E164" t="inlineStr">
        <is>
          <t>OVANÅKER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743-2026</t>
        </is>
      </c>
      <c r="B165" s="1" t="n">
        <v>46029.66542824074</v>
      </c>
      <c r="C165" s="1" t="n">
        <v>46179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508-2026</t>
        </is>
      </c>
      <c r="B166" s="1" t="n">
        <v>46029</v>
      </c>
      <c r="C166" s="1" t="n">
        <v>46179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784-2026</t>
        </is>
      </c>
      <c r="B167" s="1" t="n">
        <v>46029</v>
      </c>
      <c r="C167" s="1" t="n">
        <v>46179</v>
      </c>
      <c r="D167" t="inlineStr">
        <is>
          <t>GÄVLEBORGS LÄN</t>
        </is>
      </c>
      <c r="E167" t="inlineStr">
        <is>
          <t>OVANÅKER</t>
        </is>
      </c>
      <c r="G167" t="n">
        <v>34.7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591-2026</t>
        </is>
      </c>
      <c r="B168" s="1" t="n">
        <v>46029</v>
      </c>
      <c r="C168" s="1" t="n">
        <v>46179</v>
      </c>
      <c r="D168" t="inlineStr">
        <is>
          <t>GÄVLEBORGS LÄN</t>
        </is>
      </c>
      <c r="E168" t="inlineStr">
        <is>
          <t>OVANÅKER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798-2026</t>
        </is>
      </c>
      <c r="B169" s="1" t="n">
        <v>46029.92050925926</v>
      </c>
      <c r="C169" s="1" t="n">
        <v>46179</v>
      </c>
      <c r="D169" t="inlineStr">
        <is>
          <t>GÄVLEBORGS LÄN</t>
        </is>
      </c>
      <c r="E169" t="inlineStr">
        <is>
          <t>OVANÅKER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1013-2026</t>
        </is>
      </c>
      <c r="B170" s="1" t="n">
        <v>46030.60190972222</v>
      </c>
      <c r="C170" s="1" t="n">
        <v>46179</v>
      </c>
      <c r="D170" t="inlineStr">
        <is>
          <t>GÄVLEBORGS LÄN</t>
        </is>
      </c>
      <c r="E170" t="inlineStr">
        <is>
          <t>OVANÅKER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1292-2026</t>
        </is>
      </c>
      <c r="B171" s="1" t="n">
        <v>46031.50594907408</v>
      </c>
      <c r="C171" s="1" t="n">
        <v>46179</v>
      </c>
      <c r="D171" t="inlineStr">
        <is>
          <t>GÄVLEBORGS LÄN</t>
        </is>
      </c>
      <c r="E171" t="inlineStr">
        <is>
          <t>OVANÅKER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1146-2026</t>
        </is>
      </c>
      <c r="B172" s="1" t="n">
        <v>46030.88215277778</v>
      </c>
      <c r="C172" s="1" t="n">
        <v>46179</v>
      </c>
      <c r="D172" t="inlineStr">
        <is>
          <t>GÄVLEBORGS LÄN</t>
        </is>
      </c>
      <c r="E172" t="inlineStr">
        <is>
          <t>OVANÅKER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64067-2025</t>
        </is>
      </c>
      <c r="B173" s="1" t="n">
        <v>46021</v>
      </c>
      <c r="C173" s="1" t="n">
        <v>46179</v>
      </c>
      <c r="D173" t="inlineStr">
        <is>
          <t>GÄVLEBORGS LÄN</t>
        </is>
      </c>
      <c r="E173" t="inlineStr">
        <is>
          <t>OVANÅKER</t>
        </is>
      </c>
      <c r="G173" t="n">
        <v>29.4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27971-2024</t>
        </is>
      </c>
      <c r="B174" s="1" t="n">
        <v>45476.38420138889</v>
      </c>
      <c r="C174" s="1" t="n">
        <v>46179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1457-2026</t>
        </is>
      </c>
      <c r="B175" s="1" t="n">
        <v>46033.5718287037</v>
      </c>
      <c r="C175" s="1" t="n">
        <v>46179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1616-2026</t>
        </is>
      </c>
      <c r="B176" s="1" t="n">
        <v>46034.47168981482</v>
      </c>
      <c r="C176" s="1" t="n">
        <v>46179</v>
      </c>
      <c r="D176" t="inlineStr">
        <is>
          <t>GÄVLEBORGS LÄN</t>
        </is>
      </c>
      <c r="E176" t="inlineStr">
        <is>
          <t>OVANÅKER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1652-2026</t>
        </is>
      </c>
      <c r="B177" s="1" t="n">
        <v>46034</v>
      </c>
      <c r="C177" s="1" t="n">
        <v>46179</v>
      </c>
      <c r="D177" t="inlineStr">
        <is>
          <t>GÄVLEBORGS LÄN</t>
        </is>
      </c>
      <c r="E177" t="inlineStr">
        <is>
          <t>OVANÅKER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1717-2026</t>
        </is>
      </c>
      <c r="B178" s="1" t="n">
        <v>46034</v>
      </c>
      <c r="C178" s="1" t="n">
        <v>46179</v>
      </c>
      <c r="D178" t="inlineStr">
        <is>
          <t>GÄVLEBORGS LÄN</t>
        </is>
      </c>
      <c r="E178" t="inlineStr">
        <is>
          <t>OVANÅKER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1720-2026</t>
        </is>
      </c>
      <c r="B179" s="1" t="n">
        <v>46034</v>
      </c>
      <c r="C179" s="1" t="n">
        <v>46179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1395-2026</t>
        </is>
      </c>
      <c r="B180" s="1" t="n">
        <v>46031.63818287037</v>
      </c>
      <c r="C180" s="1" t="n">
        <v>46179</v>
      </c>
      <c r="D180" t="inlineStr">
        <is>
          <t>GÄVLEBORGS LÄN</t>
        </is>
      </c>
      <c r="E180" t="inlineStr">
        <is>
          <t>OVANÅKER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2055-2026</t>
        </is>
      </c>
      <c r="B181" s="1" t="n">
        <v>46031</v>
      </c>
      <c r="C181" s="1" t="n">
        <v>46179</v>
      </c>
      <c r="D181" t="inlineStr">
        <is>
          <t>GÄVLEBORGS LÄN</t>
        </is>
      </c>
      <c r="E181" t="inlineStr">
        <is>
          <t>OVANÅKER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1471-2026</t>
        </is>
      </c>
      <c r="B182" s="1" t="n">
        <v>46033.7853587963</v>
      </c>
      <c r="C182" s="1" t="n">
        <v>46179</v>
      </c>
      <c r="D182" t="inlineStr">
        <is>
          <t>GÄVLEBORGS LÄN</t>
        </is>
      </c>
      <c r="E182" t="inlineStr">
        <is>
          <t>OVANÅKER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2053-2026</t>
        </is>
      </c>
      <c r="B183" s="1" t="n">
        <v>46031</v>
      </c>
      <c r="C183" s="1" t="n">
        <v>46179</v>
      </c>
      <c r="D183" t="inlineStr">
        <is>
          <t>GÄVLEBORGS LÄN</t>
        </is>
      </c>
      <c r="E183" t="inlineStr">
        <is>
          <t>OVANÅKER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2054-2026</t>
        </is>
      </c>
      <c r="B184" s="1" t="n">
        <v>46031</v>
      </c>
      <c r="C184" s="1" t="n">
        <v>46179</v>
      </c>
      <c r="D184" t="inlineStr">
        <is>
          <t>GÄVLEBORGS LÄN</t>
        </is>
      </c>
      <c r="E184" t="inlineStr">
        <is>
          <t>OVANÅKER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30906-2024</t>
        </is>
      </c>
      <c r="B185" s="1" t="n">
        <v>45498.55421296296</v>
      </c>
      <c r="C185" s="1" t="n">
        <v>46179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1147-2026</t>
        </is>
      </c>
      <c r="B186" s="1" t="n">
        <v>46030.90633101852</v>
      </c>
      <c r="C186" s="1" t="n">
        <v>46179</v>
      </c>
      <c r="D186" t="inlineStr">
        <is>
          <t>GÄVLEBORGS LÄN</t>
        </is>
      </c>
      <c r="E186" t="inlineStr">
        <is>
          <t>OVANÅKER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30919-2024</t>
        </is>
      </c>
      <c r="B187" s="1" t="n">
        <v>45498.67017361111</v>
      </c>
      <c r="C187" s="1" t="n">
        <v>46179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1723-2026</t>
        </is>
      </c>
      <c r="B188" s="1" t="n">
        <v>46034</v>
      </c>
      <c r="C188" s="1" t="n">
        <v>46179</v>
      </c>
      <c r="D188" t="inlineStr">
        <is>
          <t>GÄVLEBORGS LÄN</t>
        </is>
      </c>
      <c r="E188" t="inlineStr">
        <is>
          <t>OVANÅKER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1470-2026</t>
        </is>
      </c>
      <c r="B189" s="1" t="n">
        <v>46033.78216435185</v>
      </c>
      <c r="C189" s="1" t="n">
        <v>46179</v>
      </c>
      <c r="D189" t="inlineStr">
        <is>
          <t>GÄVLEBORGS LÄN</t>
        </is>
      </c>
      <c r="E189" t="inlineStr">
        <is>
          <t>OVANÅKER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51122-2022</t>
        </is>
      </c>
      <c r="B190" s="1" t="n">
        <v>44868.46877314815</v>
      </c>
      <c r="C190" s="1" t="n">
        <v>46179</v>
      </c>
      <c r="D190" t="inlineStr">
        <is>
          <t>GÄVLEBORGS LÄN</t>
        </is>
      </c>
      <c r="E190" t="inlineStr">
        <is>
          <t>OVANÅKER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2911-2024</t>
        </is>
      </c>
      <c r="B191" s="1" t="n">
        <v>45315</v>
      </c>
      <c r="C191" s="1" t="n">
        <v>46179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1157-2026</t>
        </is>
      </c>
      <c r="B192" s="1" t="n">
        <v>46031.32626157408</v>
      </c>
      <c r="C192" s="1" t="n">
        <v>46179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1473-2026</t>
        </is>
      </c>
      <c r="B193" s="1" t="n">
        <v>46033.80385416667</v>
      </c>
      <c r="C193" s="1" t="n">
        <v>46179</v>
      </c>
      <c r="D193" t="inlineStr">
        <is>
          <t>GÄVLEBORGS LÄN</t>
        </is>
      </c>
      <c r="E193" t="inlineStr">
        <is>
          <t>OVANÅKER</t>
        </is>
      </c>
      <c r="G193" t="n">
        <v>31.2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1787-2026</t>
        </is>
      </c>
      <c r="B194" s="1" t="n">
        <v>46034</v>
      </c>
      <c r="C194" s="1" t="n">
        <v>46179</v>
      </c>
      <c r="D194" t="inlineStr">
        <is>
          <t>GÄVLEBORGS LÄN</t>
        </is>
      </c>
      <c r="E194" t="inlineStr">
        <is>
          <t>OVANÅKER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1893-2026</t>
        </is>
      </c>
      <c r="B195" s="1" t="n">
        <v>46035.50224537037</v>
      </c>
      <c r="C195" s="1" t="n">
        <v>46179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2075-2026</t>
        </is>
      </c>
      <c r="B196" s="1" t="n">
        <v>46036.34694444444</v>
      </c>
      <c r="C196" s="1" t="n">
        <v>46179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2095-2026</t>
        </is>
      </c>
      <c r="B197" s="1" t="n">
        <v>46036</v>
      </c>
      <c r="C197" s="1" t="n">
        <v>46179</v>
      </c>
      <c r="D197" t="inlineStr">
        <is>
          <t>GÄVLEBORGS LÄN</t>
        </is>
      </c>
      <c r="E197" t="inlineStr">
        <is>
          <t>OVANÅKER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2379-2026</t>
        </is>
      </c>
      <c r="B198" s="1" t="n">
        <v>46036.65923611111</v>
      </c>
      <c r="C198" s="1" t="n">
        <v>46179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46960-2022</t>
        </is>
      </c>
      <c r="B199" s="1" t="n">
        <v>44851.94489583333</v>
      </c>
      <c r="C199" s="1" t="n">
        <v>46179</v>
      </c>
      <c r="D199" t="inlineStr">
        <is>
          <t>GÄVLEBORGS LÄN</t>
        </is>
      </c>
      <c r="E199" t="inlineStr">
        <is>
          <t>OVANÅKER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2334-2026</t>
        </is>
      </c>
      <c r="B200" s="1" t="n">
        <v>46036</v>
      </c>
      <c r="C200" s="1" t="n">
        <v>46179</v>
      </c>
      <c r="D200" t="inlineStr">
        <is>
          <t>GÄVLEBORGS LÄN</t>
        </is>
      </c>
      <c r="E200" t="inlineStr">
        <is>
          <t>OVANÅKER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63903-2025</t>
        </is>
      </c>
      <c r="B201" s="1" t="n">
        <v>46020</v>
      </c>
      <c r="C201" s="1" t="n">
        <v>46179</v>
      </c>
      <c r="D201" t="inlineStr">
        <is>
          <t>GÄVLEBORGS LÄN</t>
        </is>
      </c>
      <c r="E201" t="inlineStr">
        <is>
          <t>OVANÅKER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684-2026</t>
        </is>
      </c>
      <c r="B202" s="1" t="n">
        <v>46029</v>
      </c>
      <c r="C202" s="1" t="n">
        <v>46179</v>
      </c>
      <c r="D202" t="inlineStr">
        <is>
          <t>GÄVLEBORGS LÄN</t>
        </is>
      </c>
      <c r="E202" t="inlineStr">
        <is>
          <t>OVANÅKER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2255-2026</t>
        </is>
      </c>
      <c r="B203" s="1" t="n">
        <v>46036.55995370371</v>
      </c>
      <c r="C203" s="1" t="n">
        <v>46179</v>
      </c>
      <c r="D203" t="inlineStr">
        <is>
          <t>GÄVLEBORGS LÄN</t>
        </is>
      </c>
      <c r="E203" t="inlineStr">
        <is>
          <t>OVANÅKER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1976-2026</t>
        </is>
      </c>
      <c r="B204" s="1" t="n">
        <v>46035</v>
      </c>
      <c r="C204" s="1" t="n">
        <v>46179</v>
      </c>
      <c r="D204" t="inlineStr">
        <is>
          <t>GÄVLEBORGS LÄN</t>
        </is>
      </c>
      <c r="E204" t="inlineStr">
        <is>
          <t>OVANÅKER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2066-2026</t>
        </is>
      </c>
      <c r="B205" s="1" t="n">
        <v>46036.2512037037</v>
      </c>
      <c r="C205" s="1" t="n">
        <v>46179</v>
      </c>
      <c r="D205" t="inlineStr">
        <is>
          <t>GÄVLEBORGS LÄN</t>
        </is>
      </c>
      <c r="E205" t="inlineStr">
        <is>
          <t>OVANÅKER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37306-2024</t>
        </is>
      </c>
      <c r="B206" s="1" t="n">
        <v>45540</v>
      </c>
      <c r="C206" s="1" t="n">
        <v>46179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2264-2026</t>
        </is>
      </c>
      <c r="B207" s="1" t="n">
        <v>46036.56916666667</v>
      </c>
      <c r="C207" s="1" t="n">
        <v>46179</v>
      </c>
      <c r="D207" t="inlineStr">
        <is>
          <t>GÄVLEBORGS LÄN</t>
        </is>
      </c>
      <c r="E207" t="inlineStr">
        <is>
          <t>OVANÅKER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39083-2025</t>
        </is>
      </c>
      <c r="B208" s="1" t="n">
        <v>45888.48833333333</v>
      </c>
      <c r="C208" s="1" t="n">
        <v>46179</v>
      </c>
      <c r="D208" t="inlineStr">
        <is>
          <t>GÄVLEBORGS LÄN</t>
        </is>
      </c>
      <c r="E208" t="inlineStr">
        <is>
          <t>OVANÅKER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25278-2025</t>
        </is>
      </c>
      <c r="B209" s="1" t="n">
        <v>45800.55554398148</v>
      </c>
      <c r="C209" s="1" t="n">
        <v>46179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2144-2026</t>
        </is>
      </c>
      <c r="B210" s="1" t="n">
        <v>46036</v>
      </c>
      <c r="C210" s="1" t="n">
        <v>46179</v>
      </c>
      <c r="D210" t="inlineStr">
        <is>
          <t>GÄVLEBORGS LÄN</t>
        </is>
      </c>
      <c r="E210" t="inlineStr">
        <is>
          <t>OVANÅKER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25337-2025</t>
        </is>
      </c>
      <c r="B211" s="1" t="n">
        <v>45800.59858796297</v>
      </c>
      <c r="C211" s="1" t="n">
        <v>46179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2067-2026</t>
        </is>
      </c>
      <c r="B212" s="1" t="n">
        <v>46036</v>
      </c>
      <c r="C212" s="1" t="n">
        <v>46179</v>
      </c>
      <c r="D212" t="inlineStr">
        <is>
          <t>GÄVLEBORGS LÄN</t>
        </is>
      </c>
      <c r="E212" t="inlineStr">
        <is>
          <t>OVANÅKER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25289-2025</t>
        </is>
      </c>
      <c r="B213" s="1" t="n">
        <v>45800.5633912037</v>
      </c>
      <c r="C213" s="1" t="n">
        <v>46179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310-2026</t>
        </is>
      </c>
      <c r="B214" s="1" t="n">
        <v>46027</v>
      </c>
      <c r="C214" s="1" t="n">
        <v>46179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38980-2025</t>
        </is>
      </c>
      <c r="B215" s="1" t="n">
        <v>45888.27564814815</v>
      </c>
      <c r="C215" s="1" t="n">
        <v>46179</v>
      </c>
      <c r="D215" t="inlineStr">
        <is>
          <t>GÄVLEBORGS LÄN</t>
        </is>
      </c>
      <c r="E215" t="inlineStr">
        <is>
          <t>OVANÅKER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25281-2025</t>
        </is>
      </c>
      <c r="B216" s="1" t="n">
        <v>45800.5583912037</v>
      </c>
      <c r="C216" s="1" t="n">
        <v>46179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1961-2026</t>
        </is>
      </c>
      <c r="B217" s="1" t="n">
        <v>46035.62960648148</v>
      </c>
      <c r="C217" s="1" t="n">
        <v>46179</v>
      </c>
      <c r="D217" t="inlineStr">
        <is>
          <t>GÄVLEBORGS LÄN</t>
        </is>
      </c>
      <c r="E217" t="inlineStr">
        <is>
          <t>OVANÅKER</t>
        </is>
      </c>
      <c r="G217" t="n">
        <v>22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2092-2026</t>
        </is>
      </c>
      <c r="B218" s="1" t="n">
        <v>46036</v>
      </c>
      <c r="C218" s="1" t="n">
        <v>46179</v>
      </c>
      <c r="D218" t="inlineStr">
        <is>
          <t>GÄVLEBORGS LÄN</t>
        </is>
      </c>
      <c r="E218" t="inlineStr">
        <is>
          <t>OVANÅKER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2104-2026</t>
        </is>
      </c>
      <c r="B219" s="1" t="n">
        <v>46036</v>
      </c>
      <c r="C219" s="1" t="n">
        <v>46179</v>
      </c>
      <c r="D219" t="inlineStr">
        <is>
          <t>GÄVLEBORGS LÄN</t>
        </is>
      </c>
      <c r="E219" t="inlineStr">
        <is>
          <t>OVANÅKER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26028-2024</t>
        </is>
      </c>
      <c r="B220" s="1" t="n">
        <v>45467.96247685186</v>
      </c>
      <c r="C220" s="1" t="n">
        <v>46179</v>
      </c>
      <c r="D220" t="inlineStr">
        <is>
          <t>GÄVLEBORGS LÄN</t>
        </is>
      </c>
      <c r="E220" t="inlineStr">
        <is>
          <t>OVANÅKER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2152-2026</t>
        </is>
      </c>
      <c r="B221" s="1" t="n">
        <v>46036.41979166667</v>
      </c>
      <c r="C221" s="1" t="n">
        <v>46179</v>
      </c>
      <c r="D221" t="inlineStr">
        <is>
          <t>GÄVLEBORGS LÄN</t>
        </is>
      </c>
      <c r="E221" t="inlineStr">
        <is>
          <t>OVANÅKER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2199-2026</t>
        </is>
      </c>
      <c r="B222" s="1" t="n">
        <v>46036</v>
      </c>
      <c r="C222" s="1" t="n">
        <v>46179</v>
      </c>
      <c r="D222" t="inlineStr">
        <is>
          <t>GÄVLEBORGS LÄN</t>
        </is>
      </c>
      <c r="E222" t="inlineStr">
        <is>
          <t>OVANÅKER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1876-2026</t>
        </is>
      </c>
      <c r="B223" s="1" t="n">
        <v>46035</v>
      </c>
      <c r="C223" s="1" t="n">
        <v>46179</v>
      </c>
      <c r="D223" t="inlineStr">
        <is>
          <t>GÄVLEBORGS LÄN</t>
        </is>
      </c>
      <c r="E223" t="inlineStr">
        <is>
          <t>OVANÅKER</t>
        </is>
      </c>
      <c r="G223" t="n">
        <v>20.5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2137-2026</t>
        </is>
      </c>
      <c r="B224" s="1" t="n">
        <v>46036</v>
      </c>
      <c r="C224" s="1" t="n">
        <v>46179</v>
      </c>
      <c r="D224" t="inlineStr">
        <is>
          <t>GÄVLEBORGS LÄN</t>
        </is>
      </c>
      <c r="E224" t="inlineStr">
        <is>
          <t>OVANÅKER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2372-2026</t>
        </is>
      </c>
      <c r="B225" s="1" t="n">
        <v>46036.64865740741</v>
      </c>
      <c r="C225" s="1" t="n">
        <v>46179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2854-2026</t>
        </is>
      </c>
      <c r="B226" s="1" t="n">
        <v>46036</v>
      </c>
      <c r="C226" s="1" t="n">
        <v>46179</v>
      </c>
      <c r="D226" t="inlineStr">
        <is>
          <t>GÄVLEBORGS LÄN</t>
        </is>
      </c>
      <c r="E226" t="inlineStr">
        <is>
          <t>OVANÅKER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2933-2026</t>
        </is>
      </c>
      <c r="B227" s="1" t="n">
        <v>46036</v>
      </c>
      <c r="C227" s="1" t="n">
        <v>46179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25292-2025</t>
        </is>
      </c>
      <c r="B228" s="1" t="n">
        <v>45800.56613425926</v>
      </c>
      <c r="C228" s="1" t="n">
        <v>46179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2553-2026</t>
        </is>
      </c>
      <c r="B229" s="1" t="n">
        <v>46037.47199074074</v>
      </c>
      <c r="C229" s="1" t="n">
        <v>46179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2665-2026</t>
        </is>
      </c>
      <c r="B230" s="1" t="n">
        <v>46037.64099537037</v>
      </c>
      <c r="C230" s="1" t="n">
        <v>46179</v>
      </c>
      <c r="D230" t="inlineStr">
        <is>
          <t>GÄVLEBORGS LÄN</t>
        </is>
      </c>
      <c r="E230" t="inlineStr">
        <is>
          <t>OVANÅKER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2670-2026</t>
        </is>
      </c>
      <c r="B231" s="1" t="n">
        <v>46037.64554398148</v>
      </c>
      <c r="C231" s="1" t="n">
        <v>46179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2678-2026</t>
        </is>
      </c>
      <c r="B232" s="1" t="n">
        <v>46037</v>
      </c>
      <c r="C232" s="1" t="n">
        <v>46179</v>
      </c>
      <c r="D232" t="inlineStr">
        <is>
          <t>GÄVLEBORGS LÄN</t>
        </is>
      </c>
      <c r="E232" t="inlineStr">
        <is>
          <t>OVANÅKER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25193-2025</t>
        </is>
      </c>
      <c r="B233" s="1" t="n">
        <v>45800.4584837963</v>
      </c>
      <c r="C233" s="1" t="n">
        <v>46179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36252-2024</t>
        </is>
      </c>
      <c r="B234" s="1" t="n">
        <v>45534</v>
      </c>
      <c r="C234" s="1" t="n">
        <v>46179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36254-2024</t>
        </is>
      </c>
      <c r="B235" s="1" t="n">
        <v>45534</v>
      </c>
      <c r="C235" s="1" t="n">
        <v>46179</v>
      </c>
      <c r="D235" t="inlineStr">
        <is>
          <t>GÄVLEBORGS LÄN</t>
        </is>
      </c>
      <c r="E235" t="inlineStr">
        <is>
          <t>OVANÅKER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2833-2026</t>
        </is>
      </c>
      <c r="B236" s="1" t="n">
        <v>46038.45736111111</v>
      </c>
      <c r="C236" s="1" t="n">
        <v>46179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2847-2026</t>
        </is>
      </c>
      <c r="B237" s="1" t="n">
        <v>46038.47703703704</v>
      </c>
      <c r="C237" s="1" t="n">
        <v>46179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2848-2026</t>
        </is>
      </c>
      <c r="B238" s="1" t="n">
        <v>46038.47784722222</v>
      </c>
      <c r="C238" s="1" t="n">
        <v>46179</v>
      </c>
      <c r="D238" t="inlineStr">
        <is>
          <t>GÄVLEBORGS LÄN</t>
        </is>
      </c>
      <c r="E238" t="inlineStr">
        <is>
          <t>OVANÅKER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2652-2026</t>
        </is>
      </c>
      <c r="B239" s="1" t="n">
        <v>46037</v>
      </c>
      <c r="C239" s="1" t="n">
        <v>46179</v>
      </c>
      <c r="D239" t="inlineStr">
        <is>
          <t>GÄVLEBORGS LÄN</t>
        </is>
      </c>
      <c r="E239" t="inlineStr">
        <is>
          <t>OVANÅKER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2673-2026</t>
        </is>
      </c>
      <c r="B240" s="1" t="n">
        <v>46037</v>
      </c>
      <c r="C240" s="1" t="n">
        <v>46179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25104-2025</t>
        </is>
      </c>
      <c r="B241" s="1" t="n">
        <v>45800.34629629629</v>
      </c>
      <c r="C241" s="1" t="n">
        <v>46179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25283-2025</t>
        </is>
      </c>
      <c r="B242" s="1" t="n">
        <v>45800.5616087963</v>
      </c>
      <c r="C242" s="1" t="n">
        <v>46179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2891-2026</t>
        </is>
      </c>
      <c r="B243" s="1" t="n">
        <v>46037</v>
      </c>
      <c r="C243" s="1" t="n">
        <v>46179</v>
      </c>
      <c r="D243" t="inlineStr">
        <is>
          <t>GÄVLEBORGS LÄN</t>
        </is>
      </c>
      <c r="E243" t="inlineStr">
        <is>
          <t>OVANÅKER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2441-2026</t>
        </is>
      </c>
      <c r="B244" s="1" t="n">
        <v>46037</v>
      </c>
      <c r="C244" s="1" t="n">
        <v>46179</v>
      </c>
      <c r="D244" t="inlineStr">
        <is>
          <t>GÄVLEBORGS LÄN</t>
        </is>
      </c>
      <c r="E244" t="inlineStr">
        <is>
          <t>OVANÅKER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2830-2026</t>
        </is>
      </c>
      <c r="B245" s="1" t="n">
        <v>46038.45454861111</v>
      </c>
      <c r="C245" s="1" t="n">
        <v>46179</v>
      </c>
      <c r="D245" t="inlineStr">
        <is>
          <t>GÄVLEBORGS LÄN</t>
        </is>
      </c>
      <c r="E245" t="inlineStr">
        <is>
          <t>OVANÅKER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17392-2025</t>
        </is>
      </c>
      <c r="B246" s="1" t="n">
        <v>45757.33837962963</v>
      </c>
      <c r="C246" s="1" t="n">
        <v>46179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25022-2025</t>
        </is>
      </c>
      <c r="B247" s="1" t="n">
        <v>45799.64637731481</v>
      </c>
      <c r="C247" s="1" t="n">
        <v>46179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47917-2022</t>
        </is>
      </c>
      <c r="B248" s="1" t="n">
        <v>44855.49208333333</v>
      </c>
      <c r="C248" s="1" t="n">
        <v>46179</v>
      </c>
      <c r="D248" t="inlineStr">
        <is>
          <t>GÄVLEBORGS LÄN</t>
        </is>
      </c>
      <c r="E248" t="inlineStr">
        <is>
          <t>OVANÅKER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25110-2025</t>
        </is>
      </c>
      <c r="B249" s="1" t="n">
        <v>45800.3528125</v>
      </c>
      <c r="C249" s="1" t="n">
        <v>46179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25082-2025</t>
        </is>
      </c>
      <c r="B250" s="1" t="n">
        <v>45800.26887731482</v>
      </c>
      <c r="C250" s="1" t="n">
        <v>46179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25151-2025</t>
        </is>
      </c>
      <c r="B251" s="1" t="n">
        <v>45800.42427083333</v>
      </c>
      <c r="C251" s="1" t="n">
        <v>46179</v>
      </c>
      <c r="D251" t="inlineStr">
        <is>
          <t>GÄVLEBORGS LÄN</t>
        </is>
      </c>
      <c r="E251" t="inlineStr">
        <is>
          <t>OVANÅKER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39124-2025</t>
        </is>
      </c>
      <c r="B252" s="1" t="n">
        <v>45888.58320601852</v>
      </c>
      <c r="C252" s="1" t="n">
        <v>46179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43544-2024</t>
        </is>
      </c>
      <c r="B253" s="1" t="n">
        <v>45569.36675925926</v>
      </c>
      <c r="C253" s="1" t="n">
        <v>46179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60449-2022</t>
        </is>
      </c>
      <c r="B254" s="1" t="n">
        <v>44911.37099537037</v>
      </c>
      <c r="C254" s="1" t="n">
        <v>46179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25346-2025</t>
        </is>
      </c>
      <c r="B255" s="1" t="n">
        <v>45800.61052083333</v>
      </c>
      <c r="C255" s="1" t="n">
        <v>46179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25965-2025</t>
        </is>
      </c>
      <c r="B256" s="1" t="n">
        <v>45804.61806712963</v>
      </c>
      <c r="C256" s="1" t="n">
        <v>46179</v>
      </c>
      <c r="D256" t="inlineStr">
        <is>
          <t>GÄVLEBORGS LÄN</t>
        </is>
      </c>
      <c r="E256" t="inlineStr">
        <is>
          <t>OVANÅKER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36478-2025</t>
        </is>
      </c>
      <c r="B257" s="1" t="n">
        <v>45869.49104166667</v>
      </c>
      <c r="C257" s="1" t="n">
        <v>46179</v>
      </c>
      <c r="D257" t="inlineStr">
        <is>
          <t>GÄVLEBORGS LÄN</t>
        </is>
      </c>
      <c r="E257" t="inlineStr">
        <is>
          <t>OVANÅKER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60275-2022</t>
        </is>
      </c>
      <c r="B258" s="1" t="n">
        <v>44910</v>
      </c>
      <c r="C258" s="1" t="n">
        <v>46179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11476-2025</t>
        </is>
      </c>
      <c r="B259" s="1" t="n">
        <v>45726.67202546296</v>
      </c>
      <c r="C259" s="1" t="n">
        <v>46179</v>
      </c>
      <c r="D259" t="inlineStr">
        <is>
          <t>GÄVLEBORGS LÄN</t>
        </is>
      </c>
      <c r="E259" t="inlineStr">
        <is>
          <t>OVANÅKER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19629-2024</t>
        </is>
      </c>
      <c r="B260" s="1" t="n">
        <v>45432.36076388889</v>
      </c>
      <c r="C260" s="1" t="n">
        <v>46179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39611-2025</t>
        </is>
      </c>
      <c r="B261" s="1" t="n">
        <v>45890</v>
      </c>
      <c r="C261" s="1" t="n">
        <v>46179</v>
      </c>
      <c r="D261" t="inlineStr">
        <is>
          <t>GÄVLEBORGS LÄN</t>
        </is>
      </c>
      <c r="E261" t="inlineStr">
        <is>
          <t>OVANÅKER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39542-2025</t>
        </is>
      </c>
      <c r="B262" s="1" t="n">
        <v>45890.45476851852</v>
      </c>
      <c r="C262" s="1" t="n">
        <v>46179</v>
      </c>
      <c r="D262" t="inlineStr">
        <is>
          <t>GÄVLEBORGS LÄN</t>
        </is>
      </c>
      <c r="E262" t="inlineStr">
        <is>
          <t>OVANÅKER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33198-2024</t>
        </is>
      </c>
      <c r="B263" s="1" t="n">
        <v>45518</v>
      </c>
      <c r="C263" s="1" t="n">
        <v>46179</v>
      </c>
      <c r="D263" t="inlineStr">
        <is>
          <t>GÄVLEBORGS LÄN</t>
        </is>
      </c>
      <c r="E263" t="inlineStr">
        <is>
          <t>OVANÅKER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39538-2025</t>
        </is>
      </c>
      <c r="B264" s="1" t="n">
        <v>45890.45074074074</v>
      </c>
      <c r="C264" s="1" t="n">
        <v>46179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39449-2025</t>
        </is>
      </c>
      <c r="B265" s="1" t="n">
        <v>45889</v>
      </c>
      <c r="C265" s="1" t="n">
        <v>46179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39626-2025</t>
        </is>
      </c>
      <c r="B266" s="1" t="n">
        <v>45890</v>
      </c>
      <c r="C266" s="1" t="n">
        <v>46179</v>
      </c>
      <c r="D266" t="inlineStr">
        <is>
          <t>GÄVLEBORGS LÄN</t>
        </is>
      </c>
      <c r="E266" t="inlineStr">
        <is>
          <t>OVANÅKER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25650-2025</t>
        </is>
      </c>
      <c r="B267" s="1" t="n">
        <v>45803.61027777778</v>
      </c>
      <c r="C267" s="1" t="n">
        <v>46179</v>
      </c>
      <c r="D267" t="inlineStr">
        <is>
          <t>GÄVLEBORGS LÄN</t>
        </is>
      </c>
      <c r="E267" t="inlineStr">
        <is>
          <t>OVANÅKER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29046-2025</t>
        </is>
      </c>
      <c r="B268" s="1" t="n">
        <v>45821.45869212963</v>
      </c>
      <c r="C268" s="1" t="n">
        <v>46179</v>
      </c>
      <c r="D268" t="inlineStr">
        <is>
          <t>GÄVLEBORGS LÄN</t>
        </is>
      </c>
      <c r="E268" t="inlineStr">
        <is>
          <t>OVANÅKER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39710-2025</t>
        </is>
      </c>
      <c r="B269" s="1" t="n">
        <v>45890.85690972222</v>
      </c>
      <c r="C269" s="1" t="n">
        <v>46179</v>
      </c>
      <c r="D269" t="inlineStr">
        <is>
          <t>GÄVLEBORGS LÄN</t>
        </is>
      </c>
      <c r="E269" t="inlineStr">
        <is>
          <t>OVANÅKER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39715-2025</t>
        </is>
      </c>
      <c r="B270" s="1" t="n">
        <v>45891.27148148148</v>
      </c>
      <c r="C270" s="1" t="n">
        <v>46179</v>
      </c>
      <c r="D270" t="inlineStr">
        <is>
          <t>GÄVLEBORGS LÄN</t>
        </is>
      </c>
      <c r="E270" t="inlineStr">
        <is>
          <t>OVANÅKER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2851-2026</t>
        </is>
      </c>
      <c r="B271" s="1" t="n">
        <v>46038.48033564815</v>
      </c>
      <c r="C271" s="1" t="n">
        <v>46179</v>
      </c>
      <c r="D271" t="inlineStr">
        <is>
          <t>GÄVLEBORGS LÄN</t>
        </is>
      </c>
      <c r="E271" t="inlineStr">
        <is>
          <t>OVANÅKER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2758-2026</t>
        </is>
      </c>
      <c r="B272" s="1" t="n">
        <v>46038.34424768519</v>
      </c>
      <c r="C272" s="1" t="n">
        <v>46179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20331-2023</t>
        </is>
      </c>
      <c r="B273" s="1" t="n">
        <v>45056.4747337963</v>
      </c>
      <c r="C273" s="1" t="n">
        <v>46179</v>
      </c>
      <c r="D273" t="inlineStr">
        <is>
          <t>GÄVLEBORGS LÄN</t>
        </is>
      </c>
      <c r="E273" t="inlineStr">
        <is>
          <t>OVANÅKER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40489-2025</t>
        </is>
      </c>
      <c r="B274" s="1" t="n">
        <v>45895.89425925926</v>
      </c>
      <c r="C274" s="1" t="n">
        <v>46179</v>
      </c>
      <c r="D274" t="inlineStr">
        <is>
          <t>GÄVLEBORGS LÄN</t>
        </is>
      </c>
      <c r="E274" t="inlineStr">
        <is>
          <t>OVANÅKER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55371-2021</t>
        </is>
      </c>
      <c r="B275" s="1" t="n">
        <v>44475.49870370371</v>
      </c>
      <c r="C275" s="1" t="n">
        <v>46179</v>
      </c>
      <c r="D275" t="inlineStr">
        <is>
          <t>GÄVLEBORGS LÄN</t>
        </is>
      </c>
      <c r="E275" t="inlineStr">
        <is>
          <t>OVANÅKER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40491-2025</t>
        </is>
      </c>
      <c r="B276" s="1" t="n">
        <v>45895.92241898148</v>
      </c>
      <c r="C276" s="1" t="n">
        <v>46179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3044-2023</t>
        </is>
      </c>
      <c r="B277" s="1" t="n">
        <v>44946</v>
      </c>
      <c r="C277" s="1" t="n">
        <v>46179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40488-2025</t>
        </is>
      </c>
      <c r="B278" s="1" t="n">
        <v>45895.88559027778</v>
      </c>
      <c r="C278" s="1" t="n">
        <v>46179</v>
      </c>
      <c r="D278" t="inlineStr">
        <is>
          <t>GÄVLEBORGS LÄN</t>
        </is>
      </c>
      <c r="E278" t="inlineStr">
        <is>
          <t>OVANÅKER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15912-2024</t>
        </is>
      </c>
      <c r="B279" s="1" t="n">
        <v>45405.4396875</v>
      </c>
      <c r="C279" s="1" t="n">
        <v>46179</v>
      </c>
      <c r="D279" t="inlineStr">
        <is>
          <t>GÄVLEBORGS LÄN</t>
        </is>
      </c>
      <c r="E279" t="inlineStr">
        <is>
          <t>OVANÅKER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60779-2022</t>
        </is>
      </c>
      <c r="B280" s="1" t="n">
        <v>44914.38584490741</v>
      </c>
      <c r="C280" s="1" t="n">
        <v>46179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2744-2026</t>
        </is>
      </c>
      <c r="B281" s="1" t="n">
        <v>46038.30748842593</v>
      </c>
      <c r="C281" s="1" t="n">
        <v>46179</v>
      </c>
      <c r="D281" t="inlineStr">
        <is>
          <t>GÄVLEBORGS LÄN</t>
        </is>
      </c>
      <c r="E281" t="inlineStr">
        <is>
          <t>OVANÅKER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40986-2025</t>
        </is>
      </c>
      <c r="B282" s="1" t="n">
        <v>45898.30623842592</v>
      </c>
      <c r="C282" s="1" t="n">
        <v>46179</v>
      </c>
      <c r="D282" t="inlineStr">
        <is>
          <t>GÄVLEBORGS LÄN</t>
        </is>
      </c>
      <c r="E282" t="inlineStr">
        <is>
          <t>OVANÅKER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2445-2026</t>
        </is>
      </c>
      <c r="B283" s="1" t="n">
        <v>46037.32167824074</v>
      </c>
      <c r="C283" s="1" t="n">
        <v>46179</v>
      </c>
      <c r="D283" t="inlineStr">
        <is>
          <t>GÄVLEBORGS LÄN</t>
        </is>
      </c>
      <c r="E283" t="inlineStr">
        <is>
          <t>OVANÅKER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2446-2026</t>
        </is>
      </c>
      <c r="B284" s="1" t="n">
        <v>46037.32402777778</v>
      </c>
      <c r="C284" s="1" t="n">
        <v>46179</v>
      </c>
      <c r="D284" t="inlineStr">
        <is>
          <t>GÄVLEBORGS LÄN</t>
        </is>
      </c>
      <c r="E284" t="inlineStr">
        <is>
          <t>OVANÅKER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2546-2023</t>
        </is>
      </c>
      <c r="B285" s="1" t="n">
        <v>44943</v>
      </c>
      <c r="C285" s="1" t="n">
        <v>46179</v>
      </c>
      <c r="D285" t="inlineStr">
        <is>
          <t>GÄVLEBORGS LÄN</t>
        </is>
      </c>
      <c r="E285" t="inlineStr">
        <is>
          <t>OVANÅKER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13123-2023</t>
        </is>
      </c>
      <c r="B286" s="1" t="n">
        <v>45002.49291666667</v>
      </c>
      <c r="C286" s="1" t="n">
        <v>46179</v>
      </c>
      <c r="D286" t="inlineStr">
        <is>
          <t>GÄVLEBORGS LÄN</t>
        </is>
      </c>
      <c r="E286" t="inlineStr">
        <is>
          <t>OVANÅKER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2646-2026</t>
        </is>
      </c>
      <c r="B287" s="1" t="n">
        <v>46037</v>
      </c>
      <c r="C287" s="1" t="n">
        <v>46179</v>
      </c>
      <c r="D287" t="inlineStr">
        <is>
          <t>GÄVLEBORGS LÄN</t>
        </is>
      </c>
      <c r="E287" t="inlineStr">
        <is>
          <t>OVANÅKER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2655-2026</t>
        </is>
      </c>
      <c r="B288" s="1" t="n">
        <v>46037</v>
      </c>
      <c r="C288" s="1" t="n">
        <v>46179</v>
      </c>
      <c r="D288" t="inlineStr">
        <is>
          <t>GÄVLEBORGS LÄN</t>
        </is>
      </c>
      <c r="E288" t="inlineStr">
        <is>
          <t>OVANÅKER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41120-2025</t>
        </is>
      </c>
      <c r="B289" s="1" t="n">
        <v>45898.46620370371</v>
      </c>
      <c r="C289" s="1" t="n">
        <v>46179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2810-2026</t>
        </is>
      </c>
      <c r="B290" s="1" t="n">
        <v>46038.41835648148</v>
      </c>
      <c r="C290" s="1" t="n">
        <v>46179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7693-2024</t>
        </is>
      </c>
      <c r="B291" s="1" t="n">
        <v>45349.29034722222</v>
      </c>
      <c r="C291" s="1" t="n">
        <v>46179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53691-2022</t>
        </is>
      </c>
      <c r="B292" s="1" t="n">
        <v>44880.33012731482</v>
      </c>
      <c r="C292" s="1" t="n">
        <v>46179</v>
      </c>
      <c r="D292" t="inlineStr">
        <is>
          <t>GÄVLEBORGS LÄN</t>
        </is>
      </c>
      <c r="E292" t="inlineStr">
        <is>
          <t>OVANÅKER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2855-2026</t>
        </is>
      </c>
      <c r="B293" s="1" t="n">
        <v>46038.48296296296</v>
      </c>
      <c r="C293" s="1" t="n">
        <v>46179</v>
      </c>
      <c r="D293" t="inlineStr">
        <is>
          <t>GÄVLEBORGS LÄN</t>
        </is>
      </c>
      <c r="E293" t="inlineStr">
        <is>
          <t>OVANÅKER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2863-2026</t>
        </is>
      </c>
      <c r="B294" s="1" t="n">
        <v>46038.49546296296</v>
      </c>
      <c r="C294" s="1" t="n">
        <v>46179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2872-2026</t>
        </is>
      </c>
      <c r="B295" s="1" t="n">
        <v>46038</v>
      </c>
      <c r="C295" s="1" t="n">
        <v>46179</v>
      </c>
      <c r="D295" t="inlineStr">
        <is>
          <t>GÄVLEBORGS LÄN</t>
        </is>
      </c>
      <c r="E295" t="inlineStr">
        <is>
          <t>OVANÅKER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2589-2026</t>
        </is>
      </c>
      <c r="B296" s="1" t="n">
        <v>46037</v>
      </c>
      <c r="C296" s="1" t="n">
        <v>46179</v>
      </c>
      <c r="D296" t="inlineStr">
        <is>
          <t>GÄVLEBORGS LÄN</t>
        </is>
      </c>
      <c r="E296" t="inlineStr">
        <is>
          <t>OVANÅKER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2591-2026</t>
        </is>
      </c>
      <c r="B297" s="1" t="n">
        <v>46037</v>
      </c>
      <c r="C297" s="1" t="n">
        <v>46179</v>
      </c>
      <c r="D297" t="inlineStr">
        <is>
          <t>GÄVLEBORGS LÄN</t>
        </is>
      </c>
      <c r="E297" t="inlineStr">
        <is>
          <t>OVANÅKER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2608-2026</t>
        </is>
      </c>
      <c r="B298" s="1" t="n">
        <v>46037</v>
      </c>
      <c r="C298" s="1" t="n">
        <v>46179</v>
      </c>
      <c r="D298" t="inlineStr">
        <is>
          <t>GÄVLEBORGS LÄN</t>
        </is>
      </c>
      <c r="E298" t="inlineStr">
        <is>
          <t>OVANÅKER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40946-2025</t>
        </is>
      </c>
      <c r="B299" s="1" t="n">
        <v>45897.65844907407</v>
      </c>
      <c r="C299" s="1" t="n">
        <v>46179</v>
      </c>
      <c r="D299" t="inlineStr">
        <is>
          <t>GÄVLEBORGS LÄN</t>
        </is>
      </c>
      <c r="E299" t="inlineStr">
        <is>
          <t>OVANÅKER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1256-2025</t>
        </is>
      </c>
      <c r="B300" s="1" t="n">
        <v>45667</v>
      </c>
      <c r="C300" s="1" t="n">
        <v>46179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4475-2025</t>
        </is>
      </c>
      <c r="B301" s="1" t="n">
        <v>45686.62489583333</v>
      </c>
      <c r="C301" s="1" t="n">
        <v>46179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40979-2025</t>
        </is>
      </c>
      <c r="B302" s="1" t="n">
        <v>45898.2896875</v>
      </c>
      <c r="C302" s="1" t="n">
        <v>46179</v>
      </c>
      <c r="D302" t="inlineStr">
        <is>
          <t>GÄVLEBORGS LÄN</t>
        </is>
      </c>
      <c r="E302" t="inlineStr">
        <is>
          <t>OVANÅKER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43169-2023</t>
        </is>
      </c>
      <c r="B303" s="1" t="n">
        <v>45183.3571875</v>
      </c>
      <c r="C303" s="1" t="n">
        <v>46179</v>
      </c>
      <c r="D303" t="inlineStr">
        <is>
          <t>GÄVLEBORGS LÄN</t>
        </is>
      </c>
      <c r="E303" t="inlineStr">
        <is>
          <t>OVANÅKER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13683-2024</t>
        </is>
      </c>
      <c r="B304" s="1" t="n">
        <v>45390.55900462963</v>
      </c>
      <c r="C304" s="1" t="n">
        <v>46179</v>
      </c>
      <c r="D304" t="inlineStr">
        <is>
          <t>GÄVLEBORGS LÄN</t>
        </is>
      </c>
      <c r="E304" t="inlineStr">
        <is>
          <t>OVANÅKER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41684-2025</t>
        </is>
      </c>
      <c r="B305" s="1" t="n">
        <v>45902.38506944444</v>
      </c>
      <c r="C305" s="1" t="n">
        <v>46179</v>
      </c>
      <c r="D305" t="inlineStr">
        <is>
          <t>GÄVLEBORGS LÄN</t>
        </is>
      </c>
      <c r="E305" t="inlineStr">
        <is>
          <t>OVANÅKER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43521-2024</t>
        </is>
      </c>
      <c r="B306" s="1" t="n">
        <v>45569.33457175926</v>
      </c>
      <c r="C306" s="1" t="n">
        <v>46179</v>
      </c>
      <c r="D306" t="inlineStr">
        <is>
          <t>GÄVLEBORGS LÄN</t>
        </is>
      </c>
      <c r="E306" t="inlineStr">
        <is>
          <t>OVANÅKER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41682-2025</t>
        </is>
      </c>
      <c r="B307" s="1" t="n">
        <v>45902.38340277778</v>
      </c>
      <c r="C307" s="1" t="n">
        <v>46179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2669-2026</t>
        </is>
      </c>
      <c r="B308" s="1" t="n">
        <v>46037</v>
      </c>
      <c r="C308" s="1" t="n">
        <v>46179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2738-2026</t>
        </is>
      </c>
      <c r="B309" s="1" t="n">
        <v>46038.27115740741</v>
      </c>
      <c r="C309" s="1" t="n">
        <v>46179</v>
      </c>
      <c r="D309" t="inlineStr">
        <is>
          <t>GÄVLEBORGS LÄN</t>
        </is>
      </c>
      <c r="E309" t="inlineStr">
        <is>
          <t>OVANÅKER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26654-2025</t>
        </is>
      </c>
      <c r="B310" s="1" t="n">
        <v>45810.38966435185</v>
      </c>
      <c r="C310" s="1" t="n">
        <v>46179</v>
      </c>
      <c r="D310" t="inlineStr">
        <is>
          <t>GÄVLEBORGS LÄN</t>
        </is>
      </c>
      <c r="E310" t="inlineStr">
        <is>
          <t>OVANÅKER</t>
        </is>
      </c>
      <c r="F310" t="inlineStr">
        <is>
          <t>Kyrkan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45534-2024</t>
        </is>
      </c>
      <c r="B311" s="1" t="n">
        <v>45579.30975694444</v>
      </c>
      <c r="C311" s="1" t="n">
        <v>46179</v>
      </c>
      <c r="D311" t="inlineStr">
        <is>
          <t>GÄVLEBORGS LÄN</t>
        </is>
      </c>
      <c r="E311" t="inlineStr">
        <is>
          <t>OVANÅKER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45546-2024</t>
        </is>
      </c>
      <c r="B312" s="1" t="n">
        <v>45579.3425462963</v>
      </c>
      <c r="C312" s="1" t="n">
        <v>46179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52423-2023</t>
        </is>
      </c>
      <c r="B313" s="1" t="n">
        <v>45225.32539351852</v>
      </c>
      <c r="C313" s="1" t="n">
        <v>46179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2755-2026</t>
        </is>
      </c>
      <c r="B314" s="1" t="n">
        <v>46038.34326388889</v>
      </c>
      <c r="C314" s="1" t="n">
        <v>46179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23251-2022</t>
        </is>
      </c>
      <c r="B315" s="1" t="n">
        <v>44720.37357638889</v>
      </c>
      <c r="C315" s="1" t="n">
        <v>46179</v>
      </c>
      <c r="D315" t="inlineStr">
        <is>
          <t>GÄVLEBORGS LÄN</t>
        </is>
      </c>
      <c r="E315" t="inlineStr">
        <is>
          <t>OVANÅKER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42263-2025</t>
        </is>
      </c>
      <c r="B316" s="1" t="n">
        <v>45904.59862268518</v>
      </c>
      <c r="C316" s="1" t="n">
        <v>46179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59253-2023</t>
        </is>
      </c>
      <c r="B317" s="1" t="n">
        <v>45253</v>
      </c>
      <c r="C317" s="1" t="n">
        <v>46179</v>
      </c>
      <c r="D317" t="inlineStr">
        <is>
          <t>GÄVLEBORGS LÄN</t>
        </is>
      </c>
      <c r="E317" t="inlineStr">
        <is>
          <t>OVANÅKER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2912-2026</t>
        </is>
      </c>
      <c r="B318" s="1" t="n">
        <v>46038.56696759259</v>
      </c>
      <c r="C318" s="1" t="n">
        <v>46179</v>
      </c>
      <c r="D318" t="inlineStr">
        <is>
          <t>GÄVLEBORGS LÄN</t>
        </is>
      </c>
      <c r="E318" t="inlineStr">
        <is>
          <t>OVANÅKER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2659-2026</t>
        </is>
      </c>
      <c r="B319" s="1" t="n">
        <v>46037</v>
      </c>
      <c r="C319" s="1" t="n">
        <v>46179</v>
      </c>
      <c r="D319" t="inlineStr">
        <is>
          <t>GÄVLEBORGS LÄN</t>
        </is>
      </c>
      <c r="E319" t="inlineStr">
        <is>
          <t>OVANÅKER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2598-2026</t>
        </is>
      </c>
      <c r="B320" s="1" t="n">
        <v>46037</v>
      </c>
      <c r="C320" s="1" t="n">
        <v>46179</v>
      </c>
      <c r="D320" t="inlineStr">
        <is>
          <t>GÄVLEBORGS LÄN</t>
        </is>
      </c>
      <c r="E320" t="inlineStr">
        <is>
          <t>OVANÅKER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2604-2026</t>
        </is>
      </c>
      <c r="B321" s="1" t="n">
        <v>46037</v>
      </c>
      <c r="C321" s="1" t="n">
        <v>46179</v>
      </c>
      <c r="D321" t="inlineStr">
        <is>
          <t>GÄVLEBORGS LÄN</t>
        </is>
      </c>
      <c r="E321" t="inlineStr">
        <is>
          <t>OVANÅKER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2605-2026</t>
        </is>
      </c>
      <c r="B322" s="1" t="n">
        <v>46037</v>
      </c>
      <c r="C322" s="1" t="n">
        <v>46179</v>
      </c>
      <c r="D322" t="inlineStr">
        <is>
          <t>GÄVLEBORGS LÄN</t>
        </is>
      </c>
      <c r="E322" t="inlineStr">
        <is>
          <t>OVANÅKER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42266-2025</t>
        </is>
      </c>
      <c r="B323" s="1" t="n">
        <v>45904.60201388889</v>
      </c>
      <c r="C323" s="1" t="n">
        <v>46179</v>
      </c>
      <c r="D323" t="inlineStr">
        <is>
          <t>GÄVLEBORGS LÄN</t>
        </is>
      </c>
      <c r="E323" t="inlineStr">
        <is>
          <t>OVANÅKER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42272-2025</t>
        </is>
      </c>
      <c r="B324" s="1" t="n">
        <v>45904.60482638889</v>
      </c>
      <c r="C324" s="1" t="n">
        <v>46179</v>
      </c>
      <c r="D324" t="inlineStr">
        <is>
          <t>GÄVLEBORGS LÄN</t>
        </is>
      </c>
      <c r="E324" t="inlineStr">
        <is>
          <t>OVANÅKER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293-2026</t>
        </is>
      </c>
      <c r="B325" s="1" t="n">
        <v>46027</v>
      </c>
      <c r="C325" s="1" t="n">
        <v>46179</v>
      </c>
      <c r="D325" t="inlineStr">
        <is>
          <t>GÄVLEBORGS LÄN</t>
        </is>
      </c>
      <c r="E325" t="inlineStr">
        <is>
          <t>OVANÅKER</t>
        </is>
      </c>
      <c r="G325" t="n">
        <v>27.8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2634-2026</t>
        </is>
      </c>
      <c r="B326" s="1" t="n">
        <v>46037</v>
      </c>
      <c r="C326" s="1" t="n">
        <v>46179</v>
      </c>
      <c r="D326" t="inlineStr">
        <is>
          <t>GÄVLEBORGS LÄN</t>
        </is>
      </c>
      <c r="E326" t="inlineStr">
        <is>
          <t>OVANÅKER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2808-2026</t>
        </is>
      </c>
      <c r="B327" s="1" t="n">
        <v>46038.41706018519</v>
      </c>
      <c r="C327" s="1" t="n">
        <v>46179</v>
      </c>
      <c r="D327" t="inlineStr">
        <is>
          <t>GÄVLEBORGS LÄN</t>
        </is>
      </c>
      <c r="E327" t="inlineStr">
        <is>
          <t>OVANÅKER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60778-2022</t>
        </is>
      </c>
      <c r="B328" s="1" t="n">
        <v>44914.38366898148</v>
      </c>
      <c r="C328" s="1" t="n">
        <v>46179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42259-2025</t>
        </is>
      </c>
      <c r="B329" s="1" t="n">
        <v>45904.5949537037</v>
      </c>
      <c r="C329" s="1" t="n">
        <v>46179</v>
      </c>
      <c r="D329" t="inlineStr">
        <is>
          <t>GÄVLEBORGS LÄN</t>
        </is>
      </c>
      <c r="E329" t="inlineStr">
        <is>
          <t>OVANÅKER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37391-2025</t>
        </is>
      </c>
      <c r="B330" s="1" t="n">
        <v>45877.40203703703</v>
      </c>
      <c r="C330" s="1" t="n">
        <v>46179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3357-2026</t>
        </is>
      </c>
      <c r="B331" s="1" t="n">
        <v>46042</v>
      </c>
      <c r="C331" s="1" t="n">
        <v>46179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42356-2025</t>
        </is>
      </c>
      <c r="B332" s="1" t="n">
        <v>45905.29364583334</v>
      </c>
      <c r="C332" s="1" t="n">
        <v>46179</v>
      </c>
      <c r="D332" t="inlineStr">
        <is>
          <t>GÄVLEBORGS LÄN</t>
        </is>
      </c>
      <c r="E332" t="inlineStr">
        <is>
          <t>OVANÅKER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882-2026</t>
        </is>
      </c>
      <c r="B333" s="1" t="n">
        <v>46030</v>
      </c>
      <c r="C333" s="1" t="n">
        <v>46179</v>
      </c>
      <c r="D333" t="inlineStr">
        <is>
          <t>GÄVLEBORGS LÄN</t>
        </is>
      </c>
      <c r="E333" t="inlineStr">
        <is>
          <t>OVANÅKER</t>
        </is>
      </c>
      <c r="G333" t="n">
        <v>19.1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28835-2025</t>
        </is>
      </c>
      <c r="B334" s="1" t="n">
        <v>45820.55809027778</v>
      </c>
      <c r="C334" s="1" t="n">
        <v>46179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27628-2025</t>
        </is>
      </c>
      <c r="B335" s="1" t="n">
        <v>45813.5585300926</v>
      </c>
      <c r="C335" s="1" t="n">
        <v>46179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3612-2026</t>
        </is>
      </c>
      <c r="B336" s="1" t="n">
        <v>46042</v>
      </c>
      <c r="C336" s="1" t="n">
        <v>46179</v>
      </c>
      <c r="D336" t="inlineStr">
        <is>
          <t>GÄVLEBORGS LÄN</t>
        </is>
      </c>
      <c r="E336" t="inlineStr">
        <is>
          <t>OVANÅKER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23014-2022</t>
        </is>
      </c>
      <c r="B337" s="1" t="n">
        <v>44719.36284722222</v>
      </c>
      <c r="C337" s="1" t="n">
        <v>46179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3159-2026</t>
        </is>
      </c>
      <c r="B338" s="1" t="n">
        <v>46041.43336805556</v>
      </c>
      <c r="C338" s="1" t="n">
        <v>46179</v>
      </c>
      <c r="D338" t="inlineStr">
        <is>
          <t>GÄVLEBORGS LÄN</t>
        </is>
      </c>
      <c r="E338" t="inlineStr">
        <is>
          <t>OVANÅKER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3160-2026</t>
        </is>
      </c>
      <c r="B339" s="1" t="n">
        <v>46041.43505787037</v>
      </c>
      <c r="C339" s="1" t="n">
        <v>46179</v>
      </c>
      <c r="D339" t="inlineStr">
        <is>
          <t>GÄVLEBORGS LÄN</t>
        </is>
      </c>
      <c r="E339" t="inlineStr">
        <is>
          <t>OVANÅKER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3123-2026</t>
        </is>
      </c>
      <c r="B340" s="1" t="n">
        <v>46041.37456018518</v>
      </c>
      <c r="C340" s="1" t="n">
        <v>46179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3358-2026</t>
        </is>
      </c>
      <c r="B341" s="1" t="n">
        <v>46042.28265046296</v>
      </c>
      <c r="C341" s="1" t="n">
        <v>46179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27668-2025</t>
        </is>
      </c>
      <c r="B342" s="1" t="n">
        <v>45813.6222337963</v>
      </c>
      <c r="C342" s="1" t="n">
        <v>46179</v>
      </c>
      <c r="D342" t="inlineStr">
        <is>
          <t>GÄVLEBORGS LÄN</t>
        </is>
      </c>
      <c r="E342" t="inlineStr">
        <is>
          <t>OVANÅKER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3611-2026</t>
        </is>
      </c>
      <c r="B343" s="1" t="n">
        <v>46042</v>
      </c>
      <c r="C343" s="1" t="n">
        <v>46179</v>
      </c>
      <c r="D343" t="inlineStr">
        <is>
          <t>GÄVLEBORGS LÄN</t>
        </is>
      </c>
      <c r="E343" t="inlineStr">
        <is>
          <t>OVANÅKER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3148-2026</t>
        </is>
      </c>
      <c r="B344" s="1" t="n">
        <v>46041.42393518519</v>
      </c>
      <c r="C344" s="1" t="n">
        <v>46179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27623-2025</t>
        </is>
      </c>
      <c r="B345" s="1" t="n">
        <v>45813.55280092593</v>
      </c>
      <c r="C345" s="1" t="n">
        <v>46179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3267-2026</t>
        </is>
      </c>
      <c r="B346" s="1" t="n">
        <v>46041.60144675926</v>
      </c>
      <c r="C346" s="1" t="n">
        <v>46179</v>
      </c>
      <c r="D346" t="inlineStr">
        <is>
          <t>GÄVLEBORGS LÄN</t>
        </is>
      </c>
      <c r="E346" t="inlineStr">
        <is>
          <t>OVANÅKER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3132-2026</t>
        </is>
      </c>
      <c r="B347" s="1" t="n">
        <v>46041</v>
      </c>
      <c r="C347" s="1" t="n">
        <v>46179</v>
      </c>
      <c r="D347" t="inlineStr">
        <is>
          <t>GÄVLEBORGS LÄN</t>
        </is>
      </c>
      <c r="E347" t="inlineStr">
        <is>
          <t>OVANÅKER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3166-2026</t>
        </is>
      </c>
      <c r="B348" s="1" t="n">
        <v>46041.43858796296</v>
      </c>
      <c r="C348" s="1" t="n">
        <v>46179</v>
      </c>
      <c r="D348" t="inlineStr">
        <is>
          <t>GÄVLEBORGS LÄN</t>
        </is>
      </c>
      <c r="E348" t="inlineStr">
        <is>
          <t>OVANÅKER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3126-2026</t>
        </is>
      </c>
      <c r="B349" s="1" t="n">
        <v>46041.37792824074</v>
      </c>
      <c r="C349" s="1" t="n">
        <v>46179</v>
      </c>
      <c r="D349" t="inlineStr">
        <is>
          <t>GÄVLEBORGS LÄN</t>
        </is>
      </c>
      <c r="E349" t="inlineStr">
        <is>
          <t>OVANÅKER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3151-2026</t>
        </is>
      </c>
      <c r="B350" s="1" t="n">
        <v>46041.42621527778</v>
      </c>
      <c r="C350" s="1" t="n">
        <v>46179</v>
      </c>
      <c r="D350" t="inlineStr">
        <is>
          <t>GÄVLEBORGS LÄN</t>
        </is>
      </c>
      <c r="E350" t="inlineStr">
        <is>
          <t>OVANÅKER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3168-2026</t>
        </is>
      </c>
      <c r="B351" s="1" t="n">
        <v>46041.44018518519</v>
      </c>
      <c r="C351" s="1" t="n">
        <v>46179</v>
      </c>
      <c r="D351" t="inlineStr">
        <is>
          <t>GÄVLEBORGS LÄN</t>
        </is>
      </c>
      <c r="E351" t="inlineStr">
        <is>
          <t>OVANÅKER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36257-2024</t>
        </is>
      </c>
      <c r="B352" s="1" t="n">
        <v>45534</v>
      </c>
      <c r="C352" s="1" t="n">
        <v>46179</v>
      </c>
      <c r="D352" t="inlineStr">
        <is>
          <t>GÄVLEBORGS LÄN</t>
        </is>
      </c>
      <c r="E352" t="inlineStr">
        <is>
          <t>OVANÅKER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3427-2026</t>
        </is>
      </c>
      <c r="B353" s="1" t="n">
        <v>46042</v>
      </c>
      <c r="C353" s="1" t="n">
        <v>46179</v>
      </c>
      <c r="D353" t="inlineStr">
        <is>
          <t>GÄVLEBORGS LÄN</t>
        </is>
      </c>
      <c r="E353" t="inlineStr">
        <is>
          <t>OVANÅKER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3994-2026</t>
        </is>
      </c>
      <c r="B354" s="1" t="n">
        <v>46044</v>
      </c>
      <c r="C354" s="1" t="n">
        <v>46179</v>
      </c>
      <c r="D354" t="inlineStr">
        <is>
          <t>GÄVLEBORGS LÄN</t>
        </is>
      </c>
      <c r="E354" t="inlineStr">
        <is>
          <t>OVANÅKER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4000-2026</t>
        </is>
      </c>
      <c r="B355" s="1" t="n">
        <v>46044</v>
      </c>
      <c r="C355" s="1" t="n">
        <v>46179</v>
      </c>
      <c r="D355" t="inlineStr">
        <is>
          <t>GÄVLEBORGS LÄN</t>
        </is>
      </c>
      <c r="E355" t="inlineStr">
        <is>
          <t>OVANÅKER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8967-2022</t>
        </is>
      </c>
      <c r="B356" s="1" t="n">
        <v>44614</v>
      </c>
      <c r="C356" s="1" t="n">
        <v>46179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3758-2026</t>
        </is>
      </c>
      <c r="B357" s="1" t="n">
        <v>46043.55298611111</v>
      </c>
      <c r="C357" s="1" t="n">
        <v>46179</v>
      </c>
      <c r="D357" t="inlineStr">
        <is>
          <t>GÄVLEBORGS LÄN</t>
        </is>
      </c>
      <c r="E357" t="inlineStr">
        <is>
          <t>OVANÅKER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4196-2026</t>
        </is>
      </c>
      <c r="B358" s="1" t="n">
        <v>46044</v>
      </c>
      <c r="C358" s="1" t="n">
        <v>46179</v>
      </c>
      <c r="D358" t="inlineStr">
        <is>
          <t>GÄVLEBORGS LÄN</t>
        </is>
      </c>
      <c r="E358" t="inlineStr">
        <is>
          <t>OVANÅKER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4015-2026</t>
        </is>
      </c>
      <c r="B359" s="1" t="n">
        <v>46044.42033564814</v>
      </c>
      <c r="C359" s="1" t="n">
        <v>46179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27964-2025</t>
        </is>
      </c>
      <c r="B360" s="1" t="n">
        <v>45817.55414351852</v>
      </c>
      <c r="C360" s="1" t="n">
        <v>46179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14.8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27880-2025</t>
        </is>
      </c>
      <c r="B361" s="1" t="n">
        <v>45817.44366898148</v>
      </c>
      <c r="C361" s="1" t="n">
        <v>46179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4136-2026</t>
        </is>
      </c>
      <c r="B362" s="1" t="n">
        <v>46044</v>
      </c>
      <c r="C362" s="1" t="n">
        <v>46179</v>
      </c>
      <c r="D362" t="inlineStr">
        <is>
          <t>GÄVLEBORGS LÄN</t>
        </is>
      </c>
      <c r="E362" t="inlineStr">
        <is>
          <t>OVANÅKER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4153-2026</t>
        </is>
      </c>
      <c r="B363" s="1" t="n">
        <v>46044.65068287037</v>
      </c>
      <c r="C363" s="1" t="n">
        <v>46179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4164-2026</t>
        </is>
      </c>
      <c r="B364" s="1" t="n">
        <v>46044</v>
      </c>
      <c r="C364" s="1" t="n">
        <v>46179</v>
      </c>
      <c r="D364" t="inlineStr">
        <is>
          <t>GÄVLEBORGS LÄN</t>
        </is>
      </c>
      <c r="E364" t="inlineStr">
        <is>
          <t>OVANÅKER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4118-2026</t>
        </is>
      </c>
      <c r="B365" s="1" t="n">
        <v>46044.60738425926</v>
      </c>
      <c r="C365" s="1" t="n">
        <v>46179</v>
      </c>
      <c r="D365" t="inlineStr">
        <is>
          <t>GÄVLEBORGS LÄN</t>
        </is>
      </c>
      <c r="E365" t="inlineStr">
        <is>
          <t>OVANÅKER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3632-2026</t>
        </is>
      </c>
      <c r="B366" s="1" t="n">
        <v>46043.33771990741</v>
      </c>
      <c r="C366" s="1" t="n">
        <v>46179</v>
      </c>
      <c r="D366" t="inlineStr">
        <is>
          <t>GÄVLEBORGS LÄN</t>
        </is>
      </c>
      <c r="E366" t="inlineStr">
        <is>
          <t>OVANÅKER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32686-2024</t>
        </is>
      </c>
      <c r="B367" s="1" t="n">
        <v>45515.68230324074</v>
      </c>
      <c r="C367" s="1" t="n">
        <v>46179</v>
      </c>
      <c r="D367" t="inlineStr">
        <is>
          <t>GÄVLEBORGS LÄN</t>
        </is>
      </c>
      <c r="E367" t="inlineStr">
        <is>
          <t>OVANÅKER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27903-2025</t>
        </is>
      </c>
      <c r="B368" s="1" t="n">
        <v>45817.46649305556</v>
      </c>
      <c r="C368" s="1" t="n">
        <v>46179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3998-2026</t>
        </is>
      </c>
      <c r="B369" s="1" t="n">
        <v>46044</v>
      </c>
      <c r="C369" s="1" t="n">
        <v>46179</v>
      </c>
      <c r="D369" t="inlineStr">
        <is>
          <t>GÄVLEBORGS LÄN</t>
        </is>
      </c>
      <c r="E369" t="inlineStr">
        <is>
          <t>OVANÅKER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27834-2025</t>
        </is>
      </c>
      <c r="B370" s="1" t="n">
        <v>45817.36806712963</v>
      </c>
      <c r="C370" s="1" t="n">
        <v>46179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33945-2024</t>
        </is>
      </c>
      <c r="B371" s="1" t="n">
        <v>45523.45549768519</v>
      </c>
      <c r="C371" s="1" t="n">
        <v>46179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3755-2026</t>
        </is>
      </c>
      <c r="B372" s="1" t="n">
        <v>46043.55116898148</v>
      </c>
      <c r="C372" s="1" t="n">
        <v>46179</v>
      </c>
      <c r="D372" t="inlineStr">
        <is>
          <t>GÄVLEBORGS LÄN</t>
        </is>
      </c>
      <c r="E372" t="inlineStr">
        <is>
          <t>OVANÅKER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3586-2025</t>
        </is>
      </c>
      <c r="B373" s="1" t="n">
        <v>45680.83643518519</v>
      </c>
      <c r="C373" s="1" t="n">
        <v>46179</v>
      </c>
      <c r="D373" t="inlineStr">
        <is>
          <t>GÄVLEBORGS LÄN</t>
        </is>
      </c>
      <c r="E373" t="inlineStr">
        <is>
          <t>OVANÅKER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3587-2025</t>
        </is>
      </c>
      <c r="B374" s="1" t="n">
        <v>45680.87159722222</v>
      </c>
      <c r="C374" s="1" t="n">
        <v>46179</v>
      </c>
      <c r="D374" t="inlineStr">
        <is>
          <t>GÄVLEBORGS LÄN</t>
        </is>
      </c>
      <c r="E374" t="inlineStr">
        <is>
          <t>OVANÅKER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4163-2026</t>
        </is>
      </c>
      <c r="B375" s="1" t="n">
        <v>46044.65936342593</v>
      </c>
      <c r="C375" s="1" t="n">
        <v>46179</v>
      </c>
      <c r="D375" t="inlineStr">
        <is>
          <t>GÄVLEBORGS LÄN</t>
        </is>
      </c>
      <c r="E375" t="inlineStr">
        <is>
          <t>OVANÅKER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730-2026</t>
        </is>
      </c>
      <c r="B376" s="1" t="n">
        <v>46029</v>
      </c>
      <c r="C376" s="1" t="n">
        <v>46179</v>
      </c>
      <c r="D376" t="inlineStr">
        <is>
          <t>GÄVLEBORGS LÄN</t>
        </is>
      </c>
      <c r="E376" t="inlineStr">
        <is>
          <t>OVANÅKER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3782-2026</t>
        </is>
      </c>
      <c r="B377" s="1" t="n">
        <v>46043.57074074074</v>
      </c>
      <c r="C377" s="1" t="n">
        <v>46179</v>
      </c>
      <c r="D377" t="inlineStr">
        <is>
          <t>GÄVLEBORGS LÄN</t>
        </is>
      </c>
      <c r="E377" t="inlineStr">
        <is>
          <t>OVANÅKER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3786-2026</t>
        </is>
      </c>
      <c r="B378" s="1" t="n">
        <v>46043.57211805556</v>
      </c>
      <c r="C378" s="1" t="n">
        <v>46179</v>
      </c>
      <c r="D378" t="inlineStr">
        <is>
          <t>GÄVLEBORGS LÄN</t>
        </is>
      </c>
      <c r="E378" t="inlineStr">
        <is>
          <t>OVANÅKER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3851-2026</t>
        </is>
      </c>
      <c r="B379" s="1" t="n">
        <v>46043</v>
      </c>
      <c r="C379" s="1" t="n">
        <v>46179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3987-2026</t>
        </is>
      </c>
      <c r="B380" s="1" t="n">
        <v>46044</v>
      </c>
      <c r="C380" s="1" t="n">
        <v>46179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36118-2025</t>
        </is>
      </c>
      <c r="B381" s="1" t="n">
        <v>45866.5916087963</v>
      </c>
      <c r="C381" s="1" t="n">
        <v>46179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41415-2025</t>
        </is>
      </c>
      <c r="B382" s="1" t="n">
        <v>45901</v>
      </c>
      <c r="C382" s="1" t="n">
        <v>46179</v>
      </c>
      <c r="D382" t="inlineStr">
        <is>
          <t>GÄVLEBORGS LÄN</t>
        </is>
      </c>
      <c r="E382" t="inlineStr">
        <is>
          <t>OVANÅKER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2881-2026</t>
        </is>
      </c>
      <c r="B383" s="1" t="n">
        <v>46038.53582175926</v>
      </c>
      <c r="C383" s="1" t="n">
        <v>46179</v>
      </c>
      <c r="D383" t="inlineStr">
        <is>
          <t>GÄVLEBORGS LÄN</t>
        </is>
      </c>
      <c r="E383" t="inlineStr">
        <is>
          <t>OVANÅKER</t>
        </is>
      </c>
      <c r="G383" t="n">
        <v>22.3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4269-2026</t>
        </is>
      </c>
      <c r="B384" s="1" t="n">
        <v>46045.35165509259</v>
      </c>
      <c r="C384" s="1" t="n">
        <v>46179</v>
      </c>
      <c r="D384" t="inlineStr">
        <is>
          <t>GÄVLEBORGS LÄN</t>
        </is>
      </c>
      <c r="E384" t="inlineStr">
        <is>
          <t>OVANÅKER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3109-2026</t>
        </is>
      </c>
      <c r="B385" s="1" t="n">
        <v>46041.35664351852</v>
      </c>
      <c r="C385" s="1" t="n">
        <v>46179</v>
      </c>
      <c r="D385" t="inlineStr">
        <is>
          <t>GÄVLEBORGS LÄN</t>
        </is>
      </c>
      <c r="E385" t="inlineStr">
        <is>
          <t>OVANÅKER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4440-2026</t>
        </is>
      </c>
      <c r="B386" s="1" t="n">
        <v>46045</v>
      </c>
      <c r="C386" s="1" t="n">
        <v>46179</v>
      </c>
      <c r="D386" t="inlineStr">
        <is>
          <t>GÄVLEBORGS LÄN</t>
        </is>
      </c>
      <c r="E386" t="inlineStr">
        <is>
          <t>OVANÅKER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4480-2026</t>
        </is>
      </c>
      <c r="B387" s="1" t="n">
        <v>46045</v>
      </c>
      <c r="C387" s="1" t="n">
        <v>46179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10593-2025</t>
        </is>
      </c>
      <c r="B388" s="1" t="n">
        <v>45721.56726851852</v>
      </c>
      <c r="C388" s="1" t="n">
        <v>46179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28048-2025</t>
        </is>
      </c>
      <c r="B389" s="1" t="n">
        <v>45817.65453703704</v>
      </c>
      <c r="C389" s="1" t="n">
        <v>46179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43018-2025</t>
        </is>
      </c>
      <c r="B390" s="1" t="n">
        <v>45909</v>
      </c>
      <c r="C390" s="1" t="n">
        <v>46179</v>
      </c>
      <c r="D390" t="inlineStr">
        <is>
          <t>GÄVLEBORGS LÄN</t>
        </is>
      </c>
      <c r="E390" t="inlineStr">
        <is>
          <t>OVANÅKER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10689-2025</t>
        </is>
      </c>
      <c r="B391" s="1" t="n">
        <v>45722.29954861111</v>
      </c>
      <c r="C391" s="1" t="n">
        <v>46179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60417-2023</t>
        </is>
      </c>
      <c r="B392" s="1" t="n">
        <v>45259.49364583333</v>
      </c>
      <c r="C392" s="1" t="n">
        <v>46179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43021-2025</t>
        </is>
      </c>
      <c r="B393" s="1" t="n">
        <v>45909.50746527778</v>
      </c>
      <c r="C393" s="1" t="n">
        <v>46179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4710-2026</t>
        </is>
      </c>
      <c r="B394" s="1" t="n">
        <v>46048.46040509259</v>
      </c>
      <c r="C394" s="1" t="n">
        <v>46179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28057-2025</t>
        </is>
      </c>
      <c r="B395" s="1" t="n">
        <v>45817.66207175926</v>
      </c>
      <c r="C395" s="1" t="n">
        <v>46179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28047-2025</t>
        </is>
      </c>
      <c r="B396" s="1" t="n">
        <v>45817</v>
      </c>
      <c r="C396" s="1" t="n">
        <v>46179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28626-2025</t>
        </is>
      </c>
      <c r="B397" s="1" t="n">
        <v>45819.62038194444</v>
      </c>
      <c r="C397" s="1" t="n">
        <v>46179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28593-2025</t>
        </is>
      </c>
      <c r="B398" s="1" t="n">
        <v>45819.59232638889</v>
      </c>
      <c r="C398" s="1" t="n">
        <v>46179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43802-2025</t>
        </is>
      </c>
      <c r="B399" s="1" t="n">
        <v>45912.57256944444</v>
      </c>
      <c r="C399" s="1" t="n">
        <v>46179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4354-2026</t>
        </is>
      </c>
      <c r="B400" s="1" t="n">
        <v>46045</v>
      </c>
      <c r="C400" s="1" t="n">
        <v>46179</v>
      </c>
      <c r="D400" t="inlineStr">
        <is>
          <t>GÄVLEBORGS LÄN</t>
        </is>
      </c>
      <c r="E400" t="inlineStr">
        <is>
          <t>OVANÅKER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28622-2025</t>
        </is>
      </c>
      <c r="B401" s="1" t="n">
        <v>45819.61425925926</v>
      </c>
      <c r="C401" s="1" t="n">
        <v>46179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4708-2026</t>
        </is>
      </c>
      <c r="B402" s="1" t="n">
        <v>46048.4578587963</v>
      </c>
      <c r="C402" s="1" t="n">
        <v>46179</v>
      </c>
      <c r="D402" t="inlineStr">
        <is>
          <t>GÄVLEBORGS LÄN</t>
        </is>
      </c>
      <c r="E402" t="inlineStr">
        <is>
          <t>OVANÅKER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28585-2025</t>
        </is>
      </c>
      <c r="B403" s="1" t="n">
        <v>45819.5790625</v>
      </c>
      <c r="C403" s="1" t="n">
        <v>46179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28776-2025</t>
        </is>
      </c>
      <c r="B404" s="1" t="n">
        <v>45820.44554398148</v>
      </c>
      <c r="C404" s="1" t="n">
        <v>46179</v>
      </c>
      <c r="D404" t="inlineStr">
        <is>
          <t>GÄVLEBORGS LÄN</t>
        </is>
      </c>
      <c r="E404" t="inlineStr">
        <is>
          <t>OVANÅKER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28532-2025</t>
        </is>
      </c>
      <c r="B405" s="1" t="n">
        <v>45819.50333333333</v>
      </c>
      <c r="C405" s="1" t="n">
        <v>46179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28496-2025</t>
        </is>
      </c>
      <c r="B406" s="1" t="n">
        <v>45819.46984953704</v>
      </c>
      <c r="C406" s="1" t="n">
        <v>46179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28562-2025</t>
        </is>
      </c>
      <c r="B407" s="1" t="n">
        <v>45819.5525</v>
      </c>
      <c r="C407" s="1" t="n">
        <v>46179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28387-2025</t>
        </is>
      </c>
      <c r="B408" s="1" t="n">
        <v>45819.32304398148</v>
      </c>
      <c r="C408" s="1" t="n">
        <v>46179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28460-2025</t>
        </is>
      </c>
      <c r="B409" s="1" t="n">
        <v>45819</v>
      </c>
      <c r="C409" s="1" t="n">
        <v>46179</v>
      </c>
      <c r="D409" t="inlineStr">
        <is>
          <t>GÄVLEBORGS LÄN</t>
        </is>
      </c>
      <c r="E409" t="inlineStr">
        <is>
          <t>OVANÅKER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28474-2025</t>
        </is>
      </c>
      <c r="B410" s="1" t="n">
        <v>45819.44173611111</v>
      </c>
      <c r="C410" s="1" t="n">
        <v>46179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28600-2025</t>
        </is>
      </c>
      <c r="B411" s="1" t="n">
        <v>45819.59787037037</v>
      </c>
      <c r="C411" s="1" t="n">
        <v>46179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29423-2025</t>
        </is>
      </c>
      <c r="B412" s="1" t="n">
        <v>45824.64304398148</v>
      </c>
      <c r="C412" s="1" t="n">
        <v>46179</v>
      </c>
      <c r="D412" t="inlineStr">
        <is>
          <t>GÄVLEBORGS LÄN</t>
        </is>
      </c>
      <c r="E412" t="inlineStr">
        <is>
          <t>OVANÅKER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29402-2025</t>
        </is>
      </c>
      <c r="B413" s="1" t="n">
        <v>45824.61443287037</v>
      </c>
      <c r="C413" s="1" t="n">
        <v>46179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29054-2025</t>
        </is>
      </c>
      <c r="B414" s="1" t="n">
        <v>45821.47021990741</v>
      </c>
      <c r="C414" s="1" t="n">
        <v>46179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29922-2025</t>
        </is>
      </c>
      <c r="B415" s="1" t="n">
        <v>45826.4253125</v>
      </c>
      <c r="C415" s="1" t="n">
        <v>46179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30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4858-2026</t>
        </is>
      </c>
      <c r="B416" s="1" t="n">
        <v>46048.63605324074</v>
      </c>
      <c r="C416" s="1" t="n">
        <v>46179</v>
      </c>
      <c r="D416" t="inlineStr">
        <is>
          <t>GÄVLEBORGS LÄN</t>
        </is>
      </c>
      <c r="E416" t="inlineStr">
        <is>
          <t>OVANÅKER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30013-2025</t>
        </is>
      </c>
      <c r="B417" s="1" t="n">
        <v>45826.54642361111</v>
      </c>
      <c r="C417" s="1" t="n">
        <v>46179</v>
      </c>
      <c r="D417" t="inlineStr">
        <is>
          <t>GÄVLEBORGS LÄN</t>
        </is>
      </c>
      <c r="E417" t="inlineStr">
        <is>
          <t>OVANÅKER</t>
        </is>
      </c>
      <c r="F417" t="inlineStr">
        <is>
          <t>Holmen skog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30044-2025</t>
        </is>
      </c>
      <c r="B418" s="1" t="n">
        <v>45826.57925925926</v>
      </c>
      <c r="C418" s="1" t="n">
        <v>46179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29855-2025</t>
        </is>
      </c>
      <c r="B419" s="1" t="n">
        <v>45826.34469907408</v>
      </c>
      <c r="C419" s="1" t="n">
        <v>46179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29887-2025</t>
        </is>
      </c>
      <c r="B420" s="1" t="n">
        <v>45826.3696412037</v>
      </c>
      <c r="C420" s="1" t="n">
        <v>46179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4515-2026</t>
        </is>
      </c>
      <c r="B421" s="1" t="n">
        <v>46045</v>
      </c>
      <c r="C421" s="1" t="n">
        <v>46179</v>
      </c>
      <c r="D421" t="inlineStr">
        <is>
          <t>GÄVLEBORGS LÄN</t>
        </is>
      </c>
      <c r="E421" t="inlineStr">
        <is>
          <t>OVANÅKER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4516-2026</t>
        </is>
      </c>
      <c r="B422" s="1" t="n">
        <v>46045</v>
      </c>
      <c r="C422" s="1" t="n">
        <v>46179</v>
      </c>
      <c r="D422" t="inlineStr">
        <is>
          <t>GÄVLEBORGS LÄN</t>
        </is>
      </c>
      <c r="E422" t="inlineStr">
        <is>
          <t>OVANÅKER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30033-2025</t>
        </is>
      </c>
      <c r="B423" s="1" t="n">
        <v>45826.56905092593</v>
      </c>
      <c r="C423" s="1" t="n">
        <v>46179</v>
      </c>
      <c r="D423" t="inlineStr">
        <is>
          <t>GÄVLEBORGS LÄN</t>
        </is>
      </c>
      <c r="E423" t="inlineStr">
        <is>
          <t>OVANÅKER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30029-2025</t>
        </is>
      </c>
      <c r="B424" s="1" t="n">
        <v>45826.56724537037</v>
      </c>
      <c r="C424" s="1" t="n">
        <v>46179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44859-2024</t>
        </is>
      </c>
      <c r="B425" s="1" t="n">
        <v>45575.29123842593</v>
      </c>
      <c r="C425" s="1" t="n">
        <v>46179</v>
      </c>
      <c r="D425" t="inlineStr">
        <is>
          <t>GÄVLEBORGS LÄN</t>
        </is>
      </c>
      <c r="E425" t="inlineStr">
        <is>
          <t>OVANÅKER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29635-2025</t>
        </is>
      </c>
      <c r="B426" s="1" t="n">
        <v>45825.45329861111</v>
      </c>
      <c r="C426" s="1" t="n">
        <v>46179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4547-2026</t>
        </is>
      </c>
      <c r="B427" s="1" t="n">
        <v>46047.45753472222</v>
      </c>
      <c r="C427" s="1" t="n">
        <v>46179</v>
      </c>
      <c r="D427" t="inlineStr">
        <is>
          <t>GÄVLEBORGS LÄN</t>
        </is>
      </c>
      <c r="E427" t="inlineStr">
        <is>
          <t>OVANÅKER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29892-2025</t>
        </is>
      </c>
      <c r="B428" s="1" t="n">
        <v>45826.37696759259</v>
      </c>
      <c r="C428" s="1" t="n">
        <v>46179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43807-2025</t>
        </is>
      </c>
      <c r="B429" s="1" t="n">
        <v>45912.5783912037</v>
      </c>
      <c r="C429" s="1" t="n">
        <v>46179</v>
      </c>
      <c r="D429" t="inlineStr">
        <is>
          <t>GÄVLEBORGS LÄN</t>
        </is>
      </c>
      <c r="E429" t="inlineStr">
        <is>
          <t>OVANÅKER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43805-2025</t>
        </is>
      </c>
      <c r="B430" s="1" t="n">
        <v>45912.57600694444</v>
      </c>
      <c r="C430" s="1" t="n">
        <v>46179</v>
      </c>
      <c r="D430" t="inlineStr">
        <is>
          <t>GÄVLEBORGS LÄN</t>
        </is>
      </c>
      <c r="E430" t="inlineStr">
        <is>
          <t>OVANÅKER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4632-2026</t>
        </is>
      </c>
      <c r="B431" s="1" t="n">
        <v>46048</v>
      </c>
      <c r="C431" s="1" t="n">
        <v>46179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3106-2026</t>
        </is>
      </c>
      <c r="B432" s="1" t="n">
        <v>46041.35331018519</v>
      </c>
      <c r="C432" s="1" t="n">
        <v>46179</v>
      </c>
      <c r="D432" t="inlineStr">
        <is>
          <t>GÄVLEBORGS LÄN</t>
        </is>
      </c>
      <c r="E432" t="inlineStr">
        <is>
          <t>OVANÅKER</t>
        </is>
      </c>
      <c r="G432" t="n">
        <v>19.1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4546-2026</t>
        </is>
      </c>
      <c r="B433" s="1" t="n">
        <v>46047.45364583333</v>
      </c>
      <c r="C433" s="1" t="n">
        <v>46179</v>
      </c>
      <c r="D433" t="inlineStr">
        <is>
          <t>GÄVLEBORGS LÄN</t>
        </is>
      </c>
      <c r="E433" t="inlineStr">
        <is>
          <t>OVANÅKER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4548-2026</t>
        </is>
      </c>
      <c r="B434" s="1" t="n">
        <v>46047.46320601852</v>
      </c>
      <c r="C434" s="1" t="n">
        <v>46179</v>
      </c>
      <c r="D434" t="inlineStr">
        <is>
          <t>GÄVLEBORGS LÄN</t>
        </is>
      </c>
      <c r="E434" t="inlineStr">
        <is>
          <t>OVANÅKER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4507-2026</t>
        </is>
      </c>
      <c r="B435" s="1" t="n">
        <v>46045</v>
      </c>
      <c r="C435" s="1" t="n">
        <v>46179</v>
      </c>
      <c r="D435" t="inlineStr">
        <is>
          <t>GÄVLEBORGS LÄN</t>
        </is>
      </c>
      <c r="E435" t="inlineStr">
        <is>
          <t>OVANÅKER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17962-2025</t>
        </is>
      </c>
      <c r="B436" s="1" t="n">
        <v>45761.33565972222</v>
      </c>
      <c r="C436" s="1" t="n">
        <v>46179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5464-2026</t>
        </is>
      </c>
      <c r="B437" s="1" t="n">
        <v>46048</v>
      </c>
      <c r="C437" s="1" t="n">
        <v>46179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29931-2025</t>
        </is>
      </c>
      <c r="B438" s="1" t="n">
        <v>45826.43832175926</v>
      </c>
      <c r="C438" s="1" t="n">
        <v>46179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4394-2026</t>
        </is>
      </c>
      <c r="B439" s="1" t="n">
        <v>46045</v>
      </c>
      <c r="C439" s="1" t="n">
        <v>46179</v>
      </c>
      <c r="D439" t="inlineStr">
        <is>
          <t>GÄVLEBORGS LÄN</t>
        </is>
      </c>
      <c r="E439" t="inlineStr">
        <is>
          <t>OVANÅKER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4478-2026</t>
        </is>
      </c>
      <c r="B440" s="1" t="n">
        <v>46045</v>
      </c>
      <c r="C440" s="1" t="n">
        <v>46179</v>
      </c>
      <c r="D440" t="inlineStr">
        <is>
          <t>GÄVLEBORGS LÄN</t>
        </is>
      </c>
      <c r="E440" t="inlineStr">
        <is>
          <t>OVANÅKER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4520-2026</t>
        </is>
      </c>
      <c r="B441" s="1" t="n">
        <v>46046.37938657407</v>
      </c>
      <c r="C441" s="1" t="n">
        <v>46179</v>
      </c>
      <c r="D441" t="inlineStr">
        <is>
          <t>GÄVLEBORGS LÄN</t>
        </is>
      </c>
      <c r="E441" t="inlineStr">
        <is>
          <t>OVANÅKER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29920-2025</t>
        </is>
      </c>
      <c r="B442" s="1" t="n">
        <v>45826.42377314815</v>
      </c>
      <c r="C442" s="1" t="n">
        <v>46179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5405-2026</t>
        </is>
      </c>
      <c r="B443" s="1" t="n">
        <v>46050.50726851852</v>
      </c>
      <c r="C443" s="1" t="n">
        <v>46179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5254-2026</t>
        </is>
      </c>
      <c r="B444" s="1" t="n">
        <v>46050.2537037037</v>
      </c>
      <c r="C444" s="1" t="n">
        <v>46179</v>
      </c>
      <c r="D444" t="inlineStr">
        <is>
          <t>GÄVLEBORGS LÄN</t>
        </is>
      </c>
      <c r="E444" t="inlineStr">
        <is>
          <t>OVANÅKER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30196-2025</t>
        </is>
      </c>
      <c r="B445" s="1" t="n">
        <v>45827.35413194444</v>
      </c>
      <c r="C445" s="1" t="n">
        <v>46179</v>
      </c>
      <c r="D445" t="inlineStr">
        <is>
          <t>GÄVLEBORGS LÄN</t>
        </is>
      </c>
      <c r="E445" t="inlineStr">
        <is>
          <t>OVANÅKER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30382-2025</t>
        </is>
      </c>
      <c r="B446" s="1" t="n">
        <v>45827.57060185185</v>
      </c>
      <c r="C446" s="1" t="n">
        <v>46179</v>
      </c>
      <c r="D446" t="inlineStr">
        <is>
          <t>GÄVLEBORGS LÄN</t>
        </is>
      </c>
      <c r="E446" t="inlineStr">
        <is>
          <t>OVANÅKER</t>
        </is>
      </c>
      <c r="F446" t="inlineStr">
        <is>
          <t>Holmen skog AB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5557-2026</t>
        </is>
      </c>
      <c r="B447" s="1" t="n">
        <v>46050.74790509259</v>
      </c>
      <c r="C447" s="1" t="n">
        <v>46179</v>
      </c>
      <c r="D447" t="inlineStr">
        <is>
          <t>GÄVLEBORGS LÄN</t>
        </is>
      </c>
      <c r="E447" t="inlineStr">
        <is>
          <t>OVANÅKER</t>
        </is>
      </c>
      <c r="F447" t="inlineStr">
        <is>
          <t>Kyrkan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30123-2025</t>
        </is>
      </c>
      <c r="B448" s="1" t="n">
        <v>45826.7700462963</v>
      </c>
      <c r="C448" s="1" t="n">
        <v>46179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5087-2026</t>
        </is>
      </c>
      <c r="B449" s="1" t="n">
        <v>46049</v>
      </c>
      <c r="C449" s="1" t="n">
        <v>46179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44398-2025</t>
        </is>
      </c>
      <c r="B450" s="1" t="n">
        <v>45916.50204861111</v>
      </c>
      <c r="C450" s="1" t="n">
        <v>46179</v>
      </c>
      <c r="D450" t="inlineStr">
        <is>
          <t>GÄVLEBORGS LÄN</t>
        </is>
      </c>
      <c r="E450" t="inlineStr">
        <is>
          <t>OVANÅKER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5479-2026</t>
        </is>
      </c>
      <c r="B451" s="1" t="n">
        <v>46050</v>
      </c>
      <c r="C451" s="1" t="n">
        <v>46179</v>
      </c>
      <c r="D451" t="inlineStr">
        <is>
          <t>GÄVLEBORGS LÄN</t>
        </is>
      </c>
      <c r="E451" t="inlineStr">
        <is>
          <t>OVANÅKER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30953-2025</t>
        </is>
      </c>
      <c r="B452" s="1" t="n">
        <v>45832.43494212963</v>
      </c>
      <c r="C452" s="1" t="n">
        <v>46179</v>
      </c>
      <c r="D452" t="inlineStr">
        <is>
          <t>GÄVLEBORGS LÄN</t>
        </is>
      </c>
      <c r="E452" t="inlineStr">
        <is>
          <t>OVANÅKER</t>
        </is>
      </c>
      <c r="G452" t="n">
        <v>15.3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5389-2026</t>
        </is>
      </c>
      <c r="B453" s="1" t="n">
        <v>46050</v>
      </c>
      <c r="C453" s="1" t="n">
        <v>46179</v>
      </c>
      <c r="D453" t="inlineStr">
        <is>
          <t>GÄVLEBORGS LÄN</t>
        </is>
      </c>
      <c r="E453" t="inlineStr">
        <is>
          <t>OVANÅKER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62215-2022</t>
        </is>
      </c>
      <c r="B454" s="1" t="n">
        <v>44922.65163194444</v>
      </c>
      <c r="C454" s="1" t="n">
        <v>46179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5349-2026</t>
        </is>
      </c>
      <c r="B455" s="1" t="n">
        <v>46050.435</v>
      </c>
      <c r="C455" s="1" t="n">
        <v>46179</v>
      </c>
      <c r="D455" t="inlineStr">
        <is>
          <t>GÄVLEBORGS LÄN</t>
        </is>
      </c>
      <c r="E455" t="inlineStr">
        <is>
          <t>OVANÅKER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5081-2026</t>
        </is>
      </c>
      <c r="B456" s="1" t="n">
        <v>46049.54252314815</v>
      </c>
      <c r="C456" s="1" t="n">
        <v>46179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5442-2026</t>
        </is>
      </c>
      <c r="B457" s="1" t="n">
        <v>46050</v>
      </c>
      <c r="C457" s="1" t="n">
        <v>46179</v>
      </c>
      <c r="D457" t="inlineStr">
        <is>
          <t>GÄVLEBORGS LÄN</t>
        </is>
      </c>
      <c r="E457" t="inlineStr">
        <is>
          <t>OVANÅKER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5446-2026</t>
        </is>
      </c>
      <c r="B458" s="1" t="n">
        <v>46050</v>
      </c>
      <c r="C458" s="1" t="n">
        <v>46179</v>
      </c>
      <c r="D458" t="inlineStr">
        <is>
          <t>GÄVLEBORGS LÄN</t>
        </is>
      </c>
      <c r="E458" t="inlineStr">
        <is>
          <t>OVANÅKER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5448-2026</t>
        </is>
      </c>
      <c r="B459" s="1" t="n">
        <v>46050.57653935185</v>
      </c>
      <c r="C459" s="1" t="n">
        <v>46179</v>
      </c>
      <c r="D459" t="inlineStr">
        <is>
          <t>GÄVLEBORGS LÄN</t>
        </is>
      </c>
      <c r="E459" t="inlineStr">
        <is>
          <t>OVANÅKER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30826-2025</t>
        </is>
      </c>
      <c r="B460" s="1" t="n">
        <v>45831.67693287037</v>
      </c>
      <c r="C460" s="1" t="n">
        <v>46179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5066-2026</t>
        </is>
      </c>
      <c r="B461" s="1" t="n">
        <v>46049</v>
      </c>
      <c r="C461" s="1" t="n">
        <v>46179</v>
      </c>
      <c r="D461" t="inlineStr">
        <is>
          <t>GÄVLEBORGS LÄN</t>
        </is>
      </c>
      <c r="E461" t="inlineStr">
        <is>
          <t>OVANÅKER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5463-2026</t>
        </is>
      </c>
      <c r="B462" s="1" t="n">
        <v>46050</v>
      </c>
      <c r="C462" s="1" t="n">
        <v>46179</v>
      </c>
      <c r="D462" t="inlineStr">
        <is>
          <t>GÄVLEBORGS LÄN</t>
        </is>
      </c>
      <c r="E462" t="inlineStr">
        <is>
          <t>OVANÅKER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5096-2026</t>
        </is>
      </c>
      <c r="B463" s="1" t="n">
        <v>46049.55469907408</v>
      </c>
      <c r="C463" s="1" t="n">
        <v>46179</v>
      </c>
      <c r="D463" t="inlineStr">
        <is>
          <t>GÄVLEBORGS LÄN</t>
        </is>
      </c>
      <c r="E463" t="inlineStr">
        <is>
          <t>OVANÅKER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47380-2024</t>
        </is>
      </c>
      <c r="B464" s="1" t="n">
        <v>45587.45914351852</v>
      </c>
      <c r="C464" s="1" t="n">
        <v>46179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5368-2026</t>
        </is>
      </c>
      <c r="B465" s="1" t="n">
        <v>46050.4555787037</v>
      </c>
      <c r="C465" s="1" t="n">
        <v>46179</v>
      </c>
      <c r="D465" t="inlineStr">
        <is>
          <t>GÄVLEBORGS LÄN</t>
        </is>
      </c>
      <c r="E465" t="inlineStr">
        <is>
          <t>OVANÅKER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5265-2026</t>
        </is>
      </c>
      <c r="B466" s="1" t="n">
        <v>46050</v>
      </c>
      <c r="C466" s="1" t="n">
        <v>46179</v>
      </c>
      <c r="D466" t="inlineStr">
        <is>
          <t>GÄVLEBORGS LÄN</t>
        </is>
      </c>
      <c r="E466" t="inlineStr">
        <is>
          <t>OVANÅKER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5319-2026</t>
        </is>
      </c>
      <c r="B467" s="1" t="n">
        <v>46050</v>
      </c>
      <c r="C467" s="1" t="n">
        <v>46179</v>
      </c>
      <c r="D467" t="inlineStr">
        <is>
          <t>GÄVLEBORGS LÄN</t>
        </is>
      </c>
      <c r="E467" t="inlineStr">
        <is>
          <t>OVANÅKER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14575-2024</t>
        </is>
      </c>
      <c r="B468" s="1" t="n">
        <v>45394</v>
      </c>
      <c r="C468" s="1" t="n">
        <v>46179</v>
      </c>
      <c r="D468" t="inlineStr">
        <is>
          <t>GÄVLEBORGS LÄN</t>
        </is>
      </c>
      <c r="E468" t="inlineStr">
        <is>
          <t>OVANÅKER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5187-2026</t>
        </is>
      </c>
      <c r="B469" s="1" t="n">
        <v>46049.658125</v>
      </c>
      <c r="C469" s="1" t="n">
        <v>46179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5480-2026</t>
        </is>
      </c>
      <c r="B470" s="1" t="n">
        <v>46050</v>
      </c>
      <c r="C470" s="1" t="n">
        <v>46179</v>
      </c>
      <c r="D470" t="inlineStr">
        <is>
          <t>GÄVLEBORGS LÄN</t>
        </is>
      </c>
      <c r="E470" t="inlineStr">
        <is>
          <t>OVANÅKER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5499-2026</t>
        </is>
      </c>
      <c r="B471" s="1" t="n">
        <v>46050.61966435185</v>
      </c>
      <c r="C471" s="1" t="n">
        <v>46179</v>
      </c>
      <c r="D471" t="inlineStr">
        <is>
          <t>GÄVLEBORGS LÄN</t>
        </is>
      </c>
      <c r="E471" t="inlineStr">
        <is>
          <t>OVANÅKER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5076-2026</t>
        </is>
      </c>
      <c r="B472" s="1" t="n">
        <v>46049</v>
      </c>
      <c r="C472" s="1" t="n">
        <v>46179</v>
      </c>
      <c r="D472" t="inlineStr">
        <is>
          <t>GÄVLEBORGS LÄN</t>
        </is>
      </c>
      <c r="E472" t="inlineStr">
        <is>
          <t>OVANÅKER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5426-2026</t>
        </is>
      </c>
      <c r="B473" s="1" t="n">
        <v>46050</v>
      </c>
      <c r="C473" s="1" t="n">
        <v>46179</v>
      </c>
      <c r="D473" t="inlineStr">
        <is>
          <t>GÄVLEBORGS LÄN</t>
        </is>
      </c>
      <c r="E473" t="inlineStr">
        <is>
          <t>OVANÅKER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5444-2026</t>
        </is>
      </c>
      <c r="B474" s="1" t="n">
        <v>46050.57188657407</v>
      </c>
      <c r="C474" s="1" t="n">
        <v>46179</v>
      </c>
      <c r="D474" t="inlineStr">
        <is>
          <t>GÄVLEBORGS LÄN</t>
        </is>
      </c>
      <c r="E474" t="inlineStr">
        <is>
          <t>OVANÅKER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5576-2026</t>
        </is>
      </c>
      <c r="B475" s="1" t="n">
        <v>46051</v>
      </c>
      <c r="C475" s="1" t="n">
        <v>46179</v>
      </c>
      <c r="D475" t="inlineStr">
        <is>
          <t>GÄVLEBORGS LÄN</t>
        </is>
      </c>
      <c r="E475" t="inlineStr">
        <is>
          <t>OVANÅKER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44538-2025</t>
        </is>
      </c>
      <c r="B476" s="1" t="n">
        <v>45917.28050925926</v>
      </c>
      <c r="C476" s="1" t="n">
        <v>46179</v>
      </c>
      <c r="D476" t="inlineStr">
        <is>
          <t>GÄVLEBORGS LÄN</t>
        </is>
      </c>
      <c r="E476" t="inlineStr">
        <is>
          <t>OVANÅKER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5580-2026</t>
        </is>
      </c>
      <c r="B477" s="1" t="n">
        <v>46051</v>
      </c>
      <c r="C477" s="1" t="n">
        <v>46179</v>
      </c>
      <c r="D477" t="inlineStr">
        <is>
          <t>GÄVLEBORGS LÄN</t>
        </is>
      </c>
      <c r="E477" t="inlineStr">
        <is>
          <t>OVANÅKER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5689-2026</t>
        </is>
      </c>
      <c r="B478" s="1" t="n">
        <v>46051.49262731482</v>
      </c>
      <c r="C478" s="1" t="n">
        <v>46179</v>
      </c>
      <c r="D478" t="inlineStr">
        <is>
          <t>GÄVLEBORGS LÄN</t>
        </is>
      </c>
      <c r="E478" t="inlineStr">
        <is>
          <t>OVANÅKER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5589-2026</t>
        </is>
      </c>
      <c r="B479" s="1" t="n">
        <v>46051.32590277777</v>
      </c>
      <c r="C479" s="1" t="n">
        <v>46179</v>
      </c>
      <c r="D479" t="inlineStr">
        <is>
          <t>GÄVLEBORGS LÄN</t>
        </is>
      </c>
      <c r="E479" t="inlineStr">
        <is>
          <t>OVANÅKER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5595-2026</t>
        </is>
      </c>
      <c r="B480" s="1" t="n">
        <v>46051.33133101852</v>
      </c>
      <c r="C480" s="1" t="n">
        <v>46179</v>
      </c>
      <c r="D480" t="inlineStr">
        <is>
          <t>GÄVLEBORGS LÄN</t>
        </is>
      </c>
      <c r="E480" t="inlineStr">
        <is>
          <t>OVANÅKER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45069-2025</t>
        </is>
      </c>
      <c r="B481" s="1" t="n">
        <v>45919</v>
      </c>
      <c r="C481" s="1" t="n">
        <v>46179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5815-2026</t>
        </is>
      </c>
      <c r="B482" s="1" t="n">
        <v>46051</v>
      </c>
      <c r="C482" s="1" t="n">
        <v>46179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5862-2026</t>
        </is>
      </c>
      <c r="B483" s="1" t="n">
        <v>46052.36550925926</v>
      </c>
      <c r="C483" s="1" t="n">
        <v>46179</v>
      </c>
      <c r="D483" t="inlineStr">
        <is>
          <t>GÄVLEBORGS LÄN</t>
        </is>
      </c>
      <c r="E483" t="inlineStr">
        <is>
          <t>OVANÅKER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5579-2026</t>
        </is>
      </c>
      <c r="B484" s="1" t="n">
        <v>46051</v>
      </c>
      <c r="C484" s="1" t="n">
        <v>46179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5583-2026</t>
        </is>
      </c>
      <c r="B485" s="1" t="n">
        <v>46051.31039351852</v>
      </c>
      <c r="C485" s="1" t="n">
        <v>46179</v>
      </c>
      <c r="D485" t="inlineStr">
        <is>
          <t>GÄVLEBORGS LÄN</t>
        </is>
      </c>
      <c r="E485" t="inlineStr">
        <is>
          <t>OVANÅKER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5587-2026</t>
        </is>
      </c>
      <c r="B486" s="1" t="n">
        <v>46051</v>
      </c>
      <c r="C486" s="1" t="n">
        <v>46179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5823-2026</t>
        </is>
      </c>
      <c r="B487" s="1" t="n">
        <v>46052</v>
      </c>
      <c r="C487" s="1" t="n">
        <v>46179</v>
      </c>
      <c r="D487" t="inlineStr">
        <is>
          <t>GÄVLEBORGS LÄN</t>
        </is>
      </c>
      <c r="E487" t="inlineStr">
        <is>
          <t>OVANÅKER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5848-2026</t>
        </is>
      </c>
      <c r="B488" s="1" t="n">
        <v>46052</v>
      </c>
      <c r="C488" s="1" t="n">
        <v>46179</v>
      </c>
      <c r="D488" t="inlineStr">
        <is>
          <t>GÄVLEBORGS LÄN</t>
        </is>
      </c>
      <c r="E488" t="inlineStr">
        <is>
          <t>OVANÅKER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45193-2025</t>
        </is>
      </c>
      <c r="B489" s="1" t="n">
        <v>45919.55265046296</v>
      </c>
      <c r="C489" s="1" t="n">
        <v>46179</v>
      </c>
      <c r="D489" t="inlineStr">
        <is>
          <t>GÄVLEBORGS LÄN</t>
        </is>
      </c>
      <c r="E489" t="inlineStr">
        <is>
          <t>OVANÅKER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45204-2025</t>
        </is>
      </c>
      <c r="B490" s="1" t="n">
        <v>45919.56417824074</v>
      </c>
      <c r="C490" s="1" t="n">
        <v>46179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31269-2025</t>
        </is>
      </c>
      <c r="B491" s="1" t="n">
        <v>45833.33678240741</v>
      </c>
      <c r="C491" s="1" t="n">
        <v>46179</v>
      </c>
      <c r="D491" t="inlineStr">
        <is>
          <t>GÄVLEBORGS LÄN</t>
        </is>
      </c>
      <c r="E491" t="inlineStr">
        <is>
          <t>OVANÅKER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31878-2025</t>
        </is>
      </c>
      <c r="B492" s="1" t="n">
        <v>45834</v>
      </c>
      <c r="C492" s="1" t="n">
        <v>46179</v>
      </c>
      <c r="D492" t="inlineStr">
        <is>
          <t>GÄVLEBORGS LÄN</t>
        </is>
      </c>
      <c r="E492" t="inlineStr">
        <is>
          <t>OVANÅKER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31458-2025</t>
        </is>
      </c>
      <c r="B493" s="1" t="n">
        <v>45833.54105324074</v>
      </c>
      <c r="C493" s="1" t="n">
        <v>46179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45939-2025</t>
        </is>
      </c>
      <c r="B494" s="1" t="n">
        <v>45924.30354166667</v>
      </c>
      <c r="C494" s="1" t="n">
        <v>46179</v>
      </c>
      <c r="D494" t="inlineStr">
        <is>
          <t>GÄVLEBORGS LÄN</t>
        </is>
      </c>
      <c r="E494" t="inlineStr">
        <is>
          <t>OVANÅKER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31885-2025</t>
        </is>
      </c>
      <c r="B495" s="1" t="n">
        <v>45834</v>
      </c>
      <c r="C495" s="1" t="n">
        <v>46179</v>
      </c>
      <c r="D495" t="inlineStr">
        <is>
          <t>GÄVLEBORGS LÄN</t>
        </is>
      </c>
      <c r="E495" t="inlineStr">
        <is>
          <t>OVANÅKER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5588-2026</t>
        </is>
      </c>
      <c r="B496" s="1" t="n">
        <v>46051.32383101852</v>
      </c>
      <c r="C496" s="1" t="n">
        <v>46179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5868-2026</t>
        </is>
      </c>
      <c r="B497" s="1" t="n">
        <v>46052.36797453704</v>
      </c>
      <c r="C497" s="1" t="n">
        <v>46179</v>
      </c>
      <c r="D497" t="inlineStr">
        <is>
          <t>GÄVLEBORGS LÄN</t>
        </is>
      </c>
      <c r="E497" t="inlineStr">
        <is>
          <t>OVANÅKER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46188-2025</t>
        </is>
      </c>
      <c r="B498" s="1" t="n">
        <v>45924.66311342592</v>
      </c>
      <c r="C498" s="1" t="n">
        <v>46179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797-2026</t>
        </is>
      </c>
      <c r="B499" s="1" t="n">
        <v>46029.91710648148</v>
      </c>
      <c r="C499" s="1" t="n">
        <v>46179</v>
      </c>
      <c r="D499" t="inlineStr">
        <is>
          <t>GÄVLEBORGS LÄN</t>
        </is>
      </c>
      <c r="E499" t="inlineStr">
        <is>
          <t>OVANÅKER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32177-2025</t>
        </is>
      </c>
      <c r="B500" s="1" t="n">
        <v>45835.55826388889</v>
      </c>
      <c r="C500" s="1" t="n">
        <v>46179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46399-2025</t>
        </is>
      </c>
      <c r="B501" s="1" t="n">
        <v>45925.55168981481</v>
      </c>
      <c r="C501" s="1" t="n">
        <v>46179</v>
      </c>
      <c r="D501" t="inlineStr">
        <is>
          <t>GÄVLEBORGS LÄN</t>
        </is>
      </c>
      <c r="E501" t="inlineStr">
        <is>
          <t>OVANÅKER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6032-2026</t>
        </is>
      </c>
      <c r="B502" s="1" t="n">
        <v>46052</v>
      </c>
      <c r="C502" s="1" t="n">
        <v>46179</v>
      </c>
      <c r="D502" t="inlineStr">
        <is>
          <t>GÄVLEBORGS LÄN</t>
        </is>
      </c>
      <c r="E502" t="inlineStr">
        <is>
          <t>OVANÅKER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5889-2026</t>
        </is>
      </c>
      <c r="B503" s="1" t="n">
        <v>46052</v>
      </c>
      <c r="C503" s="1" t="n">
        <v>46179</v>
      </c>
      <c r="D503" t="inlineStr">
        <is>
          <t>GÄVLEBORGS LÄN</t>
        </is>
      </c>
      <c r="E503" t="inlineStr">
        <is>
          <t>OVANÅKER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46614-2025</t>
        </is>
      </c>
      <c r="B504" s="1" t="n">
        <v>45926.42737268518</v>
      </c>
      <c r="C504" s="1" t="n">
        <v>46179</v>
      </c>
      <c r="D504" t="inlineStr">
        <is>
          <t>GÄVLEBORGS LÄN</t>
        </is>
      </c>
      <c r="E504" t="inlineStr">
        <is>
          <t>OVANÅKER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5601-2026</t>
        </is>
      </c>
      <c r="B505" s="1" t="n">
        <v>46051.34335648148</v>
      </c>
      <c r="C505" s="1" t="n">
        <v>46179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6237-2026</t>
        </is>
      </c>
      <c r="B506" s="1" t="n">
        <v>46055.45340277778</v>
      </c>
      <c r="C506" s="1" t="n">
        <v>46179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6752-2026</t>
        </is>
      </c>
      <c r="B507" s="1" t="n">
        <v>46056</v>
      </c>
      <c r="C507" s="1" t="n">
        <v>46179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6246-2026</t>
        </is>
      </c>
      <c r="B508" s="1" t="n">
        <v>46055.46792824074</v>
      </c>
      <c r="C508" s="1" t="n">
        <v>46179</v>
      </c>
      <c r="D508" t="inlineStr">
        <is>
          <t>GÄVLEBORGS LÄN</t>
        </is>
      </c>
      <c r="E508" t="inlineStr">
        <is>
          <t>OVANÅKER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6148-2026</t>
        </is>
      </c>
      <c r="B509" s="1" t="n">
        <v>46054</v>
      </c>
      <c r="C509" s="1" t="n">
        <v>46179</v>
      </c>
      <c r="D509" t="inlineStr">
        <is>
          <t>GÄVLEBORGS LÄN</t>
        </is>
      </c>
      <c r="E509" t="inlineStr">
        <is>
          <t>OVANÅKER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6236-2026</t>
        </is>
      </c>
      <c r="B510" s="1" t="n">
        <v>46055</v>
      </c>
      <c r="C510" s="1" t="n">
        <v>46179</v>
      </c>
      <c r="D510" t="inlineStr">
        <is>
          <t>GÄVLEBORGS LÄN</t>
        </is>
      </c>
      <c r="E510" t="inlineStr">
        <is>
          <t>OVANÅKER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6150-2026</t>
        </is>
      </c>
      <c r="B511" s="1" t="n">
        <v>46054</v>
      </c>
      <c r="C511" s="1" t="n">
        <v>46179</v>
      </c>
      <c r="D511" t="inlineStr">
        <is>
          <t>GÄVLEBORGS LÄN</t>
        </is>
      </c>
      <c r="E511" t="inlineStr">
        <is>
          <t>OVANÅKER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6348-2026</t>
        </is>
      </c>
      <c r="B512" s="1" t="n">
        <v>46055.61</v>
      </c>
      <c r="C512" s="1" t="n">
        <v>46179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49856-2024</t>
        </is>
      </c>
      <c r="B513" s="1" t="n">
        <v>45597.46902777778</v>
      </c>
      <c r="C513" s="1" t="n">
        <v>46179</v>
      </c>
      <c r="D513" t="inlineStr">
        <is>
          <t>GÄVLEBORGS LÄN</t>
        </is>
      </c>
      <c r="E513" t="inlineStr">
        <is>
          <t>OVANÅKER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49857-2024</t>
        </is>
      </c>
      <c r="B514" s="1" t="n">
        <v>45597.46914351852</v>
      </c>
      <c r="C514" s="1" t="n">
        <v>46179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6243-2026</t>
        </is>
      </c>
      <c r="B515" s="1" t="n">
        <v>46055</v>
      </c>
      <c r="C515" s="1" t="n">
        <v>46179</v>
      </c>
      <c r="D515" t="inlineStr">
        <is>
          <t>GÄVLEBORGS LÄN</t>
        </is>
      </c>
      <c r="E515" t="inlineStr">
        <is>
          <t>OVANÅKER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32926-2025</t>
        </is>
      </c>
      <c r="B516" s="1" t="n">
        <v>45839.6599074074</v>
      </c>
      <c r="C516" s="1" t="n">
        <v>46179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6112-2026</t>
        </is>
      </c>
      <c r="B517" s="1" t="n">
        <v>46053.39618055556</v>
      </c>
      <c r="C517" s="1" t="n">
        <v>46179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6113-2026</t>
        </is>
      </c>
      <c r="B518" s="1" t="n">
        <v>46053</v>
      </c>
      <c r="C518" s="1" t="n">
        <v>46179</v>
      </c>
      <c r="D518" t="inlineStr">
        <is>
          <t>GÄVLEBORGS LÄN</t>
        </is>
      </c>
      <c r="E518" t="inlineStr">
        <is>
          <t>OVANÅKER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32914-2025</t>
        </is>
      </c>
      <c r="B519" s="1" t="n">
        <v>45839.63633101852</v>
      </c>
      <c r="C519" s="1" t="n">
        <v>46179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6175-2026</t>
        </is>
      </c>
      <c r="B520" s="1" t="n">
        <v>46055</v>
      </c>
      <c r="C520" s="1" t="n">
        <v>46179</v>
      </c>
      <c r="D520" t="inlineStr">
        <is>
          <t>GÄVLEBORGS LÄN</t>
        </is>
      </c>
      <c r="E520" t="inlineStr">
        <is>
          <t>OVANÅKER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32831-2025</t>
        </is>
      </c>
      <c r="B521" s="1" t="n">
        <v>45839.55167824074</v>
      </c>
      <c r="C521" s="1" t="n">
        <v>46179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47310-2025</t>
        </is>
      </c>
      <c r="B522" s="1" t="n">
        <v>45930.53824074074</v>
      </c>
      <c r="C522" s="1" t="n">
        <v>46179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32886-2025</t>
        </is>
      </c>
      <c r="B523" s="1" t="n">
        <v>45839.59930555556</v>
      </c>
      <c r="C523" s="1" t="n">
        <v>46179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47382-2025</t>
        </is>
      </c>
      <c r="B524" s="1" t="n">
        <v>45930.59686342593</v>
      </c>
      <c r="C524" s="1" t="n">
        <v>46179</v>
      </c>
      <c r="D524" t="inlineStr">
        <is>
          <t>GÄVLEBORGS LÄN</t>
        </is>
      </c>
      <c r="E524" t="inlineStr">
        <is>
          <t>OVANÅKER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47384-2025</t>
        </is>
      </c>
      <c r="B525" s="1" t="n">
        <v>45930.59862268518</v>
      </c>
      <c r="C525" s="1" t="n">
        <v>46179</v>
      </c>
      <c r="D525" t="inlineStr">
        <is>
          <t>GÄVLEBORGS LÄN</t>
        </is>
      </c>
      <c r="E525" t="inlineStr">
        <is>
          <t>OVANÅKER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32930-2025</t>
        </is>
      </c>
      <c r="B526" s="1" t="n">
        <v>45839.66732638889</v>
      </c>
      <c r="C526" s="1" t="n">
        <v>46179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32932-2025</t>
        </is>
      </c>
      <c r="B527" s="1" t="n">
        <v>45839.67134259259</v>
      </c>
      <c r="C527" s="1" t="n">
        <v>46179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46932-2025</t>
        </is>
      </c>
      <c r="B528" s="1" t="n">
        <v>45929.44258101852</v>
      </c>
      <c r="C528" s="1" t="n">
        <v>46179</v>
      </c>
      <c r="D528" t="inlineStr">
        <is>
          <t>GÄVLEBORGS LÄN</t>
        </is>
      </c>
      <c r="E528" t="inlineStr">
        <is>
          <t>OVANÅKER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47374-2025</t>
        </is>
      </c>
      <c r="B529" s="1" t="n">
        <v>45930.59420138889</v>
      </c>
      <c r="C529" s="1" t="n">
        <v>46179</v>
      </c>
      <c r="D529" t="inlineStr">
        <is>
          <t>GÄVLEBORGS LÄN</t>
        </is>
      </c>
      <c r="E529" t="inlineStr">
        <is>
          <t>OVANÅKER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47367-2025</t>
        </is>
      </c>
      <c r="B530" s="1" t="n">
        <v>45930.59047453704</v>
      </c>
      <c r="C530" s="1" t="n">
        <v>46179</v>
      </c>
      <c r="D530" t="inlineStr">
        <is>
          <t>GÄVLEBORGS LÄN</t>
        </is>
      </c>
      <c r="E530" t="inlineStr">
        <is>
          <t>OVANÅKER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33008-2025</t>
        </is>
      </c>
      <c r="B531" s="1" t="n">
        <v>45840.35980324074</v>
      </c>
      <c r="C531" s="1" t="n">
        <v>46179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5271-2023</t>
        </is>
      </c>
      <c r="B532" s="1" t="n">
        <v>44959.48050925926</v>
      </c>
      <c r="C532" s="1" t="n">
        <v>46179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5300-2023</t>
        </is>
      </c>
      <c r="B533" s="1" t="n">
        <v>44959.54719907408</v>
      </c>
      <c r="C533" s="1" t="n">
        <v>46179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13365-2023</t>
        </is>
      </c>
      <c r="B534" s="1" t="n">
        <v>45005</v>
      </c>
      <c r="C534" s="1" t="n">
        <v>46179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47680-2025</t>
        </is>
      </c>
      <c r="B535" s="1" t="n">
        <v>45931.58048611111</v>
      </c>
      <c r="C535" s="1" t="n">
        <v>46179</v>
      </c>
      <c r="D535" t="inlineStr">
        <is>
          <t>GÄVLEBORGS LÄN</t>
        </is>
      </c>
      <c r="E535" t="inlineStr">
        <is>
          <t>OVANÅKER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33426-2025</t>
        </is>
      </c>
      <c r="B536" s="1" t="n">
        <v>45841.44555555555</v>
      </c>
      <c r="C536" s="1" t="n">
        <v>46179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55672-2024</t>
        </is>
      </c>
      <c r="B537" s="1" t="n">
        <v>45622.65292824074</v>
      </c>
      <c r="C537" s="1" t="n">
        <v>46179</v>
      </c>
      <c r="D537" t="inlineStr">
        <is>
          <t>GÄVLEBORGS LÄN</t>
        </is>
      </c>
      <c r="E537" t="inlineStr">
        <is>
          <t>OVANÅKER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1892-2024</t>
        </is>
      </c>
      <c r="B538" s="1" t="n">
        <v>45308.30474537037</v>
      </c>
      <c r="C538" s="1" t="n">
        <v>46179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19884-2025</t>
        </is>
      </c>
      <c r="B539" s="1" t="n">
        <v>45771.56451388889</v>
      </c>
      <c r="C539" s="1" t="n">
        <v>46179</v>
      </c>
      <c r="D539" t="inlineStr">
        <is>
          <t>GÄVLEBORGS LÄN</t>
        </is>
      </c>
      <c r="E539" t="inlineStr">
        <is>
          <t>OVANÅKER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6728-2026</t>
        </is>
      </c>
      <c r="B540" s="1" t="n">
        <v>46056.68302083333</v>
      </c>
      <c r="C540" s="1" t="n">
        <v>46179</v>
      </c>
      <c r="D540" t="inlineStr">
        <is>
          <t>GÄVLEBORGS LÄN</t>
        </is>
      </c>
      <c r="E540" t="inlineStr">
        <is>
          <t>OVANÅKER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6735-2026</t>
        </is>
      </c>
      <c r="B541" s="1" t="n">
        <v>46056.69196759259</v>
      </c>
      <c r="C541" s="1" t="n">
        <v>46179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33459-2025</t>
        </is>
      </c>
      <c r="B542" s="1" t="n">
        <v>45841.47872685185</v>
      </c>
      <c r="C542" s="1" t="n">
        <v>46179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47618-2025</t>
        </is>
      </c>
      <c r="B543" s="1" t="n">
        <v>45931.4806712963</v>
      </c>
      <c r="C543" s="1" t="n">
        <v>46179</v>
      </c>
      <c r="D543" t="inlineStr">
        <is>
          <t>GÄVLEBORGS LÄN</t>
        </is>
      </c>
      <c r="E543" t="inlineStr">
        <is>
          <t>OVANÅKER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47617-2025</t>
        </is>
      </c>
      <c r="B544" s="1" t="n">
        <v>45931.47832175926</v>
      </c>
      <c r="C544" s="1" t="n">
        <v>46179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6734-2026</t>
        </is>
      </c>
      <c r="B545" s="1" t="n">
        <v>46056.68880787037</v>
      </c>
      <c r="C545" s="1" t="n">
        <v>46179</v>
      </c>
      <c r="D545" t="inlineStr">
        <is>
          <t>GÄVLEBORGS LÄN</t>
        </is>
      </c>
      <c r="E545" t="inlineStr">
        <is>
          <t>OVANÅKER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6196-2026</t>
        </is>
      </c>
      <c r="B546" s="1" t="n">
        <v>46055.39881944445</v>
      </c>
      <c r="C546" s="1" t="n">
        <v>46179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6234-2026</t>
        </is>
      </c>
      <c r="B547" s="1" t="n">
        <v>46055.45103009259</v>
      </c>
      <c r="C547" s="1" t="n">
        <v>46179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42286-2025</t>
        </is>
      </c>
      <c r="B548" s="1" t="n">
        <v>45904.62043981482</v>
      </c>
      <c r="C548" s="1" t="n">
        <v>46179</v>
      </c>
      <c r="D548" t="inlineStr">
        <is>
          <t>GÄVLEBORGS LÄN</t>
        </is>
      </c>
      <c r="E548" t="inlineStr">
        <is>
          <t>OVANÅKER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7303-2026</t>
        </is>
      </c>
      <c r="B549" s="1" t="n">
        <v>46058</v>
      </c>
      <c r="C549" s="1" t="n">
        <v>46179</v>
      </c>
      <c r="D549" t="inlineStr">
        <is>
          <t>GÄVLEBORGS LÄN</t>
        </is>
      </c>
      <c r="E549" t="inlineStr">
        <is>
          <t>OVANÅKER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6844-2026</t>
        </is>
      </c>
      <c r="B550" s="1" t="n">
        <v>46057</v>
      </c>
      <c r="C550" s="1" t="n">
        <v>46179</v>
      </c>
      <c r="D550" t="inlineStr">
        <is>
          <t>GÄVLEBORGS LÄN</t>
        </is>
      </c>
      <c r="E550" t="inlineStr">
        <is>
          <t>OVANÅKER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6870-2026</t>
        </is>
      </c>
      <c r="B551" s="1" t="n">
        <v>46057.45046296297</v>
      </c>
      <c r="C551" s="1" t="n">
        <v>46179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6821-2026</t>
        </is>
      </c>
      <c r="B552" s="1" t="n">
        <v>46057.38680555556</v>
      </c>
      <c r="C552" s="1" t="n">
        <v>46179</v>
      </c>
      <c r="D552" t="inlineStr">
        <is>
          <t>GÄVLEBORGS LÄN</t>
        </is>
      </c>
      <c r="E552" t="inlineStr">
        <is>
          <t>OVANÅKER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6913-2026</t>
        </is>
      </c>
      <c r="B553" s="1" t="n">
        <v>46057.51311342593</v>
      </c>
      <c r="C553" s="1" t="n">
        <v>46179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7294-2026</t>
        </is>
      </c>
      <c r="B554" s="1" t="n">
        <v>46058.64146990741</v>
      </c>
      <c r="C554" s="1" t="n">
        <v>46179</v>
      </c>
      <c r="D554" t="inlineStr">
        <is>
          <t>GÄVLEBORGS LÄN</t>
        </is>
      </c>
      <c r="E554" t="inlineStr">
        <is>
          <t>OVANÅKER</t>
        </is>
      </c>
      <c r="G554" t="n">
        <v>30.5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34321-2025</t>
        </is>
      </c>
      <c r="B555" s="1" t="n">
        <v>45846.42568287037</v>
      </c>
      <c r="C555" s="1" t="n">
        <v>46179</v>
      </c>
      <c r="D555" t="inlineStr">
        <is>
          <t>GÄVLEBORGS LÄN</t>
        </is>
      </c>
      <c r="E555" t="inlineStr">
        <is>
          <t>OVANÅKER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7467-2026</t>
        </is>
      </c>
      <c r="B556" s="1" t="n">
        <v>46058</v>
      </c>
      <c r="C556" s="1" t="n">
        <v>46179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7468-2026</t>
        </is>
      </c>
      <c r="B557" s="1" t="n">
        <v>46058</v>
      </c>
      <c r="C557" s="1" t="n">
        <v>46179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7478-2026</t>
        </is>
      </c>
      <c r="B558" s="1" t="n">
        <v>46058</v>
      </c>
      <c r="C558" s="1" t="n">
        <v>46179</v>
      </c>
      <c r="D558" t="inlineStr">
        <is>
          <t>GÄVLEBORGS LÄN</t>
        </is>
      </c>
      <c r="E558" t="inlineStr">
        <is>
          <t>OVANÅKER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6912-2026</t>
        </is>
      </c>
      <c r="B559" s="1" t="n">
        <v>46057.51216435185</v>
      </c>
      <c r="C559" s="1" t="n">
        <v>46179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49176-2025</t>
        </is>
      </c>
      <c r="B560" s="1" t="n">
        <v>45938.38094907408</v>
      </c>
      <c r="C560" s="1" t="n">
        <v>46179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7060-2026</t>
        </is>
      </c>
      <c r="B561" s="1" t="n">
        <v>46057</v>
      </c>
      <c r="C561" s="1" t="n">
        <v>46179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7307-2026</t>
        </is>
      </c>
      <c r="B562" s="1" t="n">
        <v>46058</v>
      </c>
      <c r="C562" s="1" t="n">
        <v>46179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57100-2024</t>
        </is>
      </c>
      <c r="B563" s="1" t="n">
        <v>45629</v>
      </c>
      <c r="C563" s="1" t="n">
        <v>46179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35075-2025</t>
        </is>
      </c>
      <c r="B564" s="1" t="n">
        <v>45852.48225694444</v>
      </c>
      <c r="C564" s="1" t="n">
        <v>46179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35069-2025</t>
        </is>
      </c>
      <c r="B565" s="1" t="n">
        <v>45852.46069444445</v>
      </c>
      <c r="C565" s="1" t="n">
        <v>46179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6940-2026</t>
        </is>
      </c>
      <c r="B566" s="1" t="n">
        <v>46057.56431712963</v>
      </c>
      <c r="C566" s="1" t="n">
        <v>46179</v>
      </c>
      <c r="D566" t="inlineStr">
        <is>
          <t>GÄVLEBORGS LÄN</t>
        </is>
      </c>
      <c r="E566" t="inlineStr">
        <is>
          <t>OVANÅKER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48757-2024</t>
        </is>
      </c>
      <c r="B567" s="1" t="n">
        <v>45593.5981712963</v>
      </c>
      <c r="C567" s="1" t="n">
        <v>46179</v>
      </c>
      <c r="D567" t="inlineStr">
        <is>
          <t>GÄVLEBORGS LÄN</t>
        </is>
      </c>
      <c r="E567" t="inlineStr">
        <is>
          <t>OVANÅKER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7065-2026</t>
        </is>
      </c>
      <c r="B568" s="1" t="n">
        <v>46058</v>
      </c>
      <c r="C568" s="1" t="n">
        <v>46179</v>
      </c>
      <c r="D568" t="inlineStr">
        <is>
          <t>GÄVLEBORGS LÄN</t>
        </is>
      </c>
      <c r="E568" t="inlineStr">
        <is>
          <t>OVANÅKER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7061-2026</t>
        </is>
      </c>
      <c r="B569" s="1" t="n">
        <v>46057</v>
      </c>
      <c r="C569" s="1" t="n">
        <v>46179</v>
      </c>
      <c r="D569" t="inlineStr">
        <is>
          <t>GÄVLEBORGS LÄN</t>
        </is>
      </c>
      <c r="E569" t="inlineStr">
        <is>
          <t>OVANÅKER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7064-2026</t>
        </is>
      </c>
      <c r="B570" s="1" t="n">
        <v>46058</v>
      </c>
      <c r="C570" s="1" t="n">
        <v>46179</v>
      </c>
      <c r="D570" t="inlineStr">
        <is>
          <t>GÄVLEBORGS LÄN</t>
        </is>
      </c>
      <c r="E570" t="inlineStr">
        <is>
          <t>OVANÅKER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7477-2026</t>
        </is>
      </c>
      <c r="B571" s="1" t="n">
        <v>46058</v>
      </c>
      <c r="C571" s="1" t="n">
        <v>46179</v>
      </c>
      <c r="D571" t="inlineStr">
        <is>
          <t>GÄVLEBORGS LÄN</t>
        </is>
      </c>
      <c r="E571" t="inlineStr">
        <is>
          <t>OVANÅKER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48267-2023</t>
        </is>
      </c>
      <c r="B572" s="1" t="n">
        <v>45205.54505787037</v>
      </c>
      <c r="C572" s="1" t="n">
        <v>46179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50791-2024</t>
        </is>
      </c>
      <c r="B573" s="1" t="n">
        <v>45602.47328703704</v>
      </c>
      <c r="C573" s="1" t="n">
        <v>46179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7176-2026</t>
        </is>
      </c>
      <c r="B574" s="1" t="n">
        <v>46058.46605324074</v>
      </c>
      <c r="C574" s="1" t="n">
        <v>46179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7225-2026</t>
        </is>
      </c>
      <c r="B575" s="1" t="n">
        <v>46058.56771990741</v>
      </c>
      <c r="C575" s="1" t="n">
        <v>46179</v>
      </c>
      <c r="D575" t="inlineStr">
        <is>
          <t>GÄVLEBORGS LÄN</t>
        </is>
      </c>
      <c r="E575" t="inlineStr">
        <is>
          <t>OVANÅKER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6860-2026</t>
        </is>
      </c>
      <c r="B576" s="1" t="n">
        <v>46057</v>
      </c>
      <c r="C576" s="1" t="n">
        <v>46179</v>
      </c>
      <c r="D576" t="inlineStr">
        <is>
          <t>GÄVLEBORGS LÄN</t>
        </is>
      </c>
      <c r="E576" t="inlineStr">
        <is>
          <t>OVANÅKER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35302-2025</t>
        </is>
      </c>
      <c r="B577" s="1" t="n">
        <v>45854.42663194444</v>
      </c>
      <c r="C577" s="1" t="n">
        <v>46179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7490-2026</t>
        </is>
      </c>
      <c r="B578" s="1" t="n">
        <v>46059.53604166667</v>
      </c>
      <c r="C578" s="1" t="n">
        <v>46179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7333-2026</t>
        </is>
      </c>
      <c r="B579" s="1" t="n">
        <v>46058.78822916667</v>
      </c>
      <c r="C579" s="1" t="n">
        <v>46179</v>
      </c>
      <c r="D579" t="inlineStr">
        <is>
          <t>GÄVLEBORGS LÄN</t>
        </is>
      </c>
      <c r="E579" t="inlineStr">
        <is>
          <t>OVANÅKER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35311-2025</t>
        </is>
      </c>
      <c r="B580" s="1" t="n">
        <v>45854.45430555556</v>
      </c>
      <c r="C580" s="1" t="n">
        <v>46179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7525-2026</t>
        </is>
      </c>
      <c r="B581" s="1" t="n">
        <v>46059.6093287037</v>
      </c>
      <c r="C581" s="1" t="n">
        <v>46179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7697-2026</t>
        </is>
      </c>
      <c r="B582" s="1" t="n">
        <v>46062.451875</v>
      </c>
      <c r="C582" s="1" t="n">
        <v>46179</v>
      </c>
      <c r="D582" t="inlineStr">
        <is>
          <t>GÄVLEBORGS LÄN</t>
        </is>
      </c>
      <c r="E582" t="inlineStr">
        <is>
          <t>OVANÅKER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7750-2026</t>
        </is>
      </c>
      <c r="B583" s="1" t="n">
        <v>46062.54636574074</v>
      </c>
      <c r="C583" s="1" t="n">
        <v>46179</v>
      </c>
      <c r="D583" t="inlineStr">
        <is>
          <t>GÄVLEBORGS LÄN</t>
        </is>
      </c>
      <c r="E583" t="inlineStr">
        <is>
          <t>OVANÅKER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7369-2026</t>
        </is>
      </c>
      <c r="B584" s="1" t="n">
        <v>46059</v>
      </c>
      <c r="C584" s="1" t="n">
        <v>46179</v>
      </c>
      <c r="D584" t="inlineStr">
        <is>
          <t>GÄVLEBORGS LÄN</t>
        </is>
      </c>
      <c r="E584" t="inlineStr">
        <is>
          <t>OVANÅKER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7524-2026</t>
        </is>
      </c>
      <c r="B585" s="1" t="n">
        <v>46059.60871527778</v>
      </c>
      <c r="C585" s="1" t="n">
        <v>46179</v>
      </c>
      <c r="D585" t="inlineStr">
        <is>
          <t>GÄVLEBORGS LÄN</t>
        </is>
      </c>
      <c r="E585" t="inlineStr">
        <is>
          <t>OVANÅKER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49213-2025</t>
        </is>
      </c>
      <c r="B586" s="1" t="n">
        <v>45938.44077546296</v>
      </c>
      <c r="C586" s="1" t="n">
        <v>46179</v>
      </c>
      <c r="D586" t="inlineStr">
        <is>
          <t>GÄVLEBORGS LÄN</t>
        </is>
      </c>
      <c r="E586" t="inlineStr">
        <is>
          <t>OVANÅKER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7752-2026</t>
        </is>
      </c>
      <c r="B587" s="1" t="n">
        <v>46062</v>
      </c>
      <c r="C587" s="1" t="n">
        <v>46179</v>
      </c>
      <c r="D587" t="inlineStr">
        <is>
          <t>GÄVLEBORGS LÄN</t>
        </is>
      </c>
      <c r="E587" t="inlineStr">
        <is>
          <t>OVANÅKER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7662-2026</t>
        </is>
      </c>
      <c r="B588" s="1" t="n">
        <v>46062</v>
      </c>
      <c r="C588" s="1" t="n">
        <v>46179</v>
      </c>
      <c r="D588" t="inlineStr">
        <is>
          <t>GÄVLEBORGS LÄN</t>
        </is>
      </c>
      <c r="E588" t="inlineStr">
        <is>
          <t>OVANÅKER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6657-2026</t>
        </is>
      </c>
      <c r="B589" s="1" t="n">
        <v>46056</v>
      </c>
      <c r="C589" s="1" t="n">
        <v>46179</v>
      </c>
      <c r="D589" t="inlineStr">
        <is>
          <t>GÄVLEBORGS LÄN</t>
        </is>
      </c>
      <c r="E589" t="inlineStr">
        <is>
          <t>OVANÅKER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7354-2026</t>
        </is>
      </c>
      <c r="B590" s="1" t="n">
        <v>46059.27091435185</v>
      </c>
      <c r="C590" s="1" t="n">
        <v>46179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7858-2026</t>
        </is>
      </c>
      <c r="B591" s="1" t="n">
        <v>46062</v>
      </c>
      <c r="C591" s="1" t="n">
        <v>46179</v>
      </c>
      <c r="D591" t="inlineStr">
        <is>
          <t>GÄVLEBORGS LÄN</t>
        </is>
      </c>
      <c r="E591" t="inlineStr">
        <is>
          <t>OVANÅKER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7872-2026</t>
        </is>
      </c>
      <c r="B592" s="1" t="n">
        <v>46062</v>
      </c>
      <c r="C592" s="1" t="n">
        <v>46179</v>
      </c>
      <c r="D592" t="inlineStr">
        <is>
          <t>GÄVLEBORGS LÄN</t>
        </is>
      </c>
      <c r="E592" t="inlineStr">
        <is>
          <t>OVANÅKER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27422-2024</t>
        </is>
      </c>
      <c r="B593" s="1" t="n">
        <v>45474.37935185185</v>
      </c>
      <c r="C593" s="1" t="n">
        <v>46179</v>
      </c>
      <c r="D593" t="inlineStr">
        <is>
          <t>GÄVLEBORGS LÄN</t>
        </is>
      </c>
      <c r="E593" t="inlineStr">
        <is>
          <t>OVANÅKER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49173-2025</t>
        </is>
      </c>
      <c r="B594" s="1" t="n">
        <v>45938.37474537037</v>
      </c>
      <c r="C594" s="1" t="n">
        <v>46179</v>
      </c>
      <c r="D594" t="inlineStr">
        <is>
          <t>GÄVLEBORGS LÄN</t>
        </is>
      </c>
      <c r="E594" t="inlineStr">
        <is>
          <t>OVANÅKER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7774-2026</t>
        </is>
      </c>
      <c r="B595" s="1" t="n">
        <v>46062</v>
      </c>
      <c r="C595" s="1" t="n">
        <v>46179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49145-2025</t>
        </is>
      </c>
      <c r="B596" s="1" t="n">
        <v>45938.33005787037</v>
      </c>
      <c r="C596" s="1" t="n">
        <v>46179</v>
      </c>
      <c r="D596" t="inlineStr">
        <is>
          <t>GÄVLEBORGS LÄN</t>
        </is>
      </c>
      <c r="E596" t="inlineStr">
        <is>
          <t>OVANÅKER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16911-2025</t>
        </is>
      </c>
      <c r="B597" s="1" t="n">
        <v>45755.36253472222</v>
      </c>
      <c r="C597" s="1" t="n">
        <v>46179</v>
      </c>
      <c r="D597" t="inlineStr">
        <is>
          <t>GÄVLEBORGS LÄN</t>
        </is>
      </c>
      <c r="E597" t="inlineStr">
        <is>
          <t>OVANÅKER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8105-2026</t>
        </is>
      </c>
      <c r="B598" s="1" t="n">
        <v>46059</v>
      </c>
      <c r="C598" s="1" t="n">
        <v>46179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35840-2025</t>
        </is>
      </c>
      <c r="B599" s="1" t="n">
        <v>45861.5499537037</v>
      </c>
      <c r="C599" s="1" t="n">
        <v>46179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35849-2025</t>
        </is>
      </c>
      <c r="B600" s="1" t="n">
        <v>45861.590625</v>
      </c>
      <c r="C600" s="1" t="n">
        <v>46179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7747-2026</t>
        </is>
      </c>
      <c r="B601" s="1" t="n">
        <v>46062.54464120371</v>
      </c>
      <c r="C601" s="1" t="n">
        <v>46179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44199-2025</t>
        </is>
      </c>
      <c r="B602" s="1" t="n">
        <v>45915.62221064815</v>
      </c>
      <c r="C602" s="1" t="n">
        <v>46179</v>
      </c>
      <c r="D602" t="inlineStr">
        <is>
          <t>GÄVLEBORGS LÄN</t>
        </is>
      </c>
      <c r="E602" t="inlineStr">
        <is>
          <t>OVANÅKER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7653-2026</t>
        </is>
      </c>
      <c r="B603" s="1" t="n">
        <v>46062.38793981481</v>
      </c>
      <c r="C603" s="1" t="n">
        <v>46179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7649-2026</t>
        </is>
      </c>
      <c r="B604" s="1" t="n">
        <v>46062</v>
      </c>
      <c r="C604" s="1" t="n">
        <v>46179</v>
      </c>
      <c r="D604" t="inlineStr">
        <is>
          <t>GÄVLEBORGS LÄN</t>
        </is>
      </c>
      <c r="E604" t="inlineStr">
        <is>
          <t>OVANÅKER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7650-2026</t>
        </is>
      </c>
      <c r="B605" s="1" t="n">
        <v>46062.38546296296</v>
      </c>
      <c r="C605" s="1" t="n">
        <v>46179</v>
      </c>
      <c r="D605" t="inlineStr">
        <is>
          <t>GÄVLEBORGS LÄN</t>
        </is>
      </c>
      <c r="E605" t="inlineStr">
        <is>
          <t>OVANÅKER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35846-2025</t>
        </is>
      </c>
      <c r="B606" s="1" t="n">
        <v>45861.57856481482</v>
      </c>
      <c r="C606" s="1" t="n">
        <v>46179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7844-2026</t>
        </is>
      </c>
      <c r="B607" s="1" t="n">
        <v>46062</v>
      </c>
      <c r="C607" s="1" t="n">
        <v>46179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577-2026</t>
        </is>
      </c>
      <c r="B608" s="1" t="n">
        <v>46029</v>
      </c>
      <c r="C608" s="1" t="n">
        <v>46179</v>
      </c>
      <c r="D608" t="inlineStr">
        <is>
          <t>GÄVLEBORGS LÄN</t>
        </is>
      </c>
      <c r="E608" t="inlineStr">
        <is>
          <t>OVANÅKER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8225-2026</t>
        </is>
      </c>
      <c r="B609" s="1" t="n">
        <v>46064.47366898148</v>
      </c>
      <c r="C609" s="1" t="n">
        <v>46179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49551-2025</t>
        </is>
      </c>
      <c r="B610" s="1" t="n">
        <v>45939.44435185185</v>
      </c>
      <c r="C610" s="1" t="n">
        <v>46179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8334-2026</t>
        </is>
      </c>
      <c r="B611" s="1" t="n">
        <v>46064</v>
      </c>
      <c r="C611" s="1" t="n">
        <v>46179</v>
      </c>
      <c r="D611" t="inlineStr">
        <is>
          <t>GÄVLEBORGS LÄN</t>
        </is>
      </c>
      <c r="E611" t="inlineStr">
        <is>
          <t>OVANÅKER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36076-2025</t>
        </is>
      </c>
      <c r="B612" s="1" t="n">
        <v>45866.44275462963</v>
      </c>
      <c r="C612" s="1" t="n">
        <v>46179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36136-2025</t>
        </is>
      </c>
      <c r="B613" s="1" t="n">
        <v>45866.63949074074</v>
      </c>
      <c r="C613" s="1" t="n">
        <v>46179</v>
      </c>
      <c r="D613" t="inlineStr">
        <is>
          <t>GÄVLEBORGS LÄN</t>
        </is>
      </c>
      <c r="E613" t="inlineStr">
        <is>
          <t>OVANÅKER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8021-2026</t>
        </is>
      </c>
      <c r="B614" s="1" t="n">
        <v>46063.55601851852</v>
      </c>
      <c r="C614" s="1" t="n">
        <v>46179</v>
      </c>
      <c r="D614" t="inlineStr">
        <is>
          <t>GÄVLEBORGS LÄN</t>
        </is>
      </c>
      <c r="E614" t="inlineStr">
        <is>
          <t>OVANÅKER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8308-2026</t>
        </is>
      </c>
      <c r="B615" s="1" t="n">
        <v>46064.58982638889</v>
      </c>
      <c r="C615" s="1" t="n">
        <v>46179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8316-2026</t>
        </is>
      </c>
      <c r="B616" s="1" t="n">
        <v>46064.60378472223</v>
      </c>
      <c r="C616" s="1" t="n">
        <v>46179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8331-2026</t>
        </is>
      </c>
      <c r="B617" s="1" t="n">
        <v>46064</v>
      </c>
      <c r="C617" s="1" t="n">
        <v>46179</v>
      </c>
      <c r="D617" t="inlineStr">
        <is>
          <t>GÄVLEBORGS LÄN</t>
        </is>
      </c>
      <c r="E617" t="inlineStr">
        <is>
          <t>OVANÅKER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49487-2025</t>
        </is>
      </c>
      <c r="B618" s="1" t="n">
        <v>45939.36452546297</v>
      </c>
      <c r="C618" s="1" t="n">
        <v>46179</v>
      </c>
      <c r="D618" t="inlineStr">
        <is>
          <t>GÄVLEBORGS LÄN</t>
        </is>
      </c>
      <c r="E618" t="inlineStr">
        <is>
          <t>OVANÅKER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7904-2026</t>
        </is>
      </c>
      <c r="B619" s="1" t="n">
        <v>46063</v>
      </c>
      <c r="C619" s="1" t="n">
        <v>46179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8289-2026</t>
        </is>
      </c>
      <c r="B620" s="1" t="n">
        <v>46064</v>
      </c>
      <c r="C620" s="1" t="n">
        <v>46179</v>
      </c>
      <c r="D620" t="inlineStr">
        <is>
          <t>GÄVLEBORGS LÄN</t>
        </is>
      </c>
      <c r="E620" t="inlineStr">
        <is>
          <t>OVANÅKER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8017-2026</t>
        </is>
      </c>
      <c r="B621" s="1" t="n">
        <v>46063</v>
      </c>
      <c r="C621" s="1" t="n">
        <v>46179</v>
      </c>
      <c r="D621" t="inlineStr">
        <is>
          <t>GÄVLEBORGS LÄN</t>
        </is>
      </c>
      <c r="E621" t="inlineStr">
        <is>
          <t>OVANÅKER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8215-2026</t>
        </is>
      </c>
      <c r="B622" s="1" t="n">
        <v>46064</v>
      </c>
      <c r="C622" s="1" t="n">
        <v>46179</v>
      </c>
      <c r="D622" t="inlineStr">
        <is>
          <t>GÄVLEBORGS LÄN</t>
        </is>
      </c>
      <c r="E622" t="inlineStr">
        <is>
          <t>OVANÅKER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7901-2026</t>
        </is>
      </c>
      <c r="B623" s="1" t="n">
        <v>46063</v>
      </c>
      <c r="C623" s="1" t="n">
        <v>46179</v>
      </c>
      <c r="D623" t="inlineStr">
        <is>
          <t>GÄVLEBORGS LÄN</t>
        </is>
      </c>
      <c r="E623" t="inlineStr">
        <is>
          <t>OVANÅKER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7903-2026</t>
        </is>
      </c>
      <c r="B624" s="1" t="n">
        <v>46063.35148148148</v>
      </c>
      <c r="C624" s="1" t="n">
        <v>46179</v>
      </c>
      <c r="D624" t="inlineStr">
        <is>
          <t>GÄVLEBORGS LÄN</t>
        </is>
      </c>
      <c r="E624" t="inlineStr">
        <is>
          <t>OVANÅKER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8243-2026</t>
        </is>
      </c>
      <c r="B625" s="1" t="n">
        <v>46064.49043981481</v>
      </c>
      <c r="C625" s="1" t="n">
        <v>46179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8265-2026</t>
        </is>
      </c>
      <c r="B626" s="1" t="n">
        <v>46064.53915509259</v>
      </c>
      <c r="C626" s="1" t="n">
        <v>46179</v>
      </c>
      <c r="D626" t="inlineStr">
        <is>
          <t>GÄVLEBORGS LÄN</t>
        </is>
      </c>
      <c r="E626" t="inlineStr">
        <is>
          <t>OVANÅKER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44475-2025</t>
        </is>
      </c>
      <c r="B627" s="1" t="n">
        <v>45916.64394675926</v>
      </c>
      <c r="C627" s="1" t="n">
        <v>46179</v>
      </c>
      <c r="D627" t="inlineStr">
        <is>
          <t>GÄVLEBORGS LÄN</t>
        </is>
      </c>
      <c r="E627" t="inlineStr">
        <is>
          <t>OVANÅKER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36140-2025</t>
        </is>
      </c>
      <c r="B628" s="1" t="n">
        <v>45866.65291666667</v>
      </c>
      <c r="C628" s="1" t="n">
        <v>46179</v>
      </c>
      <c r="D628" t="inlineStr">
        <is>
          <t>GÄVLEBORGS LÄN</t>
        </is>
      </c>
      <c r="E628" t="inlineStr">
        <is>
          <t>OVANÅKER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7961-2026</t>
        </is>
      </c>
      <c r="B629" s="1" t="n">
        <v>46063</v>
      </c>
      <c r="C629" s="1" t="n">
        <v>46179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8302-2026</t>
        </is>
      </c>
      <c r="B630" s="1" t="n">
        <v>46064.5825462963</v>
      </c>
      <c r="C630" s="1" t="n">
        <v>46179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49672-2025</t>
        </is>
      </c>
      <c r="B631" s="1" t="n">
        <v>45939.64173611111</v>
      </c>
      <c r="C631" s="1" t="n">
        <v>46179</v>
      </c>
      <c r="D631" t="inlineStr">
        <is>
          <t>GÄVLEBORGS LÄN</t>
        </is>
      </c>
      <c r="E631" t="inlineStr">
        <is>
          <t>OVANÅKER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49548-2025</t>
        </is>
      </c>
      <c r="B632" s="1" t="n">
        <v>45939.4422337963</v>
      </c>
      <c r="C632" s="1" t="n">
        <v>46179</v>
      </c>
      <c r="D632" t="inlineStr">
        <is>
          <t>GÄVLEBORGS LÄN</t>
        </is>
      </c>
      <c r="E632" t="inlineStr">
        <is>
          <t>OVANÅKER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7895-2026</t>
        </is>
      </c>
      <c r="B633" s="1" t="n">
        <v>46063.34335648148</v>
      </c>
      <c r="C633" s="1" t="n">
        <v>46179</v>
      </c>
      <c r="D633" t="inlineStr">
        <is>
          <t>GÄVLEBORGS LÄN</t>
        </is>
      </c>
      <c r="E633" t="inlineStr">
        <is>
          <t>OVANÅKER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36404-2025</t>
        </is>
      </c>
      <c r="B634" s="1" t="n">
        <v>45868.66592592592</v>
      </c>
      <c r="C634" s="1" t="n">
        <v>46179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36184-2025</t>
        </is>
      </c>
      <c r="B635" s="1" t="n">
        <v>45867.41747685185</v>
      </c>
      <c r="C635" s="1" t="n">
        <v>46179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8287-2026</t>
        </is>
      </c>
      <c r="B636" s="1" t="n">
        <v>46064</v>
      </c>
      <c r="C636" s="1" t="n">
        <v>46179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7894-2026</t>
        </is>
      </c>
      <c r="B637" s="1" t="n">
        <v>46063.33663194445</v>
      </c>
      <c r="C637" s="1" t="n">
        <v>46179</v>
      </c>
      <c r="D637" t="inlineStr">
        <is>
          <t>GÄVLEBORGS LÄN</t>
        </is>
      </c>
      <c r="E637" t="inlineStr">
        <is>
          <t>OVANÅKER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8015-2026</t>
        </is>
      </c>
      <c r="B638" s="1" t="n">
        <v>46063.5431712963</v>
      </c>
      <c r="C638" s="1" t="n">
        <v>46179</v>
      </c>
      <c r="D638" t="inlineStr">
        <is>
          <t>GÄVLEBORGS LÄN</t>
        </is>
      </c>
      <c r="E638" t="inlineStr">
        <is>
          <t>OVANÅKER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8016-2026</t>
        </is>
      </c>
      <c r="B639" s="1" t="n">
        <v>46063.54653935185</v>
      </c>
      <c r="C639" s="1" t="n">
        <v>46179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8389-2026</t>
        </is>
      </c>
      <c r="B640" s="1" t="n">
        <v>46064</v>
      </c>
      <c r="C640" s="1" t="n">
        <v>46179</v>
      </c>
      <c r="D640" t="inlineStr">
        <is>
          <t>GÄVLEBORGS LÄN</t>
        </is>
      </c>
      <c r="E640" t="inlineStr">
        <is>
          <t>OVANÅKER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7960-2026</t>
        </is>
      </c>
      <c r="B641" s="1" t="n">
        <v>46063</v>
      </c>
      <c r="C641" s="1" t="n">
        <v>46179</v>
      </c>
      <c r="D641" t="inlineStr">
        <is>
          <t>GÄVLEBORGS LÄN</t>
        </is>
      </c>
      <c r="E641" t="inlineStr">
        <is>
          <t>OVANÅKER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36403-2025</t>
        </is>
      </c>
      <c r="B642" s="1" t="n">
        <v>45868.6621875</v>
      </c>
      <c r="C642" s="1" t="n">
        <v>46179</v>
      </c>
      <c r="D642" t="inlineStr">
        <is>
          <t>GÄVLEBORGS LÄN</t>
        </is>
      </c>
      <c r="E642" t="inlineStr">
        <is>
          <t>OVANÅKER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36406-2025</t>
        </is>
      </c>
      <c r="B643" s="1" t="n">
        <v>45868.67018518518</v>
      </c>
      <c r="C643" s="1" t="n">
        <v>46179</v>
      </c>
      <c r="D643" t="inlineStr">
        <is>
          <t>GÄVLEBORGS LÄN</t>
        </is>
      </c>
      <c r="E643" t="inlineStr">
        <is>
          <t>OVANÅKER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8183-2026</t>
        </is>
      </c>
      <c r="B644" s="1" t="n">
        <v>46064</v>
      </c>
      <c r="C644" s="1" t="n">
        <v>46179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8267-2026</t>
        </is>
      </c>
      <c r="B645" s="1" t="n">
        <v>46064.54449074074</v>
      </c>
      <c r="C645" s="1" t="n">
        <v>46179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8013-2026</t>
        </is>
      </c>
      <c r="B646" s="1" t="n">
        <v>46063</v>
      </c>
      <c r="C646" s="1" t="n">
        <v>46179</v>
      </c>
      <c r="D646" t="inlineStr">
        <is>
          <t>GÄVLEBORGS LÄN</t>
        </is>
      </c>
      <c r="E646" t="inlineStr">
        <is>
          <t>OVANÅKER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8213-2026</t>
        </is>
      </c>
      <c r="B647" s="1" t="n">
        <v>46064.45447916666</v>
      </c>
      <c r="C647" s="1" t="n">
        <v>46179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36551-2025</t>
        </is>
      </c>
      <c r="B648" s="1" t="n">
        <v>45870.32935185185</v>
      </c>
      <c r="C648" s="1" t="n">
        <v>46179</v>
      </c>
      <c r="D648" t="inlineStr">
        <is>
          <t>GÄVLEBORGS LÄN</t>
        </is>
      </c>
      <c r="E648" t="inlineStr">
        <is>
          <t>OVANÅKER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47737-2025</t>
        </is>
      </c>
      <c r="B649" s="1" t="n">
        <v>45931.63833333334</v>
      </c>
      <c r="C649" s="1" t="n">
        <v>46179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50064-2025</t>
        </is>
      </c>
      <c r="B650" s="1" t="n">
        <v>45943.45175925926</v>
      </c>
      <c r="C650" s="1" t="n">
        <v>46179</v>
      </c>
      <c r="D650" t="inlineStr">
        <is>
          <t>GÄVLEBORGS LÄN</t>
        </is>
      </c>
      <c r="E650" t="inlineStr">
        <is>
          <t>OVANÅKER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8619-2026</t>
        </is>
      </c>
      <c r="B651" s="1" t="n">
        <v>46066</v>
      </c>
      <c r="C651" s="1" t="n">
        <v>46179</v>
      </c>
      <c r="D651" t="inlineStr">
        <is>
          <t>GÄVLEBORGS LÄN</t>
        </is>
      </c>
      <c r="E651" t="inlineStr">
        <is>
          <t>OVANÅKER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8531-2026</t>
        </is>
      </c>
      <c r="B652" s="1" t="n">
        <v>46065.60076388889</v>
      </c>
      <c r="C652" s="1" t="n">
        <v>46179</v>
      </c>
      <c r="D652" t="inlineStr">
        <is>
          <t>GÄVLEBORGS LÄN</t>
        </is>
      </c>
      <c r="E652" t="inlineStr">
        <is>
          <t>OVANÅKER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8540-2026</t>
        </is>
      </c>
      <c r="B653" s="1" t="n">
        <v>46065</v>
      </c>
      <c r="C653" s="1" t="n">
        <v>46179</v>
      </c>
      <c r="D653" t="inlineStr">
        <is>
          <t>GÄVLEBORGS LÄN</t>
        </is>
      </c>
      <c r="E653" t="inlineStr">
        <is>
          <t>OVANÅKER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8652-2026</t>
        </is>
      </c>
      <c r="B654" s="1" t="n">
        <v>46066.36796296296</v>
      </c>
      <c r="C654" s="1" t="n">
        <v>46179</v>
      </c>
      <c r="D654" t="inlineStr">
        <is>
          <t>GÄVLEBORGS LÄN</t>
        </is>
      </c>
      <c r="E654" t="inlineStr">
        <is>
          <t>OVANÅKER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27113-2023</t>
        </is>
      </c>
      <c r="B655" s="1" t="n">
        <v>45096.43399305556</v>
      </c>
      <c r="C655" s="1" t="n">
        <v>46179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8699-2026</t>
        </is>
      </c>
      <c r="B656" s="1" t="n">
        <v>46066.45918981481</v>
      </c>
      <c r="C656" s="1" t="n">
        <v>46179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8786-2026</t>
        </is>
      </c>
      <c r="B657" s="1" t="n">
        <v>46066</v>
      </c>
      <c r="C657" s="1" t="n">
        <v>46179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8827-2026</t>
        </is>
      </c>
      <c r="B658" s="1" t="n">
        <v>46066.63379629629</v>
      </c>
      <c r="C658" s="1" t="n">
        <v>46179</v>
      </c>
      <c r="D658" t="inlineStr">
        <is>
          <t>GÄVLEBORGS LÄN</t>
        </is>
      </c>
      <c r="E658" t="inlineStr">
        <is>
          <t>OVANÅKER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8403-2026</t>
        </is>
      </c>
      <c r="B659" s="1" t="n">
        <v>46065</v>
      </c>
      <c r="C659" s="1" t="n">
        <v>46179</v>
      </c>
      <c r="D659" t="inlineStr">
        <is>
          <t>GÄVLEBORGS LÄN</t>
        </is>
      </c>
      <c r="E659" t="inlineStr">
        <is>
          <t>OVANÅKER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53399-2024</t>
        </is>
      </c>
      <c r="B660" s="1" t="n">
        <v>45614.48822916667</v>
      </c>
      <c r="C660" s="1" t="n">
        <v>46179</v>
      </c>
      <c r="D660" t="inlineStr">
        <is>
          <t>GÄVLEBORGS LÄN</t>
        </is>
      </c>
      <c r="E660" t="inlineStr">
        <is>
          <t>OVANÅKER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52961-2024</t>
        </is>
      </c>
      <c r="B661" s="1" t="n">
        <v>45611.30515046296</v>
      </c>
      <c r="C661" s="1" t="n">
        <v>46179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36744-2025</t>
        </is>
      </c>
      <c r="B662" s="1" t="n">
        <v>45873.53833333333</v>
      </c>
      <c r="C662" s="1" t="n">
        <v>46179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18.7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36703-2025</t>
        </is>
      </c>
      <c r="B663" s="1" t="n">
        <v>45873.45009259259</v>
      </c>
      <c r="C663" s="1" t="n">
        <v>46179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8400-2026</t>
        </is>
      </c>
      <c r="B664" s="1" t="n">
        <v>46065</v>
      </c>
      <c r="C664" s="1" t="n">
        <v>46179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50878-2025</t>
        </is>
      </c>
      <c r="B665" s="1" t="n">
        <v>45946.61530092593</v>
      </c>
      <c r="C665" s="1" t="n">
        <v>46179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8742-2026</t>
        </is>
      </c>
      <c r="B666" s="1" t="n">
        <v>46066</v>
      </c>
      <c r="C666" s="1" t="n">
        <v>46179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8411-2026</t>
        </is>
      </c>
      <c r="B667" s="1" t="n">
        <v>46065</v>
      </c>
      <c r="C667" s="1" t="n">
        <v>46179</v>
      </c>
      <c r="D667" t="inlineStr">
        <is>
          <t>GÄVLEBORGS LÄN</t>
        </is>
      </c>
      <c r="E667" t="inlineStr">
        <is>
          <t>OVANÅKER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8745-2026</t>
        </is>
      </c>
      <c r="B668" s="1" t="n">
        <v>46066</v>
      </c>
      <c r="C668" s="1" t="n">
        <v>46179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8707-2026</t>
        </is>
      </c>
      <c r="B669" s="1" t="n">
        <v>46066.47381944444</v>
      </c>
      <c r="C669" s="1" t="n">
        <v>46179</v>
      </c>
      <c r="D669" t="inlineStr">
        <is>
          <t>GÄVLEBORGS LÄN</t>
        </is>
      </c>
      <c r="E669" t="inlineStr">
        <is>
          <t>OVANÅKER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59974-2024</t>
        </is>
      </c>
      <c r="B670" s="1" t="n">
        <v>45642.36561342593</v>
      </c>
      <c r="C670" s="1" t="n">
        <v>46179</v>
      </c>
      <c r="D670" t="inlineStr">
        <is>
          <t>GÄVLEBORGS LÄN</t>
        </is>
      </c>
      <c r="E670" t="inlineStr">
        <is>
          <t>OVANÅKER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36659-2025</t>
        </is>
      </c>
      <c r="B671" s="1" t="n">
        <v>45873.35548611111</v>
      </c>
      <c r="C671" s="1" t="n">
        <v>46179</v>
      </c>
      <c r="D671" t="inlineStr">
        <is>
          <t>GÄVLEBORGS LÄN</t>
        </is>
      </c>
      <c r="E671" t="inlineStr">
        <is>
          <t>OVANÅKER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8398-2026</t>
        </is>
      </c>
      <c r="B672" s="1" t="n">
        <v>46065</v>
      </c>
      <c r="C672" s="1" t="n">
        <v>46179</v>
      </c>
      <c r="D672" t="inlineStr">
        <is>
          <t>GÄVLEBORGS LÄN</t>
        </is>
      </c>
      <c r="E672" t="inlineStr">
        <is>
          <t>OVANÅKER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36753-2025</t>
        </is>
      </c>
      <c r="B673" s="1" t="n">
        <v>45873.55734953703</v>
      </c>
      <c r="C673" s="1" t="n">
        <v>46179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57478-2024</t>
        </is>
      </c>
      <c r="B674" s="1" t="n">
        <v>45630.34912037037</v>
      </c>
      <c r="C674" s="1" t="n">
        <v>46179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8543-2026</t>
        </is>
      </c>
      <c r="B675" s="1" t="n">
        <v>46065</v>
      </c>
      <c r="C675" s="1" t="n">
        <v>46179</v>
      </c>
      <c r="D675" t="inlineStr">
        <is>
          <t>GÄVLEBORGS LÄN</t>
        </is>
      </c>
      <c r="E675" t="inlineStr">
        <is>
          <t>OVANÅKER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36836-2025</t>
        </is>
      </c>
      <c r="B676" s="1" t="n">
        <v>45874.36065972222</v>
      </c>
      <c r="C676" s="1" t="n">
        <v>46179</v>
      </c>
      <c r="D676" t="inlineStr">
        <is>
          <t>GÄVLEBORGS LÄN</t>
        </is>
      </c>
      <c r="E676" t="inlineStr">
        <is>
          <t>OVANÅKER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8378-2026</t>
        </is>
      </c>
      <c r="B677" s="1" t="n">
        <v>46064.81346064815</v>
      </c>
      <c r="C677" s="1" t="n">
        <v>46179</v>
      </c>
      <c r="D677" t="inlineStr">
        <is>
          <t>GÄVLEBORGS LÄN</t>
        </is>
      </c>
      <c r="E677" t="inlineStr">
        <is>
          <t>OVANÅKER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8379-2026</t>
        </is>
      </c>
      <c r="B678" s="1" t="n">
        <v>46064.81556712963</v>
      </c>
      <c r="C678" s="1" t="n">
        <v>46179</v>
      </c>
      <c r="D678" t="inlineStr">
        <is>
          <t>GÄVLEBORGS LÄN</t>
        </is>
      </c>
      <c r="E678" t="inlineStr">
        <is>
          <t>OVANÅKER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8381-2026</t>
        </is>
      </c>
      <c r="B679" s="1" t="n">
        <v>46064.82207175926</v>
      </c>
      <c r="C679" s="1" t="n">
        <v>46179</v>
      </c>
      <c r="D679" t="inlineStr">
        <is>
          <t>GÄVLEBORGS LÄN</t>
        </is>
      </c>
      <c r="E679" t="inlineStr">
        <is>
          <t>OVANÅKER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8383-2026</t>
        </is>
      </c>
      <c r="B680" s="1" t="n">
        <v>46064.82587962963</v>
      </c>
      <c r="C680" s="1" t="n">
        <v>46179</v>
      </c>
      <c r="D680" t="inlineStr">
        <is>
          <t>GÄVLEBORGS LÄN</t>
        </is>
      </c>
      <c r="E680" t="inlineStr">
        <is>
          <t>OVANÅKER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8385-2026</t>
        </is>
      </c>
      <c r="B681" s="1" t="n">
        <v>46064.83287037037</v>
      </c>
      <c r="C681" s="1" t="n">
        <v>46179</v>
      </c>
      <c r="D681" t="inlineStr">
        <is>
          <t>GÄVLEBORGS LÄN</t>
        </is>
      </c>
      <c r="E681" t="inlineStr">
        <is>
          <t>OVANÅKER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8738-2026</t>
        </is>
      </c>
      <c r="B682" s="1" t="n">
        <v>46066</v>
      </c>
      <c r="C682" s="1" t="n">
        <v>46179</v>
      </c>
      <c r="D682" t="inlineStr">
        <is>
          <t>GÄVLEBORGS LÄN</t>
        </is>
      </c>
      <c r="E682" t="inlineStr">
        <is>
          <t>OVANÅKER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36658-2025</t>
        </is>
      </c>
      <c r="B683" s="1" t="n">
        <v>45873.35398148148</v>
      </c>
      <c r="C683" s="1" t="n">
        <v>46179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50854-2025</t>
        </is>
      </c>
      <c r="B684" s="1" t="n">
        <v>45946.58892361111</v>
      </c>
      <c r="C684" s="1" t="n">
        <v>46179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50446-2025</t>
        </is>
      </c>
      <c r="B685" s="1" t="n">
        <v>45945.2675</v>
      </c>
      <c r="C685" s="1" t="n">
        <v>46179</v>
      </c>
      <c r="D685" t="inlineStr">
        <is>
          <t>GÄVLEBORGS LÄN</t>
        </is>
      </c>
      <c r="E685" t="inlineStr">
        <is>
          <t>OVANÅKER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36717-2025</t>
        </is>
      </c>
      <c r="B686" s="1" t="n">
        <v>45873.46980324074</v>
      </c>
      <c r="C686" s="1" t="n">
        <v>46179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8913-2026</t>
        </is>
      </c>
      <c r="B687" s="1" t="n">
        <v>46069.281875</v>
      </c>
      <c r="C687" s="1" t="n">
        <v>46179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51314-2025</t>
        </is>
      </c>
      <c r="B688" s="1" t="n">
        <v>45950.37649305556</v>
      </c>
      <c r="C688" s="1" t="n">
        <v>46179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9017-2026</t>
        </is>
      </c>
      <c r="B689" s="1" t="n">
        <v>46069</v>
      </c>
      <c r="C689" s="1" t="n">
        <v>46179</v>
      </c>
      <c r="D689" t="inlineStr">
        <is>
          <t>GÄVLEBORGS LÄN</t>
        </is>
      </c>
      <c r="E689" t="inlineStr">
        <is>
          <t>OVANÅKER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23023-2022</t>
        </is>
      </c>
      <c r="B690" s="1" t="n">
        <v>44719.38415509259</v>
      </c>
      <c r="C690" s="1" t="n">
        <v>46179</v>
      </c>
      <c r="D690" t="inlineStr">
        <is>
          <t>GÄVLEBORGS LÄN</t>
        </is>
      </c>
      <c r="E690" t="inlineStr">
        <is>
          <t>OVANÅKER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9146-2026</t>
        </is>
      </c>
      <c r="B691" s="1" t="n">
        <v>46070.27447916667</v>
      </c>
      <c r="C691" s="1" t="n">
        <v>46179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2176-2025</t>
        </is>
      </c>
      <c r="B692" s="1" t="n">
        <v>45673.33479166667</v>
      </c>
      <c r="C692" s="1" t="n">
        <v>46179</v>
      </c>
      <c r="D692" t="inlineStr">
        <is>
          <t>GÄVLEBORGS LÄN</t>
        </is>
      </c>
      <c r="E692" t="inlineStr">
        <is>
          <t>OVANÅKER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9076-2026</t>
        </is>
      </c>
      <c r="B693" s="1" t="n">
        <v>46069.59137731481</v>
      </c>
      <c r="C693" s="1" t="n">
        <v>46179</v>
      </c>
      <c r="D693" t="inlineStr">
        <is>
          <t>GÄVLEBORGS LÄN</t>
        </is>
      </c>
      <c r="E693" t="inlineStr">
        <is>
          <t>OVANÅKER</t>
        </is>
      </c>
      <c r="G693" t="n">
        <v>35.3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37540-2025</t>
        </is>
      </c>
      <c r="B694" s="1" t="n">
        <v>45879.455625</v>
      </c>
      <c r="C694" s="1" t="n">
        <v>46179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50970-2025</t>
        </is>
      </c>
      <c r="B695" s="1" t="n">
        <v>45947.30427083333</v>
      </c>
      <c r="C695" s="1" t="n">
        <v>46179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37392-2025</t>
        </is>
      </c>
      <c r="B696" s="1" t="n">
        <v>45877.41195601852</v>
      </c>
      <c r="C696" s="1" t="n">
        <v>46179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8999-2026</t>
        </is>
      </c>
      <c r="B697" s="1" t="n">
        <v>46069</v>
      </c>
      <c r="C697" s="1" t="n">
        <v>46179</v>
      </c>
      <c r="D697" t="inlineStr">
        <is>
          <t>GÄVLEBORGS LÄN</t>
        </is>
      </c>
      <c r="E697" t="inlineStr">
        <is>
          <t>OVANÅKER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4704-2025</t>
        </is>
      </c>
      <c r="B698" s="1" t="n">
        <v>45688.37835648148</v>
      </c>
      <c r="C698" s="1" t="n">
        <v>46179</v>
      </c>
      <c r="D698" t="inlineStr">
        <is>
          <t>GÄVLEBORGS LÄN</t>
        </is>
      </c>
      <c r="E698" t="inlineStr">
        <is>
          <t>OVANÅKER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37366-2025</t>
        </is>
      </c>
      <c r="B699" s="1" t="n">
        <v>45877.32983796296</v>
      </c>
      <c r="C699" s="1" t="n">
        <v>46179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932-2026</t>
        </is>
      </c>
      <c r="B700" s="1" t="n">
        <v>46030</v>
      </c>
      <c r="C700" s="1" t="n">
        <v>46179</v>
      </c>
      <c r="D700" t="inlineStr">
        <is>
          <t>GÄVLEBORGS LÄN</t>
        </is>
      </c>
      <c r="E700" t="inlineStr">
        <is>
          <t>OVANÅKER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16255-2026</t>
        </is>
      </c>
      <c r="B701" s="1" t="n">
        <v>46111.47135416666</v>
      </c>
      <c r="C701" s="1" t="n">
        <v>46179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8890-2026</t>
        </is>
      </c>
      <c r="B702" s="1" t="n">
        <v>46068.44395833334</v>
      </c>
      <c r="C702" s="1" t="n">
        <v>46179</v>
      </c>
      <c r="D702" t="inlineStr">
        <is>
          <t>GÄVLEBORGS LÄN</t>
        </is>
      </c>
      <c r="E702" t="inlineStr">
        <is>
          <t>OVANÅKER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37531-2025</t>
        </is>
      </c>
      <c r="B703" s="1" t="n">
        <v>45878.34459490741</v>
      </c>
      <c r="C703" s="1" t="n">
        <v>46179</v>
      </c>
      <c r="D703" t="inlineStr">
        <is>
          <t>GÄVLEBORGS LÄN</t>
        </is>
      </c>
      <c r="E703" t="inlineStr">
        <is>
          <t>OVANÅKER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8888-2026</t>
        </is>
      </c>
      <c r="B704" s="1" t="n">
        <v>46068</v>
      </c>
      <c r="C704" s="1" t="n">
        <v>46179</v>
      </c>
      <c r="D704" t="inlineStr">
        <is>
          <t>GÄVLEBORGS LÄN</t>
        </is>
      </c>
      <c r="E704" t="inlineStr">
        <is>
          <t>OVANÅKER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8910-2026</t>
        </is>
      </c>
      <c r="B705" s="1" t="n">
        <v>46069.27225694444</v>
      </c>
      <c r="C705" s="1" t="n">
        <v>46179</v>
      </c>
      <c r="D705" t="inlineStr">
        <is>
          <t>GÄVLEBORGS LÄN</t>
        </is>
      </c>
      <c r="E705" t="inlineStr">
        <is>
          <t>OVANÅKER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8911-2026</t>
        </is>
      </c>
      <c r="B706" s="1" t="n">
        <v>46069.27527777778</v>
      </c>
      <c r="C706" s="1" t="n">
        <v>46179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9293-2026</t>
        </is>
      </c>
      <c r="B707" s="1" t="n">
        <v>46070</v>
      </c>
      <c r="C707" s="1" t="n">
        <v>46179</v>
      </c>
      <c r="D707" t="inlineStr">
        <is>
          <t>GÄVLEBORGS LÄN</t>
        </is>
      </c>
      <c r="E707" t="inlineStr">
        <is>
          <t>OVANÅKER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8893-2026</t>
        </is>
      </c>
      <c r="B708" s="1" t="n">
        <v>46068.44969907407</v>
      </c>
      <c r="C708" s="1" t="n">
        <v>46179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8895-2026</t>
        </is>
      </c>
      <c r="B709" s="1" t="n">
        <v>46068.45372685185</v>
      </c>
      <c r="C709" s="1" t="n">
        <v>46179</v>
      </c>
      <c r="D709" t="inlineStr">
        <is>
          <t>GÄVLEBORGS LÄN</t>
        </is>
      </c>
      <c r="E709" t="inlineStr">
        <is>
          <t>OVANÅKER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903-2026</t>
        </is>
      </c>
      <c r="B710" s="1" t="n">
        <v>46030</v>
      </c>
      <c r="C710" s="1" t="n">
        <v>46179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8953-2026</t>
        </is>
      </c>
      <c r="B711" s="1" t="n">
        <v>46069</v>
      </c>
      <c r="C711" s="1" t="n">
        <v>46179</v>
      </c>
      <c r="D711" t="inlineStr">
        <is>
          <t>GÄVLEBORGS LÄN</t>
        </is>
      </c>
      <c r="E711" t="inlineStr">
        <is>
          <t>OVANÅKER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8896-2026</t>
        </is>
      </c>
      <c r="B712" s="1" t="n">
        <v>46068.45523148148</v>
      </c>
      <c r="C712" s="1" t="n">
        <v>46179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8891-2026</t>
        </is>
      </c>
      <c r="B713" s="1" t="n">
        <v>46068.44702546296</v>
      </c>
      <c r="C713" s="1" t="n">
        <v>46179</v>
      </c>
      <c r="D713" t="inlineStr">
        <is>
          <t>GÄVLEBORGS LÄN</t>
        </is>
      </c>
      <c r="E713" t="inlineStr">
        <is>
          <t>OVANÅKER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8894-2026</t>
        </is>
      </c>
      <c r="B714" s="1" t="n">
        <v>46068.45121527778</v>
      </c>
      <c r="C714" s="1" t="n">
        <v>46179</v>
      </c>
      <c r="D714" t="inlineStr">
        <is>
          <t>GÄVLEBORGS LÄN</t>
        </is>
      </c>
      <c r="E714" t="inlineStr">
        <is>
          <t>OVANÅKER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37472-2025</t>
        </is>
      </c>
      <c r="B715" s="1" t="n">
        <v>45877.59339120371</v>
      </c>
      <c r="C715" s="1" t="n">
        <v>46179</v>
      </c>
      <c r="D715" t="inlineStr">
        <is>
          <t>GÄVLEBORGS LÄN</t>
        </is>
      </c>
      <c r="E715" t="inlineStr">
        <is>
          <t>OVANÅKER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16277-2026</t>
        </is>
      </c>
      <c r="B716" s="1" t="n">
        <v>46111.49040509259</v>
      </c>
      <c r="C716" s="1" t="n">
        <v>46179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51428-2025</t>
        </is>
      </c>
      <c r="B717" s="1" t="n">
        <v>45950.5353125</v>
      </c>
      <c r="C717" s="1" t="n">
        <v>46179</v>
      </c>
      <c r="D717" t="inlineStr">
        <is>
          <t>GÄVLEBORGS LÄN</t>
        </is>
      </c>
      <c r="E717" t="inlineStr">
        <is>
          <t>OVANÅKER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9006-2026</t>
        </is>
      </c>
      <c r="B718" s="1" t="n">
        <v>46069</v>
      </c>
      <c r="C718" s="1" t="n">
        <v>46179</v>
      </c>
      <c r="D718" t="inlineStr">
        <is>
          <t>GÄVLEBORGS LÄN</t>
        </is>
      </c>
      <c r="E718" t="inlineStr">
        <is>
          <t>OVANÅKER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51302-2025</t>
        </is>
      </c>
      <c r="B719" s="1" t="n">
        <v>45950.36494212963</v>
      </c>
      <c r="C719" s="1" t="n">
        <v>46179</v>
      </c>
      <c r="D719" t="inlineStr">
        <is>
          <t>GÄVLEBORGS LÄN</t>
        </is>
      </c>
      <c r="E719" t="inlineStr">
        <is>
          <t>OVANÅKER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5629-2025</t>
        </is>
      </c>
      <c r="B720" s="1" t="n">
        <v>45693.65769675926</v>
      </c>
      <c r="C720" s="1" t="n">
        <v>46179</v>
      </c>
      <c r="D720" t="inlineStr">
        <is>
          <t>GÄVLEBORGS LÄN</t>
        </is>
      </c>
      <c r="E720" t="inlineStr">
        <is>
          <t>OVANÅKER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9711-2026</t>
        </is>
      </c>
      <c r="B721" s="1" t="n">
        <v>46072</v>
      </c>
      <c r="C721" s="1" t="n">
        <v>46179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9715-2026</t>
        </is>
      </c>
      <c r="B722" s="1" t="n">
        <v>46072.44666666666</v>
      </c>
      <c r="C722" s="1" t="n">
        <v>46179</v>
      </c>
      <c r="D722" t="inlineStr">
        <is>
          <t>GÄVLEBORGS LÄN</t>
        </is>
      </c>
      <c r="E722" t="inlineStr">
        <is>
          <t>OVANÅKER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51570-2025</t>
        </is>
      </c>
      <c r="B723" s="1" t="n">
        <v>45951.33126157407</v>
      </c>
      <c r="C723" s="1" t="n">
        <v>46179</v>
      </c>
      <c r="D723" t="inlineStr">
        <is>
          <t>GÄVLEBORGS LÄN</t>
        </is>
      </c>
      <c r="E723" t="inlineStr">
        <is>
          <t>OVANÅKER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628-2025</t>
        </is>
      </c>
      <c r="B724" s="1" t="n">
        <v>45664</v>
      </c>
      <c r="C724" s="1" t="n">
        <v>46179</v>
      </c>
      <c r="D724" t="inlineStr">
        <is>
          <t>GÄVLEBORGS LÄN</t>
        </is>
      </c>
      <c r="E724" t="inlineStr">
        <is>
          <t>OVANÅKER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9809-2026</t>
        </is>
      </c>
      <c r="B725" s="1" t="n">
        <v>46072</v>
      </c>
      <c r="C725" s="1" t="n">
        <v>46179</v>
      </c>
      <c r="D725" t="inlineStr">
        <is>
          <t>GÄVLEBORGS LÄN</t>
        </is>
      </c>
      <c r="E725" t="inlineStr">
        <is>
          <t>OVANÅKER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51564-2025</t>
        </is>
      </c>
      <c r="B726" s="1" t="n">
        <v>45951.30474537037</v>
      </c>
      <c r="C726" s="1" t="n">
        <v>46179</v>
      </c>
      <c r="D726" t="inlineStr">
        <is>
          <t>GÄVLEBORGS LÄN</t>
        </is>
      </c>
      <c r="E726" t="inlineStr">
        <is>
          <t>OVANÅKER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964-2026</t>
        </is>
      </c>
      <c r="B727" s="1" t="n">
        <v>46030</v>
      </c>
      <c r="C727" s="1" t="n">
        <v>46179</v>
      </c>
      <c r="D727" t="inlineStr">
        <is>
          <t>GÄVLEBORGS LÄN</t>
        </is>
      </c>
      <c r="E727" t="inlineStr">
        <is>
          <t>OVANÅKER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9794-2026</t>
        </is>
      </c>
      <c r="B728" s="1" t="n">
        <v>46072.60958333333</v>
      </c>
      <c r="C728" s="1" t="n">
        <v>46179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9393-2026</t>
        </is>
      </c>
      <c r="B729" s="1" t="n">
        <v>46071</v>
      </c>
      <c r="C729" s="1" t="n">
        <v>46179</v>
      </c>
      <c r="D729" t="inlineStr">
        <is>
          <t>GÄVLEBORGS LÄN</t>
        </is>
      </c>
      <c r="E729" t="inlineStr">
        <is>
          <t>OVANÅKER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52100-2025</t>
        </is>
      </c>
      <c r="B730" s="1" t="n">
        <v>45952.68261574074</v>
      </c>
      <c r="C730" s="1" t="n">
        <v>46179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9404-2026</t>
        </is>
      </c>
      <c r="B731" s="1" t="n">
        <v>46071.39912037037</v>
      </c>
      <c r="C731" s="1" t="n">
        <v>46179</v>
      </c>
      <c r="D731" t="inlineStr">
        <is>
          <t>GÄVLEBORGS LÄN</t>
        </is>
      </c>
      <c r="E731" t="inlineStr">
        <is>
          <t>OVANÅKER</t>
        </is>
      </c>
      <c r="F731" t="inlineStr">
        <is>
          <t>Kyrkan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9823-2026</t>
        </is>
      </c>
      <c r="B732" s="1" t="n">
        <v>46072.64434027778</v>
      </c>
      <c r="C732" s="1" t="n">
        <v>46179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9669-2026</t>
        </is>
      </c>
      <c r="B733" s="1" t="n">
        <v>46072.37006944444</v>
      </c>
      <c r="C733" s="1" t="n">
        <v>46179</v>
      </c>
      <c r="D733" t="inlineStr">
        <is>
          <t>GÄVLEBORGS LÄN</t>
        </is>
      </c>
      <c r="E733" t="inlineStr">
        <is>
          <t>OVANÅKER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51565-2025</t>
        </is>
      </c>
      <c r="B734" s="1" t="n">
        <v>45951.30708333333</v>
      </c>
      <c r="C734" s="1" t="n">
        <v>46179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9771-2026</t>
        </is>
      </c>
      <c r="B735" s="1" t="n">
        <v>46072</v>
      </c>
      <c r="C735" s="1" t="n">
        <v>46179</v>
      </c>
      <c r="D735" t="inlineStr">
        <is>
          <t>GÄVLEBORGS LÄN</t>
        </is>
      </c>
      <c r="E735" t="inlineStr">
        <is>
          <t>OVANÅKER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9712-2026</t>
        </is>
      </c>
      <c r="B736" s="1" t="n">
        <v>46072.44116898148</v>
      </c>
      <c r="C736" s="1" t="n">
        <v>46179</v>
      </c>
      <c r="D736" t="inlineStr">
        <is>
          <t>GÄVLEBORGS LÄN</t>
        </is>
      </c>
      <c r="E736" t="inlineStr">
        <is>
          <t>OVANÅKER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9721-2026</t>
        </is>
      </c>
      <c r="B737" s="1" t="n">
        <v>46072.45391203704</v>
      </c>
      <c r="C737" s="1" t="n">
        <v>46179</v>
      </c>
      <c r="D737" t="inlineStr">
        <is>
          <t>GÄVLEBORGS LÄN</t>
        </is>
      </c>
      <c r="E737" t="inlineStr">
        <is>
          <t>OVANÅKER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9725-2026</t>
        </is>
      </c>
      <c r="B738" s="1" t="n">
        <v>46072.46815972222</v>
      </c>
      <c r="C738" s="1" t="n">
        <v>46179</v>
      </c>
      <c r="D738" t="inlineStr">
        <is>
          <t>GÄVLEBORGS LÄN</t>
        </is>
      </c>
      <c r="E738" t="inlineStr">
        <is>
          <t>OVANÅKER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953-2026</t>
        </is>
      </c>
      <c r="B739" s="1" t="n">
        <v>46030</v>
      </c>
      <c r="C739" s="1" t="n">
        <v>46179</v>
      </c>
      <c r="D739" t="inlineStr">
        <is>
          <t>GÄVLEBORGS LÄN</t>
        </is>
      </c>
      <c r="E739" t="inlineStr">
        <is>
          <t>OVANÅKER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957-2026</t>
        </is>
      </c>
      <c r="B740" s="1" t="n">
        <v>46030</v>
      </c>
      <c r="C740" s="1" t="n">
        <v>46179</v>
      </c>
      <c r="D740" t="inlineStr">
        <is>
          <t>GÄVLEBORGS LÄN</t>
        </is>
      </c>
      <c r="E740" t="inlineStr">
        <is>
          <t>OVANÅKER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10891-2025</t>
        </is>
      </c>
      <c r="B741" s="1" t="n">
        <v>45722.67386574074</v>
      </c>
      <c r="C741" s="1" t="n">
        <v>46179</v>
      </c>
      <c r="D741" t="inlineStr">
        <is>
          <t>GÄVLEBORGS LÄN</t>
        </is>
      </c>
      <c r="E741" t="inlineStr">
        <is>
          <t>OVANÅKER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9433-2026</t>
        </is>
      </c>
      <c r="B742" s="1" t="n">
        <v>46071.45630787037</v>
      </c>
      <c r="C742" s="1" t="n">
        <v>46179</v>
      </c>
      <c r="D742" t="inlineStr">
        <is>
          <t>GÄVLEBORGS LÄN</t>
        </is>
      </c>
      <c r="E742" t="inlineStr">
        <is>
          <t>OVANÅKER</t>
        </is>
      </c>
      <c r="F742" t="inlineStr">
        <is>
          <t>Kyrkan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9435-2026</t>
        </is>
      </c>
      <c r="B743" s="1" t="n">
        <v>46071.46271990741</v>
      </c>
      <c r="C743" s="1" t="n">
        <v>46179</v>
      </c>
      <c r="D743" t="inlineStr">
        <is>
          <t>GÄVLEBORGS LÄN</t>
        </is>
      </c>
      <c r="E743" t="inlineStr">
        <is>
          <t>OVANÅKER</t>
        </is>
      </c>
      <c r="F743" t="inlineStr">
        <is>
          <t>Kyrkan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9677-2026</t>
        </is>
      </c>
      <c r="B744" s="1" t="n">
        <v>46072</v>
      </c>
      <c r="C744" s="1" t="n">
        <v>46179</v>
      </c>
      <c r="D744" t="inlineStr">
        <is>
          <t>GÄVLEBORGS LÄN</t>
        </is>
      </c>
      <c r="E744" t="inlineStr">
        <is>
          <t>OVANÅKER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52543-2025</t>
        </is>
      </c>
      <c r="B745" s="1" t="n">
        <v>45954.55025462963</v>
      </c>
      <c r="C745" s="1" t="n">
        <v>46179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17264-2026</t>
        </is>
      </c>
      <c r="B746" s="1" t="n">
        <v>46119.47671296296</v>
      </c>
      <c r="C746" s="1" t="n">
        <v>46179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52399-2025</t>
        </is>
      </c>
      <c r="B747" s="1" t="n">
        <v>45954.34666666666</v>
      </c>
      <c r="C747" s="1" t="n">
        <v>46179</v>
      </c>
      <c r="D747" t="inlineStr">
        <is>
          <t>GÄVLEBORGS LÄN</t>
        </is>
      </c>
      <c r="E747" t="inlineStr">
        <is>
          <t>OVANÅKER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52400-2025</t>
        </is>
      </c>
      <c r="B748" s="1" t="n">
        <v>45954.34914351852</v>
      </c>
      <c r="C748" s="1" t="n">
        <v>46179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10041-2026</t>
        </is>
      </c>
      <c r="B749" s="1" t="n">
        <v>46073.59822916667</v>
      </c>
      <c r="C749" s="1" t="n">
        <v>46179</v>
      </c>
      <c r="D749" t="inlineStr">
        <is>
          <t>GÄVLEBORGS LÄN</t>
        </is>
      </c>
      <c r="E749" t="inlineStr">
        <is>
          <t>OVANÅKER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10281-2026</t>
        </is>
      </c>
      <c r="B750" s="1" t="n">
        <v>46076</v>
      </c>
      <c r="C750" s="1" t="n">
        <v>46179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10068-2026</t>
        </is>
      </c>
      <c r="B751" s="1" t="n">
        <v>46073.63795138889</v>
      </c>
      <c r="C751" s="1" t="n">
        <v>46179</v>
      </c>
      <c r="D751" t="inlineStr">
        <is>
          <t>GÄVLEBORGS LÄN</t>
        </is>
      </c>
      <c r="E751" t="inlineStr">
        <is>
          <t>OVANÅKER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52550-2025</t>
        </is>
      </c>
      <c r="B752" s="1" t="n">
        <v>45954.55650462963</v>
      </c>
      <c r="C752" s="1" t="n">
        <v>46179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10474-2026</t>
        </is>
      </c>
      <c r="B753" s="1" t="n">
        <v>46077.48261574074</v>
      </c>
      <c r="C753" s="1" t="n">
        <v>46179</v>
      </c>
      <c r="D753" t="inlineStr">
        <is>
          <t>GÄVLEBORGS LÄN</t>
        </is>
      </c>
      <c r="E753" t="inlineStr">
        <is>
          <t>OVANÅKER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35352-2024</t>
        </is>
      </c>
      <c r="B754" s="1" t="n">
        <v>45531</v>
      </c>
      <c r="C754" s="1" t="n">
        <v>46179</v>
      </c>
      <c r="D754" t="inlineStr">
        <is>
          <t>GÄVLEBORGS LÄN</t>
        </is>
      </c>
      <c r="E754" t="inlineStr">
        <is>
          <t>OVANÅKER</t>
        </is>
      </c>
      <c r="F754" t="inlineStr">
        <is>
          <t>Sveaskog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10606-2026</t>
        </is>
      </c>
      <c r="B755" s="1" t="n">
        <v>46077</v>
      </c>
      <c r="C755" s="1" t="n">
        <v>46179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10038-2026</t>
        </is>
      </c>
      <c r="B756" s="1" t="n">
        <v>46073</v>
      </c>
      <c r="C756" s="1" t="n">
        <v>46179</v>
      </c>
      <c r="D756" t="inlineStr">
        <is>
          <t>GÄVLEBORGS LÄN</t>
        </is>
      </c>
      <c r="E756" t="inlineStr">
        <is>
          <t>OVANÅKER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9876-2026</t>
        </is>
      </c>
      <c r="B757" s="1" t="n">
        <v>46073</v>
      </c>
      <c r="C757" s="1" t="n">
        <v>46179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10353-2026</t>
        </is>
      </c>
      <c r="B758" s="1" t="n">
        <v>46076</v>
      </c>
      <c r="C758" s="1" t="n">
        <v>46179</v>
      </c>
      <c r="D758" t="inlineStr">
        <is>
          <t>GÄVLEBORGS LÄN</t>
        </is>
      </c>
      <c r="E758" t="inlineStr">
        <is>
          <t>OVANÅKER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10004-2026</t>
        </is>
      </c>
      <c r="B759" s="1" t="n">
        <v>46073</v>
      </c>
      <c r="C759" s="1" t="n">
        <v>46179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9930-2026</t>
        </is>
      </c>
      <c r="B760" s="1" t="n">
        <v>46073</v>
      </c>
      <c r="C760" s="1" t="n">
        <v>46179</v>
      </c>
      <c r="D760" t="inlineStr">
        <is>
          <t>GÄVLEBORGS LÄN</t>
        </is>
      </c>
      <c r="E760" t="inlineStr">
        <is>
          <t>OVANÅKER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9940-2026</t>
        </is>
      </c>
      <c r="B761" s="1" t="n">
        <v>46073.46564814815</v>
      </c>
      <c r="C761" s="1" t="n">
        <v>46179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10171-2026</t>
        </is>
      </c>
      <c r="B762" s="1" t="n">
        <v>46076</v>
      </c>
      <c r="C762" s="1" t="n">
        <v>46179</v>
      </c>
      <c r="D762" t="inlineStr">
        <is>
          <t>GÄVLEBORGS LÄN</t>
        </is>
      </c>
      <c r="E762" t="inlineStr">
        <is>
          <t>OVANÅKER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10287-2026</t>
        </is>
      </c>
      <c r="B763" s="1" t="n">
        <v>46076</v>
      </c>
      <c r="C763" s="1" t="n">
        <v>46179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10060-2026</t>
        </is>
      </c>
      <c r="B764" s="1" t="n">
        <v>46073.62484953704</v>
      </c>
      <c r="C764" s="1" t="n">
        <v>46179</v>
      </c>
      <c r="D764" t="inlineStr">
        <is>
          <t>GÄVLEBORGS LÄN</t>
        </is>
      </c>
      <c r="E764" t="inlineStr">
        <is>
          <t>OVANÅKER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10617-2026</t>
        </is>
      </c>
      <c r="B765" s="1" t="n">
        <v>46077</v>
      </c>
      <c r="C765" s="1" t="n">
        <v>46179</v>
      </c>
      <c r="D765" t="inlineStr">
        <is>
          <t>GÄVLEBORGS LÄN</t>
        </is>
      </c>
      <c r="E765" t="inlineStr">
        <is>
          <t>OVANÅKER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10519-2026</t>
        </is>
      </c>
      <c r="B766" s="1" t="n">
        <v>46077</v>
      </c>
      <c r="C766" s="1" t="n">
        <v>46179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10542-2026</t>
        </is>
      </c>
      <c r="B767" s="1" t="n">
        <v>46077.6087962963</v>
      </c>
      <c r="C767" s="1" t="n">
        <v>46179</v>
      </c>
      <c r="D767" t="inlineStr">
        <is>
          <t>GÄVLEBORGS LÄN</t>
        </is>
      </c>
      <c r="E767" t="inlineStr">
        <is>
          <t>OVANÅKER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10557-2026</t>
        </is>
      </c>
      <c r="B768" s="1" t="n">
        <v>46077</v>
      </c>
      <c r="C768" s="1" t="n">
        <v>46179</v>
      </c>
      <c r="D768" t="inlineStr">
        <is>
          <t>GÄVLEBORGS LÄN</t>
        </is>
      </c>
      <c r="E768" t="inlineStr">
        <is>
          <t>OVANÅKER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10938-2026</t>
        </is>
      </c>
      <c r="B769" s="1" t="n">
        <v>46079.36918981482</v>
      </c>
      <c r="C769" s="1" t="n">
        <v>46179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10942-2026</t>
        </is>
      </c>
      <c r="B770" s="1" t="n">
        <v>46079.37427083333</v>
      </c>
      <c r="C770" s="1" t="n">
        <v>46179</v>
      </c>
      <c r="D770" t="inlineStr">
        <is>
          <t>GÄVLEBORGS LÄN</t>
        </is>
      </c>
      <c r="E770" t="inlineStr">
        <is>
          <t>OVANÅKER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40400-2022</t>
        </is>
      </c>
      <c r="B771" s="1" t="n">
        <v>44823</v>
      </c>
      <c r="C771" s="1" t="n">
        <v>46179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10931-2026</t>
        </is>
      </c>
      <c r="B772" s="1" t="n">
        <v>46079.35321759259</v>
      </c>
      <c r="C772" s="1" t="n">
        <v>46179</v>
      </c>
      <c r="D772" t="inlineStr">
        <is>
          <t>GÄVLEBORGS LÄN</t>
        </is>
      </c>
      <c r="E772" t="inlineStr">
        <is>
          <t>OVANÅKER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10905-2026</t>
        </is>
      </c>
      <c r="B773" s="1" t="n">
        <v>46079.29298611111</v>
      </c>
      <c r="C773" s="1" t="n">
        <v>46179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11068-2026</t>
        </is>
      </c>
      <c r="B774" s="1" t="n">
        <v>46079.60975694445</v>
      </c>
      <c r="C774" s="1" t="n">
        <v>46179</v>
      </c>
      <c r="D774" t="inlineStr">
        <is>
          <t>GÄVLEBORGS LÄN</t>
        </is>
      </c>
      <c r="E774" t="inlineStr">
        <is>
          <t>OVANÅKER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11061-2026</t>
        </is>
      </c>
      <c r="B775" s="1" t="n">
        <v>46079.60063657408</v>
      </c>
      <c r="C775" s="1" t="n">
        <v>46179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10757-2026</t>
        </is>
      </c>
      <c r="B776" s="1" t="n">
        <v>46078.55563657408</v>
      </c>
      <c r="C776" s="1" t="n">
        <v>46179</v>
      </c>
      <c r="D776" t="inlineStr">
        <is>
          <t>GÄVLEBORGS LÄN</t>
        </is>
      </c>
      <c r="E776" t="inlineStr">
        <is>
          <t>OVANÅKER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10774-2026</t>
        </is>
      </c>
      <c r="B777" s="1" t="n">
        <v>46078</v>
      </c>
      <c r="C777" s="1" t="n">
        <v>46179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10958-2026</t>
        </is>
      </c>
      <c r="B778" s="1" t="n">
        <v>46079.40888888889</v>
      </c>
      <c r="C778" s="1" t="n">
        <v>46179</v>
      </c>
      <c r="D778" t="inlineStr">
        <is>
          <t>GÄVLEBORGS LÄN</t>
        </is>
      </c>
      <c r="E778" t="inlineStr">
        <is>
          <t>OVANÅKER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11122-2026</t>
        </is>
      </c>
      <c r="B779" s="1" t="n">
        <v>46079.68494212963</v>
      </c>
      <c r="C779" s="1" t="n">
        <v>46179</v>
      </c>
      <c r="D779" t="inlineStr">
        <is>
          <t>GÄVLEBORGS LÄN</t>
        </is>
      </c>
      <c r="E779" t="inlineStr">
        <is>
          <t>OVANÅKER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10935-2026</t>
        </is>
      </c>
      <c r="B780" s="1" t="n">
        <v>46079.36400462963</v>
      </c>
      <c r="C780" s="1" t="n">
        <v>46179</v>
      </c>
      <c r="D780" t="inlineStr">
        <is>
          <t>GÄVLEBORGS LÄN</t>
        </is>
      </c>
      <c r="E780" t="inlineStr">
        <is>
          <t>OVANÅKER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10656-2026</t>
        </is>
      </c>
      <c r="B781" s="1" t="n">
        <v>46078.36299768519</v>
      </c>
      <c r="C781" s="1" t="n">
        <v>46179</v>
      </c>
      <c r="D781" t="inlineStr">
        <is>
          <t>GÄVLEBORGS LÄN</t>
        </is>
      </c>
      <c r="E781" t="inlineStr">
        <is>
          <t>OVANÅKER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11026-2026</t>
        </is>
      </c>
      <c r="B782" s="1" t="n">
        <v>46079.56569444444</v>
      </c>
      <c r="C782" s="1" t="n">
        <v>46179</v>
      </c>
      <c r="D782" t="inlineStr">
        <is>
          <t>GÄVLEBORGS LÄN</t>
        </is>
      </c>
      <c r="E782" t="inlineStr">
        <is>
          <t>OVANÅKER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10989-2026</t>
        </is>
      </c>
      <c r="B783" s="1" t="n">
        <v>46079.48424768518</v>
      </c>
      <c r="C783" s="1" t="n">
        <v>46179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10760-2026</t>
        </is>
      </c>
      <c r="B784" s="1" t="n">
        <v>46078</v>
      </c>
      <c r="C784" s="1" t="n">
        <v>46179</v>
      </c>
      <c r="D784" t="inlineStr">
        <is>
          <t>GÄVLEBORGS LÄN</t>
        </is>
      </c>
      <c r="E784" t="inlineStr">
        <is>
          <t>OVANÅKER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11037-2026</t>
        </is>
      </c>
      <c r="B785" s="1" t="n">
        <v>46079.57982638889</v>
      </c>
      <c r="C785" s="1" t="n">
        <v>46179</v>
      </c>
      <c r="D785" t="inlineStr">
        <is>
          <t>GÄVLEBORGS LÄN</t>
        </is>
      </c>
      <c r="E785" t="inlineStr">
        <is>
          <t>OVANÅKER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10783-2026</t>
        </is>
      </c>
      <c r="B786" s="1" t="n">
        <v>46078</v>
      </c>
      <c r="C786" s="1" t="n">
        <v>46179</v>
      </c>
      <c r="D786" t="inlineStr">
        <is>
          <t>GÄVLEBORGS LÄN</t>
        </is>
      </c>
      <c r="E786" t="inlineStr">
        <is>
          <t>OVANÅKER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10789-2026</t>
        </is>
      </c>
      <c r="B787" s="1" t="n">
        <v>46078</v>
      </c>
      <c r="C787" s="1" t="n">
        <v>46179</v>
      </c>
      <c r="D787" t="inlineStr">
        <is>
          <t>GÄVLEBORGS LÄN</t>
        </is>
      </c>
      <c r="E787" t="inlineStr">
        <is>
          <t>OVANÅKER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10726-2026</t>
        </is>
      </c>
      <c r="B788" s="1" t="n">
        <v>46078</v>
      </c>
      <c r="C788" s="1" t="n">
        <v>46179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10730-2026</t>
        </is>
      </c>
      <c r="B789" s="1" t="n">
        <v>46078.47885416666</v>
      </c>
      <c r="C789" s="1" t="n">
        <v>46179</v>
      </c>
      <c r="D789" t="inlineStr">
        <is>
          <t>GÄVLEBORGS LÄN</t>
        </is>
      </c>
      <c r="E789" t="inlineStr">
        <is>
          <t>OVANÅKER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10787-2026</t>
        </is>
      </c>
      <c r="B790" s="1" t="n">
        <v>46078</v>
      </c>
      <c r="C790" s="1" t="n">
        <v>46179</v>
      </c>
      <c r="D790" t="inlineStr">
        <is>
          <t>GÄVLEBORGS LÄN</t>
        </is>
      </c>
      <c r="E790" t="inlineStr">
        <is>
          <t>OVANÅKER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10607-2026</t>
        </is>
      </c>
      <c r="B791" s="1" t="n">
        <v>46077.79092592592</v>
      </c>
      <c r="C791" s="1" t="n">
        <v>46179</v>
      </c>
      <c r="D791" t="inlineStr">
        <is>
          <t>GÄVLEBORGS LÄN</t>
        </is>
      </c>
      <c r="E791" t="inlineStr">
        <is>
          <t>OVANÅKER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10901-2026</t>
        </is>
      </c>
      <c r="B792" s="1" t="n">
        <v>46078</v>
      </c>
      <c r="C792" s="1" t="n">
        <v>46179</v>
      </c>
      <c r="D792" t="inlineStr">
        <is>
          <t>GÄVLEBORGS LÄN</t>
        </is>
      </c>
      <c r="E792" t="inlineStr">
        <is>
          <t>OVANÅKER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10906-2026</t>
        </is>
      </c>
      <c r="B793" s="1" t="n">
        <v>46079.29547453704</v>
      </c>
      <c r="C793" s="1" t="n">
        <v>46179</v>
      </c>
      <c r="D793" t="inlineStr">
        <is>
          <t>GÄVLEBORGS LÄN</t>
        </is>
      </c>
      <c r="E793" t="inlineStr">
        <is>
          <t>OVANÅKER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10734-2026</t>
        </is>
      </c>
      <c r="B794" s="1" t="n">
        <v>46078</v>
      </c>
      <c r="C794" s="1" t="n">
        <v>46179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9729-2026</t>
        </is>
      </c>
      <c r="B795" s="1" t="n">
        <v>46072.4734375</v>
      </c>
      <c r="C795" s="1" t="n">
        <v>46179</v>
      </c>
      <c r="D795" t="inlineStr">
        <is>
          <t>GÄVLEBORGS LÄN</t>
        </is>
      </c>
      <c r="E795" t="inlineStr">
        <is>
          <t>OVANÅKER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10695-2026</t>
        </is>
      </c>
      <c r="B796" s="1" t="n">
        <v>46078</v>
      </c>
      <c r="C796" s="1" t="n">
        <v>46179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10700-2026</t>
        </is>
      </c>
      <c r="B797" s="1" t="n">
        <v>46078</v>
      </c>
      <c r="C797" s="1" t="n">
        <v>46179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10765-2026</t>
        </is>
      </c>
      <c r="B798" s="1" t="n">
        <v>46078</v>
      </c>
      <c r="C798" s="1" t="n">
        <v>46179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10782-2026</t>
        </is>
      </c>
      <c r="B799" s="1" t="n">
        <v>46078</v>
      </c>
      <c r="C799" s="1" t="n">
        <v>46179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10851-2026</t>
        </is>
      </c>
      <c r="B800" s="1" t="n">
        <v>46078</v>
      </c>
      <c r="C800" s="1" t="n">
        <v>46179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10929-2026</t>
        </is>
      </c>
      <c r="B801" s="1" t="n">
        <v>46079</v>
      </c>
      <c r="C801" s="1" t="n">
        <v>46179</v>
      </c>
      <c r="D801" t="inlineStr">
        <is>
          <t>GÄVLEBORGS LÄN</t>
        </is>
      </c>
      <c r="E801" t="inlineStr">
        <is>
          <t>OVANÅKER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62774-2021</t>
        </is>
      </c>
      <c r="B802" s="1" t="n">
        <v>44503</v>
      </c>
      <c r="C802" s="1" t="n">
        <v>46179</v>
      </c>
      <c r="D802" t="inlineStr">
        <is>
          <t>GÄVLEBORGS LÄN</t>
        </is>
      </c>
      <c r="E802" t="inlineStr">
        <is>
          <t>OVANÅKER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17942-2026</t>
        </is>
      </c>
      <c r="B803" s="1" t="n">
        <v>46122.64197916666</v>
      </c>
      <c r="C803" s="1" t="n">
        <v>46179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11471-2026</t>
        </is>
      </c>
      <c r="B804" s="1" t="n">
        <v>46083.59454861111</v>
      </c>
      <c r="C804" s="1" t="n">
        <v>46179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11201-2026</t>
        </is>
      </c>
      <c r="B805" s="1" t="n">
        <v>46080.44722222222</v>
      </c>
      <c r="C805" s="1" t="n">
        <v>46179</v>
      </c>
      <c r="D805" t="inlineStr">
        <is>
          <t>GÄVLEBORGS LÄN</t>
        </is>
      </c>
      <c r="E805" t="inlineStr">
        <is>
          <t>OVANÅKER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53758-2025</t>
        </is>
      </c>
      <c r="B806" s="1" t="n">
        <v>45960.6690162037</v>
      </c>
      <c r="C806" s="1" t="n">
        <v>46179</v>
      </c>
      <c r="D806" t="inlineStr">
        <is>
          <t>GÄVLEBORGS LÄN</t>
        </is>
      </c>
      <c r="E806" t="inlineStr">
        <is>
          <t>OVANÅKER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11170-2026</t>
        </is>
      </c>
      <c r="B807" s="1" t="n">
        <v>46080</v>
      </c>
      <c r="C807" s="1" t="n">
        <v>46179</v>
      </c>
      <c r="D807" t="inlineStr">
        <is>
          <t>GÄVLEBORGS LÄN</t>
        </is>
      </c>
      <c r="E807" t="inlineStr">
        <is>
          <t>OVANÅKER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53598-2025</t>
        </is>
      </c>
      <c r="B808" s="1" t="n">
        <v>45960.45462962963</v>
      </c>
      <c r="C808" s="1" t="n">
        <v>46179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53760-2025</t>
        </is>
      </c>
      <c r="B809" s="1" t="n">
        <v>45960.67046296296</v>
      </c>
      <c r="C809" s="1" t="n">
        <v>46179</v>
      </c>
      <c r="D809" t="inlineStr">
        <is>
          <t>GÄVLEBORGS LÄN</t>
        </is>
      </c>
      <c r="E809" t="inlineStr">
        <is>
          <t>OVANÅKER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53519-2025</t>
        </is>
      </c>
      <c r="B810" s="1" t="n">
        <v>45960.35457175926</v>
      </c>
      <c r="C810" s="1" t="n">
        <v>46179</v>
      </c>
      <c r="D810" t="inlineStr">
        <is>
          <t>GÄVLEBORGS LÄN</t>
        </is>
      </c>
      <c r="E810" t="inlineStr">
        <is>
          <t>OVANÅKER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53592-2025</t>
        </is>
      </c>
      <c r="B811" s="1" t="n">
        <v>45960.44153935185</v>
      </c>
      <c r="C811" s="1" t="n">
        <v>46179</v>
      </c>
      <c r="D811" t="inlineStr">
        <is>
          <t>GÄVLEBORGS LÄN</t>
        </is>
      </c>
      <c r="E811" t="inlineStr">
        <is>
          <t>OVANÅKER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53492-2025</t>
        </is>
      </c>
      <c r="B812" s="1" t="n">
        <v>45960.32342592593</v>
      </c>
      <c r="C812" s="1" t="n">
        <v>46179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53526-2025</t>
        </is>
      </c>
      <c r="B813" s="1" t="n">
        <v>45960.36133101852</v>
      </c>
      <c r="C813" s="1" t="n">
        <v>46179</v>
      </c>
      <c r="D813" t="inlineStr">
        <is>
          <t>GÄVLEBORGS LÄN</t>
        </is>
      </c>
      <c r="E813" t="inlineStr">
        <is>
          <t>OVANÅKER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25133-2022</t>
        </is>
      </c>
      <c r="B814" s="1" t="n">
        <v>44729.49839120371</v>
      </c>
      <c r="C814" s="1" t="n">
        <v>46179</v>
      </c>
      <c r="D814" t="inlineStr">
        <is>
          <t>GÄVLEBORGS LÄN</t>
        </is>
      </c>
      <c r="E814" t="inlineStr">
        <is>
          <t>OVANÅKER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35094-2021</t>
        </is>
      </c>
      <c r="B815" s="1" t="n">
        <v>44384.34634259259</v>
      </c>
      <c r="C815" s="1" t="n">
        <v>46179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5331-2025</t>
        </is>
      </c>
      <c r="B816" s="1" t="n">
        <v>45692</v>
      </c>
      <c r="C816" s="1" t="n">
        <v>46179</v>
      </c>
      <c r="D816" t="inlineStr">
        <is>
          <t>GÄVLEBORGS LÄN</t>
        </is>
      </c>
      <c r="E816" t="inlineStr">
        <is>
          <t>OVANÅKER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53998-2025</t>
        </is>
      </c>
      <c r="B817" s="1" t="n">
        <v>45961</v>
      </c>
      <c r="C817" s="1" t="n">
        <v>46179</v>
      </c>
      <c r="D817" t="inlineStr">
        <is>
          <t>GÄVLEBORGS LÄN</t>
        </is>
      </c>
      <c r="E817" t="inlineStr">
        <is>
          <t>OVANÅKER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17924-2026</t>
        </is>
      </c>
      <c r="B818" s="1" t="n">
        <v>46122.61869212963</v>
      </c>
      <c r="C818" s="1" t="n">
        <v>46179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11.2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17925-2026</t>
        </is>
      </c>
      <c r="B819" s="1" t="n">
        <v>46122.61960648148</v>
      </c>
      <c r="C819" s="1" t="n">
        <v>46179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öst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11290-2026</t>
        </is>
      </c>
      <c r="B820" s="1" t="n">
        <v>46080.61364583333</v>
      </c>
      <c r="C820" s="1" t="n">
        <v>46179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26076-2023</t>
        </is>
      </c>
      <c r="B821" s="1" t="n">
        <v>45091.37141203704</v>
      </c>
      <c r="C821" s="1" t="n">
        <v>46179</v>
      </c>
      <c r="D821" t="inlineStr">
        <is>
          <t>GÄVLEBORGS LÄN</t>
        </is>
      </c>
      <c r="E821" t="inlineStr">
        <is>
          <t>OVANÅKER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54790-2025</t>
        </is>
      </c>
      <c r="B822" s="1" t="n">
        <v>45966.63303240741</v>
      </c>
      <c r="C822" s="1" t="n">
        <v>46179</v>
      </c>
      <c r="D822" t="inlineStr">
        <is>
          <t>GÄVLEBORGS LÄN</t>
        </is>
      </c>
      <c r="E822" t="inlineStr">
        <is>
          <t>OVANÅKER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54512-2025</t>
        </is>
      </c>
      <c r="B823" s="1" t="n">
        <v>45965.62202546297</v>
      </c>
      <c r="C823" s="1" t="n">
        <v>46179</v>
      </c>
      <c r="D823" t="inlineStr">
        <is>
          <t>GÄVLEBORGS LÄN</t>
        </is>
      </c>
      <c r="E823" t="inlineStr">
        <is>
          <t>OVANÅKER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54788-2025</t>
        </is>
      </c>
      <c r="B824" s="1" t="n">
        <v>45966.63012731481</v>
      </c>
      <c r="C824" s="1" t="n">
        <v>46179</v>
      </c>
      <c r="D824" t="inlineStr">
        <is>
          <t>GÄVLEBORGS LÄN</t>
        </is>
      </c>
      <c r="E824" t="inlineStr">
        <is>
          <t>OVANÅKER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54582-2025</t>
        </is>
      </c>
      <c r="B825" s="1" t="n">
        <v>45965.71502314815</v>
      </c>
      <c r="C825" s="1" t="n">
        <v>46179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11431-2026</t>
        </is>
      </c>
      <c r="B826" s="1" t="n">
        <v>46083.49189814815</v>
      </c>
      <c r="C826" s="1" t="n">
        <v>46179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11171-2026</t>
        </is>
      </c>
      <c r="B827" s="1" t="n">
        <v>46080</v>
      </c>
      <c r="C827" s="1" t="n">
        <v>46179</v>
      </c>
      <c r="D827" t="inlineStr">
        <is>
          <t>GÄVLEBORGS LÄN</t>
        </is>
      </c>
      <c r="E827" t="inlineStr">
        <is>
          <t>OVANÅKER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11198-2026</t>
        </is>
      </c>
      <c r="B828" s="1" t="n">
        <v>46080.43465277777</v>
      </c>
      <c r="C828" s="1" t="n">
        <v>46179</v>
      </c>
      <c r="D828" t="inlineStr">
        <is>
          <t>GÄVLEBORGS LÄN</t>
        </is>
      </c>
      <c r="E828" t="inlineStr">
        <is>
          <t>OVANÅKER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5057-2025</t>
        </is>
      </c>
      <c r="B829" s="1" t="n">
        <v>45691.46682870371</v>
      </c>
      <c r="C829" s="1" t="n">
        <v>46179</v>
      </c>
      <c r="D829" t="inlineStr">
        <is>
          <t>GÄVLEBORGS LÄN</t>
        </is>
      </c>
      <c r="E829" t="inlineStr">
        <is>
          <t>OVANÅKER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11646-2026</t>
        </is>
      </c>
      <c r="B830" s="1" t="n">
        <v>46084</v>
      </c>
      <c r="C830" s="1" t="n">
        <v>46179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18261-2026</t>
        </is>
      </c>
      <c r="B831" s="1" t="n">
        <v>46126.3716087963</v>
      </c>
      <c r="C831" s="1" t="n">
        <v>46179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12017-2026</t>
        </is>
      </c>
      <c r="B832" s="1" t="n">
        <v>46085</v>
      </c>
      <c r="C832" s="1" t="n">
        <v>46179</v>
      </c>
      <c r="D832" t="inlineStr">
        <is>
          <t>GÄVLEBORGS LÄN</t>
        </is>
      </c>
      <c r="E832" t="inlineStr">
        <is>
          <t>OVANÅKER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11925-2026</t>
        </is>
      </c>
      <c r="B833" s="1" t="n">
        <v>46085</v>
      </c>
      <c r="C833" s="1" t="n">
        <v>46179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54519-2025</t>
        </is>
      </c>
      <c r="B834" s="1" t="n">
        <v>45965.62609953704</v>
      </c>
      <c r="C834" s="1" t="n">
        <v>46179</v>
      </c>
      <c r="D834" t="inlineStr">
        <is>
          <t>GÄVLEBORGS LÄN</t>
        </is>
      </c>
      <c r="E834" t="inlineStr">
        <is>
          <t>OVANÅKER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11651-2026</t>
        </is>
      </c>
      <c r="B835" s="1" t="n">
        <v>46084</v>
      </c>
      <c r="C835" s="1" t="n">
        <v>46179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11664-2026</t>
        </is>
      </c>
      <c r="B836" s="1" t="n">
        <v>46084.55239583334</v>
      </c>
      <c r="C836" s="1" t="n">
        <v>46179</v>
      </c>
      <c r="D836" t="inlineStr">
        <is>
          <t>GÄVLEBORGS LÄN</t>
        </is>
      </c>
      <c r="E836" t="inlineStr">
        <is>
          <t>OVANÅKER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11918-2026</t>
        </is>
      </c>
      <c r="B837" s="1" t="n">
        <v>46085</v>
      </c>
      <c r="C837" s="1" t="n">
        <v>46179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11920-2026</t>
        </is>
      </c>
      <c r="B838" s="1" t="n">
        <v>46085</v>
      </c>
      <c r="C838" s="1" t="n">
        <v>46179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öst AB</t>
        </is>
      </c>
      <c r="G838" t="n">
        <v>19.1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55154-2025</t>
        </is>
      </c>
      <c r="B839" s="1" t="n">
        <v>45968.46167824074</v>
      </c>
      <c r="C839" s="1" t="n">
        <v>46179</v>
      </c>
      <c r="D839" t="inlineStr">
        <is>
          <t>GÄVLEBORGS LÄN</t>
        </is>
      </c>
      <c r="E839" t="inlineStr">
        <is>
          <t>OVANÅKER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11860-2026</t>
        </is>
      </c>
      <c r="B840" s="1" t="n">
        <v>46085</v>
      </c>
      <c r="C840" s="1" t="n">
        <v>46179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11822-2026</t>
        </is>
      </c>
      <c r="B841" s="1" t="n">
        <v>46085.39390046296</v>
      </c>
      <c r="C841" s="1" t="n">
        <v>46179</v>
      </c>
      <c r="D841" t="inlineStr">
        <is>
          <t>GÄVLEBORGS LÄN</t>
        </is>
      </c>
      <c r="E841" t="inlineStr">
        <is>
          <t>OVANÅKER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18264-2026</t>
        </is>
      </c>
      <c r="B842" s="1" t="n">
        <v>46126.37517361111</v>
      </c>
      <c r="C842" s="1" t="n">
        <v>46179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54866-2025</t>
        </is>
      </c>
      <c r="B843" s="1" t="n">
        <v>45966.83371527777</v>
      </c>
      <c r="C843" s="1" t="n">
        <v>46179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18540-2026</t>
        </is>
      </c>
      <c r="B844" s="1" t="n">
        <v>46127.56194444445</v>
      </c>
      <c r="C844" s="1" t="n">
        <v>46179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14693-2025</t>
        </is>
      </c>
      <c r="B845" s="1" t="n">
        <v>45742.58847222223</v>
      </c>
      <c r="C845" s="1" t="n">
        <v>46179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11673-2026</t>
        </is>
      </c>
      <c r="B846" s="1" t="n">
        <v>46084</v>
      </c>
      <c r="C846" s="1" t="n">
        <v>46179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11699-2026</t>
        </is>
      </c>
      <c r="B847" s="1" t="n">
        <v>46084</v>
      </c>
      <c r="C847" s="1" t="n">
        <v>46179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11718-2026</t>
        </is>
      </c>
      <c r="B848" s="1" t="n">
        <v>46084</v>
      </c>
      <c r="C848" s="1" t="n">
        <v>46179</v>
      </c>
      <c r="D848" t="inlineStr">
        <is>
          <t>GÄVLEBORGS LÄN</t>
        </is>
      </c>
      <c r="E848" t="inlineStr">
        <is>
          <t>OVANÅKER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11686-2026</t>
        </is>
      </c>
      <c r="B849" s="1" t="n">
        <v>46084</v>
      </c>
      <c r="C849" s="1" t="n">
        <v>46179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9209-2026</t>
        </is>
      </c>
      <c r="B850" s="1" t="n">
        <v>46070</v>
      </c>
      <c r="C850" s="1" t="n">
        <v>46179</v>
      </c>
      <c r="D850" t="inlineStr">
        <is>
          <t>GÄVLEBORGS LÄN</t>
        </is>
      </c>
      <c r="E850" t="inlineStr">
        <is>
          <t>OVANÅKER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11828-2026</t>
        </is>
      </c>
      <c r="B851" s="1" t="n">
        <v>46085</v>
      </c>
      <c r="C851" s="1" t="n">
        <v>46179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11831-2026</t>
        </is>
      </c>
      <c r="B852" s="1" t="n">
        <v>46085</v>
      </c>
      <c r="C852" s="1" t="n">
        <v>46179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11836-2026</t>
        </is>
      </c>
      <c r="B853" s="1" t="n">
        <v>46085</v>
      </c>
      <c r="C853" s="1" t="n">
        <v>46179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19.2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55248-2025</t>
        </is>
      </c>
      <c r="B854" s="1" t="n">
        <v>45968.62568287037</v>
      </c>
      <c r="C854" s="1" t="n">
        <v>46179</v>
      </c>
      <c r="D854" t="inlineStr">
        <is>
          <t>GÄVLEBORGS LÄN</t>
        </is>
      </c>
      <c r="E854" t="inlineStr">
        <is>
          <t>OVANÅKER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11649-2026</t>
        </is>
      </c>
      <c r="B855" s="1" t="n">
        <v>46084</v>
      </c>
      <c r="C855" s="1" t="n">
        <v>46179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3416-2026</t>
        </is>
      </c>
      <c r="B856" s="1" t="n">
        <v>46042</v>
      </c>
      <c r="C856" s="1" t="n">
        <v>46179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55064-2025</t>
        </is>
      </c>
      <c r="B857" s="1" t="n">
        <v>45967.70875</v>
      </c>
      <c r="C857" s="1" t="n">
        <v>46179</v>
      </c>
      <c r="D857" t="inlineStr">
        <is>
          <t>GÄVLEBORGS LÄN</t>
        </is>
      </c>
      <c r="E857" t="inlineStr">
        <is>
          <t>OVANÅKER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11811-2026</t>
        </is>
      </c>
      <c r="B858" s="1" t="n">
        <v>46085</v>
      </c>
      <c r="C858" s="1" t="n">
        <v>46179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5979-2025</t>
        </is>
      </c>
      <c r="B859" s="1" t="n">
        <v>45695.54638888889</v>
      </c>
      <c r="C859" s="1" t="n">
        <v>46179</v>
      </c>
      <c r="D859" t="inlineStr">
        <is>
          <t>GÄVLEBORGS LÄN</t>
        </is>
      </c>
      <c r="E859" t="inlineStr">
        <is>
          <t>OVANÅKER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55232-2025</t>
        </is>
      </c>
      <c r="B860" s="1" t="n">
        <v>45968.60851851852</v>
      </c>
      <c r="C860" s="1" t="n">
        <v>46179</v>
      </c>
      <c r="D860" t="inlineStr">
        <is>
          <t>GÄVLEBORGS LÄN</t>
        </is>
      </c>
      <c r="E860" t="inlineStr">
        <is>
          <t>OVANÅKER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55245-2025</t>
        </is>
      </c>
      <c r="B861" s="1" t="n">
        <v>45968.62094907407</v>
      </c>
      <c r="C861" s="1" t="n">
        <v>46179</v>
      </c>
      <c r="D861" t="inlineStr">
        <is>
          <t>GÄVLEBORGS LÄN</t>
        </is>
      </c>
      <c r="E861" t="inlineStr">
        <is>
          <t>OVANÅKER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55246-2025</t>
        </is>
      </c>
      <c r="B862" s="1" t="n">
        <v>45968.62332175926</v>
      </c>
      <c r="C862" s="1" t="n">
        <v>46179</v>
      </c>
      <c r="D862" t="inlineStr">
        <is>
          <t>GÄVLEBORGS LÄN</t>
        </is>
      </c>
      <c r="E862" t="inlineStr">
        <is>
          <t>OVANÅKER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55470-2025</t>
        </is>
      </c>
      <c r="B863" s="1" t="n">
        <v>45971.53881944445</v>
      </c>
      <c r="C863" s="1" t="n">
        <v>46179</v>
      </c>
      <c r="D863" t="inlineStr">
        <is>
          <t>GÄVLEBORGS LÄN</t>
        </is>
      </c>
      <c r="E863" t="inlineStr">
        <is>
          <t>OVANÅKER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55495-2025</t>
        </is>
      </c>
      <c r="B864" s="1" t="n">
        <v>45971.58234953704</v>
      </c>
      <c r="C864" s="1" t="n">
        <v>46179</v>
      </c>
      <c r="D864" t="inlineStr">
        <is>
          <t>GÄVLEBORGS LÄN</t>
        </is>
      </c>
      <c r="E864" t="inlineStr">
        <is>
          <t>OVANÅKER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4751-2025</t>
        </is>
      </c>
      <c r="B865" s="1" t="n">
        <v>45688.46480324074</v>
      </c>
      <c r="C865" s="1" t="n">
        <v>46179</v>
      </c>
      <c r="D865" t="inlineStr">
        <is>
          <t>GÄVLEBORGS LÄN</t>
        </is>
      </c>
      <c r="E865" t="inlineStr">
        <is>
          <t>OVANÅKER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55494-2025</t>
        </is>
      </c>
      <c r="B866" s="1" t="n">
        <v>45971.57972222222</v>
      </c>
      <c r="C866" s="1" t="n">
        <v>46179</v>
      </c>
      <c r="D866" t="inlineStr">
        <is>
          <t>GÄVLEBORGS LÄN</t>
        </is>
      </c>
      <c r="E866" t="inlineStr">
        <is>
          <t>OVANÅKER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11706-2026</t>
        </is>
      </c>
      <c r="B867" s="1" t="n">
        <v>46084</v>
      </c>
      <c r="C867" s="1" t="n">
        <v>46179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11846-2026</t>
        </is>
      </c>
      <c r="B868" s="1" t="n">
        <v>46085</v>
      </c>
      <c r="C868" s="1" t="n">
        <v>46179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12241-2026</t>
        </is>
      </c>
      <c r="B869" s="1" t="n">
        <v>46087.42008101852</v>
      </c>
      <c r="C869" s="1" t="n">
        <v>46179</v>
      </c>
      <c r="D869" t="inlineStr">
        <is>
          <t>GÄVLEBORGS LÄN</t>
        </is>
      </c>
      <c r="E869" t="inlineStr">
        <is>
          <t>OVANÅKER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12313-2026</t>
        </is>
      </c>
      <c r="B870" s="1" t="n">
        <v>46087</v>
      </c>
      <c r="C870" s="1" t="n">
        <v>46179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3220-2026</t>
        </is>
      </c>
      <c r="B871" s="1" t="n">
        <v>46041</v>
      </c>
      <c r="C871" s="1" t="n">
        <v>46179</v>
      </c>
      <c r="D871" t="inlineStr">
        <is>
          <t>GÄVLEBORGS LÄN</t>
        </is>
      </c>
      <c r="E871" t="inlineStr">
        <is>
          <t>OVANÅKER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55840-2025</t>
        </is>
      </c>
      <c r="B872" s="1" t="n">
        <v>45973.27221064815</v>
      </c>
      <c r="C872" s="1" t="n">
        <v>46179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12034-2026</t>
        </is>
      </c>
      <c r="B873" s="1" t="n">
        <v>46086</v>
      </c>
      <c r="C873" s="1" t="n">
        <v>46179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18785-2026</t>
        </is>
      </c>
      <c r="B874" s="1" t="n">
        <v>46128.5955787037</v>
      </c>
      <c r="C874" s="1" t="n">
        <v>46179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öst AB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55411-2024</t>
        </is>
      </c>
      <c r="B875" s="1" t="n">
        <v>45622.36931712963</v>
      </c>
      <c r="C875" s="1" t="n">
        <v>46179</v>
      </c>
      <c r="D875" t="inlineStr">
        <is>
          <t>GÄVLEBORGS LÄN</t>
        </is>
      </c>
      <c r="E875" t="inlineStr">
        <is>
          <t>OVANÅKER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62196-2023</t>
        </is>
      </c>
      <c r="B876" s="1" t="n">
        <v>45267.46763888889</v>
      </c>
      <c r="C876" s="1" t="n">
        <v>46179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12156-2026</t>
        </is>
      </c>
      <c r="B877" s="1" t="n">
        <v>46086</v>
      </c>
      <c r="C877" s="1" t="n">
        <v>46179</v>
      </c>
      <c r="D877" t="inlineStr">
        <is>
          <t>GÄVLEBORGS LÄN</t>
        </is>
      </c>
      <c r="E877" t="inlineStr">
        <is>
          <t>OVANÅKER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12214-2026</t>
        </is>
      </c>
      <c r="B878" s="1" t="n">
        <v>46087</v>
      </c>
      <c r="C878" s="1" t="n">
        <v>46179</v>
      </c>
      <c r="D878" t="inlineStr">
        <is>
          <t>GÄVLEBORGS LÄN</t>
        </is>
      </c>
      <c r="E878" t="inlineStr">
        <is>
          <t>OVANÅKER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12222-2026</t>
        </is>
      </c>
      <c r="B879" s="1" t="n">
        <v>46087.36862268519</v>
      </c>
      <c r="C879" s="1" t="n">
        <v>46179</v>
      </c>
      <c r="D879" t="inlineStr">
        <is>
          <t>GÄVLEBORGS LÄN</t>
        </is>
      </c>
      <c r="E879" t="inlineStr">
        <is>
          <t>OVANÅKER</t>
        </is>
      </c>
      <c r="G879" t="n">
        <v>17.2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12016-2026</t>
        </is>
      </c>
      <c r="B880" s="1" t="n">
        <v>46085.76004629629</v>
      </c>
      <c r="C880" s="1" t="n">
        <v>46179</v>
      </c>
      <c r="D880" t="inlineStr">
        <is>
          <t>GÄVLEBORGS LÄN</t>
        </is>
      </c>
      <c r="E880" t="inlineStr">
        <is>
          <t>OVANÅKER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12224-2026</t>
        </is>
      </c>
      <c r="B881" s="1" t="n">
        <v>46087</v>
      </c>
      <c r="C881" s="1" t="n">
        <v>46179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12223-2026</t>
        </is>
      </c>
      <c r="B882" s="1" t="n">
        <v>46087.3715625</v>
      </c>
      <c r="C882" s="1" t="n">
        <v>46179</v>
      </c>
      <c r="D882" t="inlineStr">
        <is>
          <t>GÄVLEBORGS LÄN</t>
        </is>
      </c>
      <c r="E882" t="inlineStr">
        <is>
          <t>OVANÅKER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19657-2023</t>
        </is>
      </c>
      <c r="B883" s="1" t="n">
        <v>45051</v>
      </c>
      <c r="C883" s="1" t="n">
        <v>46179</v>
      </c>
      <c r="D883" t="inlineStr">
        <is>
          <t>GÄVLEBORGS LÄN</t>
        </is>
      </c>
      <c r="E883" t="inlineStr">
        <is>
          <t>OVANÅKER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12435-2026</t>
        </is>
      </c>
      <c r="B884" s="1" t="n">
        <v>46090</v>
      </c>
      <c r="C884" s="1" t="n">
        <v>46179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2531-2026</t>
        </is>
      </c>
      <c r="B885" s="1" t="n">
        <v>46037</v>
      </c>
      <c r="C885" s="1" t="n">
        <v>46179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väst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12375-2026</t>
        </is>
      </c>
      <c r="B886" s="1" t="n">
        <v>46090</v>
      </c>
      <c r="C886" s="1" t="n">
        <v>46179</v>
      </c>
      <c r="D886" t="inlineStr">
        <is>
          <t>GÄVLEBORGS LÄN</t>
        </is>
      </c>
      <c r="E886" t="inlineStr">
        <is>
          <t>OVANÅKER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56766-2025</t>
        </is>
      </c>
      <c r="B887" s="1" t="n">
        <v>45978.38041666667</v>
      </c>
      <c r="C887" s="1" t="n">
        <v>46179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12596-2026</t>
        </is>
      </c>
      <c r="B888" s="1" t="n">
        <v>46091.27469907407</v>
      </c>
      <c r="C888" s="1" t="n">
        <v>46179</v>
      </c>
      <c r="D888" t="inlineStr">
        <is>
          <t>GÄVLEBORGS LÄN</t>
        </is>
      </c>
      <c r="E888" t="inlineStr">
        <is>
          <t>OVANÅKER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50236-2023</t>
        </is>
      </c>
      <c r="B889" s="1" t="n">
        <v>45216</v>
      </c>
      <c r="C889" s="1" t="n">
        <v>46179</v>
      </c>
      <c r="D889" t="inlineStr">
        <is>
          <t>GÄVLEBORGS LÄN</t>
        </is>
      </c>
      <c r="E889" t="inlineStr">
        <is>
          <t>OVANÅKER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56771-2025</t>
        </is>
      </c>
      <c r="B890" s="1" t="n">
        <v>45978.38471064815</v>
      </c>
      <c r="C890" s="1" t="n">
        <v>46179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12369-2026</t>
        </is>
      </c>
      <c r="B891" s="1" t="n">
        <v>46089</v>
      </c>
      <c r="C891" s="1" t="n">
        <v>46179</v>
      </c>
      <c r="D891" t="inlineStr">
        <is>
          <t>GÄVLEBORGS LÄN</t>
        </is>
      </c>
      <c r="E891" t="inlineStr">
        <is>
          <t>OVANÅKER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58655-2025</t>
        </is>
      </c>
      <c r="B892" s="1" t="n">
        <v>45986.52337962963</v>
      </c>
      <c r="C892" s="1" t="n">
        <v>46179</v>
      </c>
      <c r="D892" t="inlineStr">
        <is>
          <t>GÄVLEBORGS LÄN</t>
        </is>
      </c>
      <c r="E892" t="inlineStr">
        <is>
          <t>OVANÅKER</t>
        </is>
      </c>
      <c r="G892" t="n">
        <v>19.4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12373-2026</t>
        </is>
      </c>
      <c r="B893" s="1" t="n">
        <v>46090.26636574074</v>
      </c>
      <c r="C893" s="1" t="n">
        <v>46179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19330-2026</t>
        </is>
      </c>
      <c r="B894" s="1" t="n">
        <v>46133.41556712963</v>
      </c>
      <c r="C894" s="1" t="n">
        <v>46179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12425-2026</t>
        </is>
      </c>
      <c r="B895" s="1" t="n">
        <v>46090</v>
      </c>
      <c r="C895" s="1" t="n">
        <v>46179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12430-2026</t>
        </is>
      </c>
      <c r="B896" s="1" t="n">
        <v>46090.45884259259</v>
      </c>
      <c r="C896" s="1" t="n">
        <v>46179</v>
      </c>
      <c r="D896" t="inlineStr">
        <is>
          <t>GÄVLEBORGS LÄN</t>
        </is>
      </c>
      <c r="E896" t="inlineStr">
        <is>
          <t>OVANÅKER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56488-2025</t>
        </is>
      </c>
      <c r="B897" s="1" t="n">
        <v>45975.41121527777</v>
      </c>
      <c r="C897" s="1" t="n">
        <v>46179</v>
      </c>
      <c r="D897" t="inlineStr">
        <is>
          <t>GÄVLEBORGS LÄN</t>
        </is>
      </c>
      <c r="E897" t="inlineStr">
        <is>
          <t>OVANÅKER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12766-2026</t>
        </is>
      </c>
      <c r="B898" s="1" t="n">
        <v>46091.66621527778</v>
      </c>
      <c r="C898" s="1" t="n">
        <v>46179</v>
      </c>
      <c r="D898" t="inlineStr">
        <is>
          <t>GÄVLEBORGS LÄN</t>
        </is>
      </c>
      <c r="E898" t="inlineStr">
        <is>
          <t>OVANÅKER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12565-2026</t>
        </is>
      </c>
      <c r="B899" s="1" t="n">
        <v>46090</v>
      </c>
      <c r="C899" s="1" t="n">
        <v>46179</v>
      </c>
      <c r="D899" t="inlineStr">
        <is>
          <t>GÄVLEBORGS LÄN</t>
        </is>
      </c>
      <c r="E899" t="inlineStr">
        <is>
          <t>OVANÅKER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57072-2025</t>
        </is>
      </c>
      <c r="B900" s="1" t="n">
        <v>45979.39356481482</v>
      </c>
      <c r="C900" s="1" t="n">
        <v>46179</v>
      </c>
      <c r="D900" t="inlineStr">
        <is>
          <t>GÄVLEBORGS LÄN</t>
        </is>
      </c>
      <c r="E900" t="inlineStr">
        <is>
          <t>OVANÅKER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57077-2025</t>
        </is>
      </c>
      <c r="B901" s="1" t="n">
        <v>45979.40359953704</v>
      </c>
      <c r="C901" s="1" t="n">
        <v>46179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57201-2025</t>
        </is>
      </c>
      <c r="B902" s="1" t="n">
        <v>45979.58494212963</v>
      </c>
      <c r="C902" s="1" t="n">
        <v>46179</v>
      </c>
      <c r="D902" t="inlineStr">
        <is>
          <t>GÄVLEBORGS LÄN</t>
        </is>
      </c>
      <c r="E902" t="inlineStr">
        <is>
          <t>OVANÅKER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57554-2025</t>
        </is>
      </c>
      <c r="B903" s="1" t="n">
        <v>45980.67041666667</v>
      </c>
      <c r="C903" s="1" t="n">
        <v>46179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12838-2026</t>
        </is>
      </c>
      <c r="B904" s="1" t="n">
        <v>46092.43185185185</v>
      </c>
      <c r="C904" s="1" t="n">
        <v>46179</v>
      </c>
      <c r="D904" t="inlineStr">
        <is>
          <t>GÄVLEBORGS LÄN</t>
        </is>
      </c>
      <c r="E904" t="inlineStr">
        <is>
          <t>OVANÅKER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12860-2026</t>
        </is>
      </c>
      <c r="B905" s="1" t="n">
        <v>46092</v>
      </c>
      <c r="C905" s="1" t="n">
        <v>46179</v>
      </c>
      <c r="D905" t="inlineStr">
        <is>
          <t>GÄVLEBORGS LÄN</t>
        </is>
      </c>
      <c r="E905" t="inlineStr">
        <is>
          <t>OVANÅKER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57071-2025</t>
        </is>
      </c>
      <c r="B906" s="1" t="n">
        <v>45979.39049768518</v>
      </c>
      <c r="C906" s="1" t="n">
        <v>46179</v>
      </c>
      <c r="D906" t="inlineStr">
        <is>
          <t>GÄVLEBORGS LÄN</t>
        </is>
      </c>
      <c r="E906" t="inlineStr">
        <is>
          <t>OVANÅKER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57159-2025</t>
        </is>
      </c>
      <c r="B907" s="1" t="n">
        <v>45979.52887731481</v>
      </c>
      <c r="C907" s="1" t="n">
        <v>46179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13123-2026</t>
        </is>
      </c>
      <c r="B908" s="1" t="n">
        <v>46093</v>
      </c>
      <c r="C908" s="1" t="n">
        <v>46179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19607-2026</t>
        </is>
      </c>
      <c r="B909" s="1" t="n">
        <v>46134.48888888889</v>
      </c>
      <c r="C909" s="1" t="n">
        <v>46179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öst AB</t>
        </is>
      </c>
      <c r="G909" t="n">
        <v>22.6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13264-2026</t>
        </is>
      </c>
      <c r="B910" s="1" t="n">
        <v>46093</v>
      </c>
      <c r="C910" s="1" t="n">
        <v>46179</v>
      </c>
      <c r="D910" t="inlineStr">
        <is>
          <t>GÄVLEBORGS LÄN</t>
        </is>
      </c>
      <c r="E910" t="inlineStr">
        <is>
          <t>OVANÅKER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13057-2026</t>
        </is>
      </c>
      <c r="B911" s="1" t="n">
        <v>46093</v>
      </c>
      <c r="C911" s="1" t="n">
        <v>46179</v>
      </c>
      <c r="D911" t="inlineStr">
        <is>
          <t>GÄVLEBORGS LÄN</t>
        </is>
      </c>
      <c r="E911" t="inlineStr">
        <is>
          <t>OVANÅKER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13059-2026</t>
        </is>
      </c>
      <c r="B912" s="1" t="n">
        <v>46093</v>
      </c>
      <c r="C912" s="1" t="n">
        <v>46179</v>
      </c>
      <c r="D912" t="inlineStr">
        <is>
          <t>GÄVLEBORGS LÄN</t>
        </is>
      </c>
      <c r="E912" t="inlineStr">
        <is>
          <t>OVANÅKER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12886-2026</t>
        </is>
      </c>
      <c r="B913" s="1" t="n">
        <v>46092</v>
      </c>
      <c r="C913" s="1" t="n">
        <v>46179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12789-2026</t>
        </is>
      </c>
      <c r="B914" s="1" t="n">
        <v>46092</v>
      </c>
      <c r="C914" s="1" t="n">
        <v>46179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57172-2025</t>
        </is>
      </c>
      <c r="B915" s="1" t="n">
        <v>45979.54767361111</v>
      </c>
      <c r="C915" s="1" t="n">
        <v>46179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12832-2026</t>
        </is>
      </c>
      <c r="B916" s="1" t="n">
        <v>46092.4247800926</v>
      </c>
      <c r="C916" s="1" t="n">
        <v>46179</v>
      </c>
      <c r="D916" t="inlineStr">
        <is>
          <t>GÄVLEBORGS LÄN</t>
        </is>
      </c>
      <c r="E916" t="inlineStr">
        <is>
          <t>OVANÅKER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13061-2026</t>
        </is>
      </c>
      <c r="B917" s="1" t="n">
        <v>46093</v>
      </c>
      <c r="C917" s="1" t="n">
        <v>46179</v>
      </c>
      <c r="D917" t="inlineStr">
        <is>
          <t>GÄVLEBORGS LÄN</t>
        </is>
      </c>
      <c r="E917" t="inlineStr">
        <is>
          <t>OVANÅKER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12858-2026</t>
        </is>
      </c>
      <c r="B918" s="1" t="n">
        <v>46092</v>
      </c>
      <c r="C918" s="1" t="n">
        <v>46179</v>
      </c>
      <c r="D918" t="inlineStr">
        <is>
          <t>GÄVLEBORGS LÄN</t>
        </is>
      </c>
      <c r="E918" t="inlineStr">
        <is>
          <t>OVANÅKER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12850-2026</t>
        </is>
      </c>
      <c r="B919" s="1" t="n">
        <v>46092.46576388889</v>
      </c>
      <c r="C919" s="1" t="n">
        <v>46179</v>
      </c>
      <c r="D919" t="inlineStr">
        <is>
          <t>GÄVLEBORGS LÄN</t>
        </is>
      </c>
      <c r="E919" t="inlineStr">
        <is>
          <t>OVANÅKER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19773-2026</t>
        </is>
      </c>
      <c r="B920" s="1" t="n">
        <v>46135.43626157408</v>
      </c>
      <c r="C920" s="1" t="n">
        <v>46179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19802-2026</t>
        </is>
      </c>
      <c r="B921" s="1" t="n">
        <v>46135.55085648148</v>
      </c>
      <c r="C921" s="1" t="n">
        <v>46179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öst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58504-2025</t>
        </is>
      </c>
      <c r="B922" s="1" t="n">
        <v>45985</v>
      </c>
      <c r="C922" s="1" t="n">
        <v>46179</v>
      </c>
      <c r="D922" t="inlineStr">
        <is>
          <t>GÄVLEBORGS LÄN</t>
        </is>
      </c>
      <c r="E922" t="inlineStr">
        <is>
          <t>OVANÅKER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13087-2026</t>
        </is>
      </c>
      <c r="B923" s="1" t="n">
        <v>46093</v>
      </c>
      <c r="C923" s="1" t="n">
        <v>46179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13125-2026</t>
        </is>
      </c>
      <c r="B924" s="1" t="n">
        <v>46093</v>
      </c>
      <c r="C924" s="1" t="n">
        <v>46179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13247-2026</t>
        </is>
      </c>
      <c r="B925" s="1" t="n">
        <v>46093</v>
      </c>
      <c r="C925" s="1" t="n">
        <v>46179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60345-2025</t>
        </is>
      </c>
      <c r="B926" s="1" t="n">
        <v>45995</v>
      </c>
      <c r="C926" s="1" t="n">
        <v>46179</v>
      </c>
      <c r="D926" t="inlineStr">
        <is>
          <t>GÄVLEBORGS LÄN</t>
        </is>
      </c>
      <c r="E926" t="inlineStr">
        <is>
          <t>OVANÅKER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12919-2026</t>
        </is>
      </c>
      <c r="B927" s="1" t="n">
        <v>46092</v>
      </c>
      <c r="C927" s="1" t="n">
        <v>46179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19235-2025</t>
        </is>
      </c>
      <c r="B928" s="1" t="n">
        <v>45769.46902777778</v>
      </c>
      <c r="C928" s="1" t="n">
        <v>46179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19780-2026</t>
        </is>
      </c>
      <c r="B929" s="1" t="n">
        <v>46135.45150462963</v>
      </c>
      <c r="C929" s="1" t="n">
        <v>46179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57772-2025</t>
        </is>
      </c>
      <c r="B930" s="1" t="n">
        <v>45981.5628125</v>
      </c>
      <c r="C930" s="1" t="n">
        <v>46179</v>
      </c>
      <c r="D930" t="inlineStr">
        <is>
          <t>GÄVLEBORGS LÄN</t>
        </is>
      </c>
      <c r="E930" t="inlineStr">
        <is>
          <t>OVANÅKER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19481-2026</t>
        </is>
      </c>
      <c r="B931" s="1" t="n">
        <v>46134.26376157408</v>
      </c>
      <c r="C931" s="1" t="n">
        <v>46179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öst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57936-2025</t>
        </is>
      </c>
      <c r="B932" s="1" t="n">
        <v>45982.27430555555</v>
      </c>
      <c r="C932" s="1" t="n">
        <v>46179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57636-2025</t>
        </is>
      </c>
      <c r="B933" s="1" t="n">
        <v>45981.3564699074</v>
      </c>
      <c r="C933" s="1" t="n">
        <v>46179</v>
      </c>
      <c r="D933" t="inlineStr">
        <is>
          <t>GÄVLEBORGS LÄN</t>
        </is>
      </c>
      <c r="E933" t="inlineStr">
        <is>
          <t>OVANÅKER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13511-2026</t>
        </is>
      </c>
      <c r="B934" s="1" t="n">
        <v>46094.6047800926</v>
      </c>
      <c r="C934" s="1" t="n">
        <v>46179</v>
      </c>
      <c r="D934" t="inlineStr">
        <is>
          <t>GÄVLEBORGS LÄN</t>
        </is>
      </c>
      <c r="E934" t="inlineStr">
        <is>
          <t>OVANÅKER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13678-2026</t>
        </is>
      </c>
      <c r="B935" s="1" t="n">
        <v>46097</v>
      </c>
      <c r="C935" s="1" t="n">
        <v>46179</v>
      </c>
      <c r="D935" t="inlineStr">
        <is>
          <t>GÄVLEBORGS LÄN</t>
        </is>
      </c>
      <c r="E935" t="inlineStr">
        <is>
          <t>OVANÅKER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13720-2026</t>
        </is>
      </c>
      <c r="B936" s="1" t="n">
        <v>46097</v>
      </c>
      <c r="C936" s="1" t="n">
        <v>46179</v>
      </c>
      <c r="D936" t="inlineStr">
        <is>
          <t>GÄVLEBORGS LÄN</t>
        </is>
      </c>
      <c r="E936" t="inlineStr">
        <is>
          <t>OVANÅKER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13722-2026</t>
        </is>
      </c>
      <c r="B937" s="1" t="n">
        <v>46097</v>
      </c>
      <c r="C937" s="1" t="n">
        <v>46179</v>
      </c>
      <c r="D937" t="inlineStr">
        <is>
          <t>GÄVLEBORGS LÄN</t>
        </is>
      </c>
      <c r="E937" t="inlineStr">
        <is>
          <t>OVANÅKER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13677-2026</t>
        </is>
      </c>
      <c r="B938" s="1" t="n">
        <v>46097</v>
      </c>
      <c r="C938" s="1" t="n">
        <v>46179</v>
      </c>
      <c r="D938" t="inlineStr">
        <is>
          <t>GÄVLEBORGS LÄN</t>
        </is>
      </c>
      <c r="E938" t="inlineStr">
        <is>
          <t>OVANÅKER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13659-2026</t>
        </is>
      </c>
      <c r="B939" s="1" t="n">
        <v>46097</v>
      </c>
      <c r="C939" s="1" t="n">
        <v>46179</v>
      </c>
      <c r="D939" t="inlineStr">
        <is>
          <t>GÄVLEBORGS LÄN</t>
        </is>
      </c>
      <c r="E939" t="inlineStr">
        <is>
          <t>OVANÅKER</t>
        </is>
      </c>
      <c r="G939" t="n">
        <v>15.9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19008-2025</t>
        </is>
      </c>
      <c r="B940" s="1" t="n">
        <v>45764.59033564815</v>
      </c>
      <c r="C940" s="1" t="n">
        <v>46179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58492-2025</t>
        </is>
      </c>
      <c r="B941" s="1" t="n">
        <v>45985.67304398148</v>
      </c>
      <c r="C941" s="1" t="n">
        <v>46179</v>
      </c>
      <c r="D941" t="inlineStr">
        <is>
          <t>GÄVLEBORGS LÄN</t>
        </is>
      </c>
      <c r="E941" t="inlineStr">
        <is>
          <t>OVANÅKER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13654-2026</t>
        </is>
      </c>
      <c r="B942" s="1" t="n">
        <v>46097</v>
      </c>
      <c r="C942" s="1" t="n">
        <v>46179</v>
      </c>
      <c r="D942" t="inlineStr">
        <is>
          <t>GÄVLEBORGS LÄN</t>
        </is>
      </c>
      <c r="E942" t="inlineStr">
        <is>
          <t>OVANÅKER</t>
        </is>
      </c>
      <c r="G942" t="n">
        <v>10.2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13658-2026</t>
        </is>
      </c>
      <c r="B943" s="1" t="n">
        <v>46097.45693287037</v>
      </c>
      <c r="C943" s="1" t="n">
        <v>46179</v>
      </c>
      <c r="D943" t="inlineStr">
        <is>
          <t>GÄVLEBORGS LÄN</t>
        </is>
      </c>
      <c r="E943" t="inlineStr">
        <is>
          <t>OVANÅKER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49125-2023</t>
        </is>
      </c>
      <c r="B944" s="1" t="n">
        <v>45210.46990740741</v>
      </c>
      <c r="C944" s="1" t="n">
        <v>46179</v>
      </c>
      <c r="D944" t="inlineStr">
        <is>
          <t>GÄVLEBORGS LÄN</t>
        </is>
      </c>
      <c r="E944" t="inlineStr">
        <is>
          <t>OVANÅKER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13682-2026</t>
        </is>
      </c>
      <c r="B945" s="1" t="n">
        <v>46097.51908564815</v>
      </c>
      <c r="C945" s="1" t="n">
        <v>46179</v>
      </c>
      <c r="D945" t="inlineStr">
        <is>
          <t>GÄVLEBORGS LÄN</t>
        </is>
      </c>
      <c r="E945" t="inlineStr">
        <is>
          <t>OVANÅKER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13435-2026</t>
        </is>
      </c>
      <c r="B946" s="1" t="n">
        <v>46094.48972222222</v>
      </c>
      <c r="C946" s="1" t="n">
        <v>46179</v>
      </c>
      <c r="D946" t="inlineStr">
        <is>
          <t>GÄVLEBORGS LÄN</t>
        </is>
      </c>
      <c r="E946" t="inlineStr">
        <is>
          <t>OVANÅKER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13508-2026</t>
        </is>
      </c>
      <c r="B947" s="1" t="n">
        <v>46094.59975694444</v>
      </c>
      <c r="C947" s="1" t="n">
        <v>46179</v>
      </c>
      <c r="D947" t="inlineStr">
        <is>
          <t>GÄVLEBORGS LÄN</t>
        </is>
      </c>
      <c r="E947" t="inlineStr">
        <is>
          <t>OVANÅKER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35993-2024</t>
        </is>
      </c>
      <c r="B948" s="1" t="n">
        <v>45533.53946759259</v>
      </c>
      <c r="C948" s="1" t="n">
        <v>46179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18591-2025</t>
        </is>
      </c>
      <c r="B949" s="1" t="n">
        <v>45763.48015046296</v>
      </c>
      <c r="C949" s="1" t="n">
        <v>46179</v>
      </c>
      <c r="D949" t="inlineStr">
        <is>
          <t>GÄVLEBORGS LÄN</t>
        </is>
      </c>
      <c r="E949" t="inlineStr">
        <is>
          <t>OVANÅKER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53060-2025</t>
        </is>
      </c>
      <c r="B950" s="1" t="n">
        <v>45958.36918981482</v>
      </c>
      <c r="C950" s="1" t="n">
        <v>46179</v>
      </c>
      <c r="D950" t="inlineStr">
        <is>
          <t>GÄVLEBORGS LÄN</t>
        </is>
      </c>
      <c r="E950" t="inlineStr">
        <is>
          <t>OVANÅKER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17617-2025</t>
        </is>
      </c>
      <c r="B951" s="1" t="n">
        <v>45757.82751157408</v>
      </c>
      <c r="C951" s="1" t="n">
        <v>46179</v>
      </c>
      <c r="D951" t="inlineStr">
        <is>
          <t>GÄVLEBORGS LÄN</t>
        </is>
      </c>
      <c r="E951" t="inlineStr">
        <is>
          <t>OVANÅKER</t>
        </is>
      </c>
      <c r="F951" t="inlineStr">
        <is>
          <t>Holmen skog AB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13530-2026</t>
        </is>
      </c>
      <c r="B952" s="1" t="n">
        <v>46094</v>
      </c>
      <c r="C952" s="1" t="n">
        <v>46179</v>
      </c>
      <c r="D952" t="inlineStr">
        <is>
          <t>GÄVLEBORGS LÄN</t>
        </is>
      </c>
      <c r="E952" t="inlineStr">
        <is>
          <t>OVANÅKER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9286-2022</t>
        </is>
      </c>
      <c r="B953" s="1" t="n">
        <v>44616.45451388889</v>
      </c>
      <c r="C953" s="1" t="n">
        <v>46179</v>
      </c>
      <c r="D953" t="inlineStr">
        <is>
          <t>GÄVLEBORGS LÄN</t>
        </is>
      </c>
      <c r="E953" t="inlineStr">
        <is>
          <t>OVANÅKER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13443-2024</t>
        </is>
      </c>
      <c r="B954" s="1" t="n">
        <v>45387.49703703704</v>
      </c>
      <c r="C954" s="1" t="n">
        <v>46179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59663-2025</t>
        </is>
      </c>
      <c r="B955" s="1" t="n">
        <v>45992.4491550926</v>
      </c>
      <c r="C955" s="1" t="n">
        <v>46179</v>
      </c>
      <c r="D955" t="inlineStr">
        <is>
          <t>GÄVLEBORGS LÄN</t>
        </is>
      </c>
      <c r="E955" t="inlineStr">
        <is>
          <t>OVANÅKER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59674-2025</t>
        </is>
      </c>
      <c r="B956" s="1" t="n">
        <v>45992.46377314815</v>
      </c>
      <c r="C956" s="1" t="n">
        <v>46179</v>
      </c>
      <c r="D956" t="inlineStr">
        <is>
          <t>GÄVLEBORGS LÄN</t>
        </is>
      </c>
      <c r="E956" t="inlineStr">
        <is>
          <t>OVANÅKER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59643-2025</t>
        </is>
      </c>
      <c r="B957" s="1" t="n">
        <v>45992.41833333333</v>
      </c>
      <c r="C957" s="1" t="n">
        <v>46179</v>
      </c>
      <c r="D957" t="inlineStr">
        <is>
          <t>GÄVLEBORGS LÄN</t>
        </is>
      </c>
      <c r="E957" t="inlineStr">
        <is>
          <t>OVANÅKER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13728-2026</t>
        </is>
      </c>
      <c r="B958" s="1" t="n">
        <v>46097.61771990741</v>
      </c>
      <c r="C958" s="1" t="n">
        <v>46179</v>
      </c>
      <c r="D958" t="inlineStr">
        <is>
          <t>GÄVLEBORGS LÄN</t>
        </is>
      </c>
      <c r="E958" t="inlineStr">
        <is>
          <t>OVANÅKER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4877-2026</t>
        </is>
      </c>
      <c r="B959" s="1" t="n">
        <v>46048</v>
      </c>
      <c r="C959" s="1" t="n">
        <v>46179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14035-2026</t>
        </is>
      </c>
      <c r="B960" s="1" t="n">
        <v>46098</v>
      </c>
      <c r="C960" s="1" t="n">
        <v>46179</v>
      </c>
      <c r="D960" t="inlineStr">
        <is>
          <t>GÄVLEBORGS LÄN</t>
        </is>
      </c>
      <c r="E960" t="inlineStr">
        <is>
          <t>OVANÅKER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13940-2026</t>
        </is>
      </c>
      <c r="B961" s="1" t="n">
        <v>46098</v>
      </c>
      <c r="C961" s="1" t="n">
        <v>46179</v>
      </c>
      <c r="D961" t="inlineStr">
        <is>
          <t>GÄVLEBORGS LÄN</t>
        </is>
      </c>
      <c r="E961" t="inlineStr">
        <is>
          <t>OVANÅKER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14014-2026</t>
        </is>
      </c>
      <c r="B962" s="1" t="n">
        <v>46098.67355324074</v>
      </c>
      <c r="C962" s="1" t="n">
        <v>46179</v>
      </c>
      <c r="D962" t="inlineStr">
        <is>
          <t>GÄVLEBORGS LÄN</t>
        </is>
      </c>
      <c r="E962" t="inlineStr">
        <is>
          <t>OVANÅKER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19875-2025</t>
        </is>
      </c>
      <c r="B963" s="1" t="n">
        <v>45771.55023148148</v>
      </c>
      <c r="C963" s="1" t="n">
        <v>46179</v>
      </c>
      <c r="D963" t="inlineStr">
        <is>
          <t>GÄVLEBORGS LÄN</t>
        </is>
      </c>
      <c r="E963" t="inlineStr">
        <is>
          <t>OVANÅKER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4888-2026</t>
        </is>
      </c>
      <c r="B964" s="1" t="n">
        <v>46048</v>
      </c>
      <c r="C964" s="1" t="n">
        <v>46179</v>
      </c>
      <c r="D964" t="inlineStr">
        <is>
          <t>GÄVLEBORGS LÄN</t>
        </is>
      </c>
      <c r="E964" t="inlineStr">
        <is>
          <t>OVANÅKER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5826-2026</t>
        </is>
      </c>
      <c r="B965" s="1" t="n">
        <v>46050</v>
      </c>
      <c r="C965" s="1" t="n">
        <v>46179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14213-2026</t>
        </is>
      </c>
      <c r="B966" s="1" t="n">
        <v>46099.56556712963</v>
      </c>
      <c r="C966" s="1" t="n">
        <v>46179</v>
      </c>
      <c r="D966" t="inlineStr">
        <is>
          <t>GÄVLEBORGS LÄN</t>
        </is>
      </c>
      <c r="E966" t="inlineStr">
        <is>
          <t>OVANÅKER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14187-2026</t>
        </is>
      </c>
      <c r="B967" s="1" t="n">
        <v>46099</v>
      </c>
      <c r="C967" s="1" t="n">
        <v>46179</v>
      </c>
      <c r="D967" t="inlineStr">
        <is>
          <t>GÄVLEBORGS LÄN</t>
        </is>
      </c>
      <c r="E967" t="inlineStr">
        <is>
          <t>OVANÅKER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14190-2026</t>
        </is>
      </c>
      <c r="B968" s="1" t="n">
        <v>46099</v>
      </c>
      <c r="C968" s="1" t="n">
        <v>46179</v>
      </c>
      <c r="D968" t="inlineStr">
        <is>
          <t>GÄVLEBORGS LÄN</t>
        </is>
      </c>
      <c r="E968" t="inlineStr">
        <is>
          <t>OVANÅKER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14289-2026</t>
        </is>
      </c>
      <c r="B969" s="1" t="n">
        <v>46099.68649305555</v>
      </c>
      <c r="C969" s="1" t="n">
        <v>46179</v>
      </c>
      <c r="D969" t="inlineStr">
        <is>
          <t>GÄVLEBORGS LÄN</t>
        </is>
      </c>
      <c r="E969" t="inlineStr">
        <is>
          <t>OVANÅKER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7483-2026</t>
        </is>
      </c>
      <c r="B970" s="1" t="n">
        <v>46059</v>
      </c>
      <c r="C970" s="1" t="n">
        <v>46179</v>
      </c>
      <c r="D970" t="inlineStr">
        <is>
          <t>GÄVLEBORGS LÄN</t>
        </is>
      </c>
      <c r="E970" t="inlineStr">
        <is>
          <t>OVANÅKER</t>
        </is>
      </c>
      <c r="F970" t="inlineStr">
        <is>
          <t>Sveaskog</t>
        </is>
      </c>
      <c r="G970" t="n">
        <v>27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13938-2026</t>
        </is>
      </c>
      <c r="B971" s="1" t="n">
        <v>46098</v>
      </c>
      <c r="C971" s="1" t="n">
        <v>46179</v>
      </c>
      <c r="D971" t="inlineStr">
        <is>
          <t>GÄVLEBORGS LÄN</t>
        </is>
      </c>
      <c r="E971" t="inlineStr">
        <is>
          <t>OVANÅKER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14282-2026</t>
        </is>
      </c>
      <c r="B972" s="1" t="n">
        <v>46099</v>
      </c>
      <c r="C972" s="1" t="n">
        <v>46179</v>
      </c>
      <c r="D972" t="inlineStr">
        <is>
          <t>GÄVLEBORGS LÄN</t>
        </is>
      </c>
      <c r="E972" t="inlineStr">
        <is>
          <t>OVANÅKER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14226-2026</t>
        </is>
      </c>
      <c r="B973" s="1" t="n">
        <v>46099</v>
      </c>
      <c r="C973" s="1" t="n">
        <v>46179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13907-2026</t>
        </is>
      </c>
      <c r="B974" s="1" t="n">
        <v>46098</v>
      </c>
      <c r="C974" s="1" t="n">
        <v>46179</v>
      </c>
      <c r="D974" t="inlineStr">
        <is>
          <t>GÄVLEBORGS LÄN</t>
        </is>
      </c>
      <c r="E974" t="inlineStr">
        <is>
          <t>OVANÅKER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14274-2026</t>
        </is>
      </c>
      <c r="B975" s="1" t="n">
        <v>46099</v>
      </c>
      <c r="C975" s="1" t="n">
        <v>46179</v>
      </c>
      <c r="D975" t="inlineStr">
        <is>
          <t>GÄVLEBORGS LÄN</t>
        </is>
      </c>
      <c r="E975" t="inlineStr">
        <is>
          <t>OVANÅKER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13879-2026</t>
        </is>
      </c>
      <c r="B976" s="1" t="n">
        <v>46098</v>
      </c>
      <c r="C976" s="1" t="n">
        <v>46179</v>
      </c>
      <c r="D976" t="inlineStr">
        <is>
          <t>GÄVLEBORGS LÄN</t>
        </is>
      </c>
      <c r="E976" t="inlineStr">
        <is>
          <t>OVANÅKER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59354-2024</t>
        </is>
      </c>
      <c r="B977" s="1" t="n">
        <v>45638.3077662037</v>
      </c>
      <c r="C977" s="1" t="n">
        <v>46179</v>
      </c>
      <c r="D977" t="inlineStr">
        <is>
          <t>GÄVLEBORGS LÄN</t>
        </is>
      </c>
      <c r="E977" t="inlineStr">
        <is>
          <t>OVANÅKER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60106-2025</t>
        </is>
      </c>
      <c r="B978" s="1" t="n">
        <v>45994.28327546296</v>
      </c>
      <c r="C978" s="1" t="n">
        <v>46179</v>
      </c>
      <c r="D978" t="inlineStr">
        <is>
          <t>GÄVLEBORGS LÄN</t>
        </is>
      </c>
      <c r="E978" t="inlineStr">
        <is>
          <t>OVANÅKER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60108-2025</t>
        </is>
      </c>
      <c r="B979" s="1" t="n">
        <v>45994.29895833333</v>
      </c>
      <c r="C979" s="1" t="n">
        <v>46179</v>
      </c>
      <c r="D979" t="inlineStr">
        <is>
          <t>GÄVLEBORGS LÄN</t>
        </is>
      </c>
      <c r="E979" t="inlineStr">
        <is>
          <t>OVANÅKER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60107-2025</t>
        </is>
      </c>
      <c r="B980" s="1" t="n">
        <v>45994.29716435185</v>
      </c>
      <c r="C980" s="1" t="n">
        <v>46179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20659-2026</t>
        </is>
      </c>
      <c r="B981" s="1" t="n">
        <v>46141.42715277777</v>
      </c>
      <c r="C981" s="1" t="n">
        <v>46179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väst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54099-2023</t>
        </is>
      </c>
      <c r="B982" s="1" t="n">
        <v>45225</v>
      </c>
      <c r="C982" s="1" t="n">
        <v>46179</v>
      </c>
      <c r="D982" t="inlineStr">
        <is>
          <t>GÄVLEBORGS LÄN</t>
        </is>
      </c>
      <c r="E982" t="inlineStr">
        <is>
          <t>OVANÅKER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14222-2026</t>
        </is>
      </c>
      <c r="B983" s="1" t="n">
        <v>46099</v>
      </c>
      <c r="C983" s="1" t="n">
        <v>46179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60121-2025</t>
        </is>
      </c>
      <c r="B984" s="1" t="n">
        <v>45994.33305555556</v>
      </c>
      <c r="C984" s="1" t="n">
        <v>46179</v>
      </c>
      <c r="D984" t="inlineStr">
        <is>
          <t>GÄVLEBORGS LÄN</t>
        </is>
      </c>
      <c r="E984" t="inlineStr">
        <is>
          <t>OVANÅKER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21263-2024</t>
        </is>
      </c>
      <c r="B985" s="1" t="n">
        <v>45440</v>
      </c>
      <c r="C985" s="1" t="n">
        <v>46179</v>
      </c>
      <c r="D985" t="inlineStr">
        <is>
          <t>GÄVLEBORGS LÄN</t>
        </is>
      </c>
      <c r="E985" t="inlineStr">
        <is>
          <t>OVANÅKER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60379-2025</t>
        </is>
      </c>
      <c r="B986" s="1" t="n">
        <v>45995.36715277778</v>
      </c>
      <c r="C986" s="1" t="n">
        <v>46179</v>
      </c>
      <c r="D986" t="inlineStr">
        <is>
          <t>GÄVLEBORGS LÄN</t>
        </is>
      </c>
      <c r="E986" t="inlineStr">
        <is>
          <t>OVANÅKER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60476-2025</t>
        </is>
      </c>
      <c r="B987" s="1" t="n">
        <v>45995.58584490741</v>
      </c>
      <c r="C987" s="1" t="n">
        <v>46179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14043-2026</t>
        </is>
      </c>
      <c r="B988" s="1" t="n">
        <v>46098</v>
      </c>
      <c r="C988" s="1" t="n">
        <v>46179</v>
      </c>
      <c r="D988" t="inlineStr">
        <is>
          <t>GÄVLEBORGS LÄN</t>
        </is>
      </c>
      <c r="E988" t="inlineStr">
        <is>
          <t>OVANÅKER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14050-2026</t>
        </is>
      </c>
      <c r="B989" s="1" t="n">
        <v>46099.29116898148</v>
      </c>
      <c r="C989" s="1" t="n">
        <v>46179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16360-2025</t>
        </is>
      </c>
      <c r="B990" s="1" t="n">
        <v>45751.39</v>
      </c>
      <c r="C990" s="1" t="n">
        <v>46179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2478-2023</t>
        </is>
      </c>
      <c r="B991" s="1" t="n">
        <v>44943</v>
      </c>
      <c r="C991" s="1" t="n">
        <v>46179</v>
      </c>
      <c r="D991" t="inlineStr">
        <is>
          <t>GÄVLEBORGS LÄN</t>
        </is>
      </c>
      <c r="E991" t="inlineStr">
        <is>
          <t>OVANÅKER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20115-2025</t>
        </is>
      </c>
      <c r="B992" s="1" t="n">
        <v>45772.48476851852</v>
      </c>
      <c r="C992" s="1" t="n">
        <v>46179</v>
      </c>
      <c r="D992" t="inlineStr">
        <is>
          <t>GÄVLEBORGS LÄN</t>
        </is>
      </c>
      <c r="E992" t="inlineStr">
        <is>
          <t>OVANÅKER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51700-2022</t>
        </is>
      </c>
      <c r="B993" s="1" t="n">
        <v>44872</v>
      </c>
      <c r="C993" s="1" t="n">
        <v>46179</v>
      </c>
      <c r="D993" t="inlineStr">
        <is>
          <t>GÄVLEBORGS LÄN</t>
        </is>
      </c>
      <c r="E993" t="inlineStr">
        <is>
          <t>OVANÅKER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39173-2024</t>
        </is>
      </c>
      <c r="B994" s="1" t="n">
        <v>45548.65622685185</v>
      </c>
      <c r="C994" s="1" t="n">
        <v>46179</v>
      </c>
      <c r="D994" t="inlineStr">
        <is>
          <t>GÄVLEBORGS LÄN</t>
        </is>
      </c>
      <c r="E994" t="inlineStr">
        <is>
          <t>OVANÅKER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47486-2021</t>
        </is>
      </c>
      <c r="B995" s="1" t="n">
        <v>44447.66361111111</v>
      </c>
      <c r="C995" s="1" t="n">
        <v>46179</v>
      </c>
      <c r="D995" t="inlineStr">
        <is>
          <t>GÄVLEBORGS LÄN</t>
        </is>
      </c>
      <c r="E995" t="inlineStr">
        <is>
          <t>OVANÅKER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45377.3384375</v>
      </c>
      <c r="C996" s="1" t="n">
        <v>46179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60912-2025</t>
        </is>
      </c>
      <c r="B997" s="1" t="n">
        <v>45999.60133101852</v>
      </c>
      <c r="C997" s="1" t="n">
        <v>46179</v>
      </c>
      <c r="D997" t="inlineStr">
        <is>
          <t>GÄVLEBORGS LÄN</t>
        </is>
      </c>
      <c r="E997" t="inlineStr">
        <is>
          <t>OVANÅKER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14105-2026</t>
        </is>
      </c>
      <c r="B998" s="1" t="n">
        <v>46099</v>
      </c>
      <c r="C998" s="1" t="n">
        <v>46179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14106-2026</t>
        </is>
      </c>
      <c r="B999" s="1" t="n">
        <v>46099.41815972222</v>
      </c>
      <c r="C999" s="1" t="n">
        <v>46179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13935-2026</t>
        </is>
      </c>
      <c r="B1000" s="1" t="n">
        <v>46098</v>
      </c>
      <c r="C1000" s="1" t="n">
        <v>46179</v>
      </c>
      <c r="D1000" t="inlineStr">
        <is>
          <t>GÄVLEBORGS LÄN</t>
        </is>
      </c>
      <c r="E1000" t="inlineStr">
        <is>
          <t>OVANÅKER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29380-2023</t>
        </is>
      </c>
      <c r="B1001" s="1" t="n">
        <v>45106.39375</v>
      </c>
      <c r="C1001" s="1" t="n">
        <v>46179</v>
      </c>
      <c r="D1001" t="inlineStr">
        <is>
          <t>GÄVLEBORGS LÄN</t>
        </is>
      </c>
      <c r="E1001" t="inlineStr">
        <is>
          <t>OVANÅKER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13912-2026</t>
        </is>
      </c>
      <c r="B1002" s="1" t="n">
        <v>46098</v>
      </c>
      <c r="C1002" s="1" t="n">
        <v>46179</v>
      </c>
      <c r="D1002" t="inlineStr">
        <is>
          <t>GÄVLEBORGS LÄN</t>
        </is>
      </c>
      <c r="E1002" t="inlineStr">
        <is>
          <t>OVANÅKER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14513-2026</t>
        </is>
      </c>
      <c r="B1003" s="1" t="n">
        <v>46100</v>
      </c>
      <c r="C1003" s="1" t="n">
        <v>46179</v>
      </c>
      <c r="D1003" t="inlineStr">
        <is>
          <t>GÄVLEBORGS LÄN</t>
        </is>
      </c>
      <c r="E1003" t="inlineStr">
        <is>
          <t>OVANÅKER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53818-2023</t>
        </is>
      </c>
      <c r="B1004" s="1" t="n">
        <v>45231</v>
      </c>
      <c r="C1004" s="1" t="n">
        <v>46179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14704-2026</t>
        </is>
      </c>
      <c r="B1005" s="1" t="n">
        <v>46101.54533564814</v>
      </c>
      <c r="C1005" s="1" t="n">
        <v>46179</v>
      </c>
      <c r="D1005" t="inlineStr">
        <is>
          <t>GÄVLEBORGS LÄN</t>
        </is>
      </c>
      <c r="E1005" t="inlineStr">
        <is>
          <t>OVANÅKER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17965-2025</t>
        </is>
      </c>
      <c r="B1006" s="1" t="n">
        <v>45761.34359953704</v>
      </c>
      <c r="C1006" s="1" t="n">
        <v>46179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öst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14625-2026</t>
        </is>
      </c>
      <c r="B1007" s="1" t="n">
        <v>46101</v>
      </c>
      <c r="C1007" s="1" t="n">
        <v>46179</v>
      </c>
      <c r="D1007" t="inlineStr">
        <is>
          <t>GÄVLEBORGS LÄN</t>
        </is>
      </c>
      <c r="E1007" t="inlineStr">
        <is>
          <t>OVANÅKER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16431-2025</t>
        </is>
      </c>
      <c r="B1008" s="1" t="n">
        <v>45751.47953703703</v>
      </c>
      <c r="C1008" s="1" t="n">
        <v>46179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14695-2026</t>
        </is>
      </c>
      <c r="B1009" s="1" t="n">
        <v>46101</v>
      </c>
      <c r="C1009" s="1" t="n">
        <v>46179</v>
      </c>
      <c r="D1009" t="inlineStr">
        <is>
          <t>GÄVLEBORGS LÄN</t>
        </is>
      </c>
      <c r="E1009" t="inlineStr">
        <is>
          <t>OVANÅKER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14516-2026</t>
        </is>
      </c>
      <c r="B1010" s="1" t="n">
        <v>46100</v>
      </c>
      <c r="C1010" s="1" t="n">
        <v>46179</v>
      </c>
      <c r="D1010" t="inlineStr">
        <is>
          <t>GÄVLEBORGS LÄN</t>
        </is>
      </c>
      <c r="E1010" t="inlineStr">
        <is>
          <t>OVANÅKER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14747-2026</t>
        </is>
      </c>
      <c r="B1011" s="1" t="n">
        <v>46101.61239583333</v>
      </c>
      <c r="C1011" s="1" t="n">
        <v>46179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14543-2026</t>
        </is>
      </c>
      <c r="B1012" s="1" t="n">
        <v>46100</v>
      </c>
      <c r="C1012" s="1" t="n">
        <v>46179</v>
      </c>
      <c r="D1012" t="inlineStr">
        <is>
          <t>GÄVLEBORGS LÄN</t>
        </is>
      </c>
      <c r="E1012" t="inlineStr">
        <is>
          <t>OVANÅKER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14457-2026</t>
        </is>
      </c>
      <c r="B1013" s="1" t="n">
        <v>46100</v>
      </c>
      <c r="C1013" s="1" t="n">
        <v>46179</v>
      </c>
      <c r="D1013" t="inlineStr">
        <is>
          <t>GÄVLEBORGS LÄN</t>
        </is>
      </c>
      <c r="E1013" t="inlineStr">
        <is>
          <t>OVANÅKER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14478-2026</t>
        </is>
      </c>
      <c r="B1014" s="1" t="n">
        <v>46100.57792824074</v>
      </c>
      <c r="C1014" s="1" t="n">
        <v>46179</v>
      </c>
      <c r="D1014" t="inlineStr">
        <is>
          <t>GÄVLEBORGS LÄN</t>
        </is>
      </c>
      <c r="E1014" t="inlineStr">
        <is>
          <t>OVANÅKER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14396-2026</t>
        </is>
      </c>
      <c r="B1015" s="1" t="n">
        <v>46100</v>
      </c>
      <c r="C1015" s="1" t="n">
        <v>46179</v>
      </c>
      <c r="D1015" t="inlineStr">
        <is>
          <t>GÄVLEBORGS LÄN</t>
        </is>
      </c>
      <c r="E1015" t="inlineStr">
        <is>
          <t>OVANÅKER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61722-2025</t>
        </is>
      </c>
      <c r="B1016" s="1" t="n">
        <v>46002.57934027778</v>
      </c>
      <c r="C1016" s="1" t="n">
        <v>46179</v>
      </c>
      <c r="D1016" t="inlineStr">
        <is>
          <t>GÄVLEBORGS LÄN</t>
        </is>
      </c>
      <c r="E1016" t="inlineStr">
        <is>
          <t>OVANÅKER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14515-2026</t>
        </is>
      </c>
      <c r="B1017" s="1" t="n">
        <v>46100.63758101852</v>
      </c>
      <c r="C1017" s="1" t="n">
        <v>46179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62211-2025</t>
        </is>
      </c>
      <c r="B1018" s="1" t="n">
        <v>46006.57237268519</v>
      </c>
      <c r="C1018" s="1" t="n">
        <v>46179</v>
      </c>
      <c r="D1018" t="inlineStr">
        <is>
          <t>GÄVLEBORGS LÄN</t>
        </is>
      </c>
      <c r="E1018" t="inlineStr">
        <is>
          <t>OVANÅKER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13014-2023</t>
        </is>
      </c>
      <c r="B1019" s="1" t="n">
        <v>45002</v>
      </c>
      <c r="C1019" s="1" t="n">
        <v>46179</v>
      </c>
      <c r="D1019" t="inlineStr">
        <is>
          <t>GÄVLEBORGS LÄN</t>
        </is>
      </c>
      <c r="E1019" t="inlineStr">
        <is>
          <t>OVANÅKER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62152-2024</t>
        </is>
      </c>
      <c r="B1020" s="1" t="n">
        <v>45656</v>
      </c>
      <c r="C1020" s="1" t="n">
        <v>46179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44346-2023</t>
        </is>
      </c>
      <c r="B1021" s="1" t="n">
        <v>45188</v>
      </c>
      <c r="C1021" s="1" t="n">
        <v>46179</v>
      </c>
      <c r="D1021" t="inlineStr">
        <is>
          <t>GÄVLEBORGS LÄN</t>
        </is>
      </c>
      <c r="E1021" t="inlineStr">
        <is>
          <t>OVANÅKER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5059-2023</t>
        </is>
      </c>
      <c r="B1022" s="1" t="n">
        <v>44958</v>
      </c>
      <c r="C1022" s="1" t="n">
        <v>46179</v>
      </c>
      <c r="D1022" t="inlineStr">
        <is>
          <t>GÄVLEBORGS LÄN</t>
        </is>
      </c>
      <c r="E1022" t="inlineStr">
        <is>
          <t>OVANÅKER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62304-2025</t>
        </is>
      </c>
      <c r="B1023" s="1" t="n">
        <v>46006.66641203704</v>
      </c>
      <c r="C1023" s="1" t="n">
        <v>46179</v>
      </c>
      <c r="D1023" t="inlineStr">
        <is>
          <t>GÄVLEBORGS LÄN</t>
        </is>
      </c>
      <c r="E1023" t="inlineStr">
        <is>
          <t>OVANÅKER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62126-2025</t>
        </is>
      </c>
      <c r="B1024" s="1" t="n">
        <v>46006.44597222222</v>
      </c>
      <c r="C1024" s="1" t="n">
        <v>46179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62114-2025</t>
        </is>
      </c>
      <c r="B1025" s="1" t="n">
        <v>46006.43657407408</v>
      </c>
      <c r="C1025" s="1" t="n">
        <v>46179</v>
      </c>
      <c r="D1025" t="inlineStr">
        <is>
          <t>GÄVLEBORGS LÄN</t>
        </is>
      </c>
      <c r="E1025" t="inlineStr">
        <is>
          <t>OVANÅKER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14716-2026</t>
        </is>
      </c>
      <c r="B1026" s="1" t="n">
        <v>46101.55769675926</v>
      </c>
      <c r="C1026" s="1" t="n">
        <v>46179</v>
      </c>
      <c r="D1026" t="inlineStr">
        <is>
          <t>GÄVLEBORGS LÄN</t>
        </is>
      </c>
      <c r="E1026" t="inlineStr">
        <is>
          <t>OVANÅKER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14719-2026</t>
        </is>
      </c>
      <c r="B1027" s="1" t="n">
        <v>46101.56333333333</v>
      </c>
      <c r="C1027" s="1" t="n">
        <v>46179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62260-2025</t>
        </is>
      </c>
      <c r="B1028" s="1" t="n">
        <v>46006.61620370371</v>
      </c>
      <c r="C1028" s="1" t="n">
        <v>46179</v>
      </c>
      <c r="D1028" t="inlineStr">
        <is>
          <t>GÄVLEBORGS LÄN</t>
        </is>
      </c>
      <c r="E1028" t="inlineStr">
        <is>
          <t>OVANÅKER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13486-2024</t>
        </is>
      </c>
      <c r="B1029" s="1" t="n">
        <v>45387.61106481482</v>
      </c>
      <c r="C1029" s="1" t="n">
        <v>46179</v>
      </c>
      <c r="D1029" t="inlineStr">
        <is>
          <t>GÄVLEBORGS LÄN</t>
        </is>
      </c>
      <c r="E1029" t="inlineStr">
        <is>
          <t>OVANÅKER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57798-2021</t>
        </is>
      </c>
      <c r="B1030" s="1" t="n">
        <v>44484</v>
      </c>
      <c r="C1030" s="1" t="n">
        <v>46179</v>
      </c>
      <c r="D1030" t="inlineStr">
        <is>
          <t>GÄVLEBORGS LÄN</t>
        </is>
      </c>
      <c r="E1030" t="inlineStr">
        <is>
          <t>OVANÅKER</t>
        </is>
      </c>
      <c r="G1030" t="n">
        <v>13.4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6761-2024</t>
        </is>
      </c>
      <c r="B1031" s="1" t="n">
        <v>45342</v>
      </c>
      <c r="C1031" s="1" t="n">
        <v>46179</v>
      </c>
      <c r="D1031" t="inlineStr">
        <is>
          <t>GÄVLEBORGS LÄN</t>
        </is>
      </c>
      <c r="E1031" t="inlineStr">
        <is>
          <t>OVANÅKER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62289-2025</t>
        </is>
      </c>
      <c r="B1032" s="1" t="n">
        <v>46006.63715277778</v>
      </c>
      <c r="C1032" s="1" t="n">
        <v>46179</v>
      </c>
      <c r="D1032" t="inlineStr">
        <is>
          <t>GÄVLEBORGS LÄN</t>
        </is>
      </c>
      <c r="E1032" t="inlineStr">
        <is>
          <t>OVANÅKER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14480-2026</t>
        </is>
      </c>
      <c r="B1033" s="1" t="n">
        <v>46100.58362268518</v>
      </c>
      <c r="C1033" s="1" t="n">
        <v>46179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62675-2025</t>
        </is>
      </c>
      <c r="B1034" s="1" t="n">
        <v>46008.44947916667</v>
      </c>
      <c r="C1034" s="1" t="n">
        <v>46179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62667-2025</t>
        </is>
      </c>
      <c r="B1035" s="1" t="n">
        <v>46008.44090277778</v>
      </c>
      <c r="C1035" s="1" t="n">
        <v>46179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62351-2025</t>
        </is>
      </c>
      <c r="B1036" s="1" t="n">
        <v>46007.26988425926</v>
      </c>
      <c r="C1036" s="1" t="n">
        <v>46179</v>
      </c>
      <c r="D1036" t="inlineStr">
        <is>
          <t>GÄVLEBORGS LÄN</t>
        </is>
      </c>
      <c r="E1036" t="inlineStr">
        <is>
          <t>OVANÅKER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14887-2026</t>
        </is>
      </c>
      <c r="B1037" s="1" t="n">
        <v>46104</v>
      </c>
      <c r="C1037" s="1" t="n">
        <v>46179</v>
      </c>
      <c r="D1037" t="inlineStr">
        <is>
          <t>GÄVLEBORGS LÄN</t>
        </is>
      </c>
      <c r="E1037" t="inlineStr">
        <is>
          <t>OVANÅKER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14939-2026</t>
        </is>
      </c>
      <c r="B1038" s="1" t="n">
        <v>46104</v>
      </c>
      <c r="C1038" s="1" t="n">
        <v>46179</v>
      </c>
      <c r="D1038" t="inlineStr">
        <is>
          <t>GÄVLEBORGS LÄN</t>
        </is>
      </c>
      <c r="E1038" t="inlineStr">
        <is>
          <t>OVANÅKER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14949-2026</t>
        </is>
      </c>
      <c r="B1039" s="1" t="n">
        <v>46104</v>
      </c>
      <c r="C1039" s="1" t="n">
        <v>46179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42331-2024</t>
        </is>
      </c>
      <c r="B1040" s="1" t="n">
        <v>45562.65523148148</v>
      </c>
      <c r="C1040" s="1" t="n">
        <v>46179</v>
      </c>
      <c r="D1040" t="inlineStr">
        <is>
          <t>GÄVLEBORGS LÄN</t>
        </is>
      </c>
      <c r="E1040" t="inlineStr">
        <is>
          <t>OVANÅKER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14858-2026</t>
        </is>
      </c>
      <c r="B1041" s="1" t="n">
        <v>46104.42959490741</v>
      </c>
      <c r="C1041" s="1" t="n">
        <v>46179</v>
      </c>
      <c r="D1041" t="inlineStr">
        <is>
          <t>GÄVLEBORGS LÄN</t>
        </is>
      </c>
      <c r="E1041" t="inlineStr">
        <is>
          <t>OVANÅKER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15259-2026</t>
        </is>
      </c>
      <c r="B1042" s="1" t="n">
        <v>46105.59136574074</v>
      </c>
      <c r="C1042" s="1" t="n">
        <v>46179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15332-2026</t>
        </is>
      </c>
      <c r="B1043" s="1" t="n">
        <v>46105.66133101852</v>
      </c>
      <c r="C1043" s="1" t="n">
        <v>46179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öst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62352-2025</t>
        </is>
      </c>
      <c r="B1044" s="1" t="n">
        <v>46007.27331018518</v>
      </c>
      <c r="C1044" s="1" t="n">
        <v>46179</v>
      </c>
      <c r="D1044" t="inlineStr">
        <is>
          <t>GÄVLEBORGS LÄN</t>
        </is>
      </c>
      <c r="E1044" t="inlineStr">
        <is>
          <t>OVANÅKER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62394-2025</t>
        </is>
      </c>
      <c r="B1045" s="1" t="n">
        <v>46007.39395833333</v>
      </c>
      <c r="C1045" s="1" t="n">
        <v>46179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63094-2025</t>
        </is>
      </c>
      <c r="B1046" s="1" t="n">
        <v>46009.68134259259</v>
      </c>
      <c r="C1046" s="1" t="n">
        <v>46179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63010-2025</t>
        </is>
      </c>
      <c r="B1047" s="1" t="n">
        <v>46009.5809375</v>
      </c>
      <c r="C1047" s="1" t="n">
        <v>46179</v>
      </c>
      <c r="D1047" t="inlineStr">
        <is>
          <t>GÄVLEBORGS LÄN</t>
        </is>
      </c>
      <c r="E1047" t="inlineStr">
        <is>
          <t>OVANÅKER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26316-2025</t>
        </is>
      </c>
      <c r="B1048" s="1" t="n">
        <v>45805</v>
      </c>
      <c r="C1048" s="1" t="n">
        <v>46179</v>
      </c>
      <c r="D1048" t="inlineStr">
        <is>
          <t>GÄVLEBORGS LÄN</t>
        </is>
      </c>
      <c r="E1048" t="inlineStr">
        <is>
          <t>OVANÅKER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63310-2025</t>
        </is>
      </c>
      <c r="B1049" s="1" t="n">
        <v>46010.6206712963</v>
      </c>
      <c r="C1049" s="1" t="n">
        <v>46179</v>
      </c>
      <c r="D1049" t="inlineStr">
        <is>
          <t>GÄVLEBORGS LÄN</t>
        </is>
      </c>
      <c r="E1049" t="inlineStr">
        <is>
          <t>OVANÅKER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39373-2024</t>
        </is>
      </c>
      <c r="B1050" s="1" t="n">
        <v>45551.48148148148</v>
      </c>
      <c r="C1050" s="1" t="n">
        <v>46179</v>
      </c>
      <c r="D1050" t="inlineStr">
        <is>
          <t>GÄVLEBORGS LÄN</t>
        </is>
      </c>
      <c r="E1050" t="inlineStr">
        <is>
          <t>OVANÅKER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15290-2026</t>
        </is>
      </c>
      <c r="B1051" s="1" t="n">
        <v>46105.62344907408</v>
      </c>
      <c r="C1051" s="1" t="n">
        <v>46179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Bergvik skog öst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15211-2026</t>
        </is>
      </c>
      <c r="B1052" s="1" t="n">
        <v>46105</v>
      </c>
      <c r="C1052" s="1" t="n">
        <v>46179</v>
      </c>
      <c r="D1052" t="inlineStr">
        <is>
          <t>GÄVLEBORGS LÄN</t>
        </is>
      </c>
      <c r="E1052" t="inlineStr">
        <is>
          <t>OVANÅKER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55281-2023</t>
        </is>
      </c>
      <c r="B1053" s="1" t="n">
        <v>45237.71347222223</v>
      </c>
      <c r="C1053" s="1" t="n">
        <v>46179</v>
      </c>
      <c r="D1053" t="inlineStr">
        <is>
          <t>GÄVLEBORGS LÄN</t>
        </is>
      </c>
      <c r="E1053" t="inlineStr">
        <is>
          <t>OVANÅKER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44905-2024</t>
        </is>
      </c>
      <c r="B1054" s="1" t="n">
        <v>45575.38402777778</v>
      </c>
      <c r="C1054" s="1" t="n">
        <v>46179</v>
      </c>
      <c r="D1054" t="inlineStr">
        <is>
          <t>GÄVLEBORGS LÄN</t>
        </is>
      </c>
      <c r="E1054" t="inlineStr">
        <is>
          <t>OVANÅKER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31404-2023</t>
        </is>
      </c>
      <c r="B1055" s="1" t="n">
        <v>45114.58046296296</v>
      </c>
      <c r="C1055" s="1" t="n">
        <v>46179</v>
      </c>
      <c r="D1055" t="inlineStr">
        <is>
          <t>GÄVLEBORGS LÄN</t>
        </is>
      </c>
      <c r="E1055" t="inlineStr">
        <is>
          <t>OVANÅKER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50752-2023</t>
        </is>
      </c>
      <c r="B1056" s="1" t="n">
        <v>45217.6034375</v>
      </c>
      <c r="C1056" s="1" t="n">
        <v>46179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HYPERLINK("https://klasma.github.io/Logging_2121/knärot/A 50752-2023 karta knärot.png", "A 50752-2023")</f>
        <v/>
      </c>
      <c r="V1056">
        <f>HYPERLINK("https://klasma.github.io/Logging_2121/klagomål/A 50752-2023 FSC-klagomål.docx", "A 50752-2023")</f>
        <v/>
      </c>
      <c r="W1056">
        <f>HYPERLINK("https://klasma.github.io/Logging_2121/klagomålsmail/A 50752-2023 FSC-klagomål mail.docx", "A 50752-2023")</f>
        <v/>
      </c>
      <c r="X1056">
        <f>HYPERLINK("https://klasma.github.io/Logging_2121/tillsyn/A 50752-2023 tillsynsbegäran.docx", "A 50752-2023")</f>
        <v/>
      </c>
      <c r="Y1056">
        <f>HYPERLINK("https://klasma.github.io/Logging_2121/tillsynsmail/A 50752-2023 tillsynsbegäran mail.docx", "A 50752-2023")</f>
        <v/>
      </c>
    </row>
    <row r="1057" ht="15" customHeight="1">
      <c r="A1057" t="inlineStr">
        <is>
          <t>A 63279-2025</t>
        </is>
      </c>
      <c r="B1057" s="1" t="n">
        <v>46010.58444444444</v>
      </c>
      <c r="C1057" s="1" t="n">
        <v>46179</v>
      </c>
      <c r="D1057" t="inlineStr">
        <is>
          <t>GÄVLEBORGS LÄN</t>
        </is>
      </c>
      <c r="E1057" t="inlineStr">
        <is>
          <t>OVANÅKER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19818-2025</t>
        </is>
      </c>
      <c r="B1058" s="1" t="n">
        <v>45771.4608912037</v>
      </c>
      <c r="C1058" s="1" t="n">
        <v>46179</v>
      </c>
      <c r="D1058" t="inlineStr">
        <is>
          <t>GÄVLEBORGS LÄN</t>
        </is>
      </c>
      <c r="E1058" t="inlineStr">
        <is>
          <t>OVANÅKER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14798-2026</t>
        </is>
      </c>
      <c r="B1059" s="1" t="n">
        <v>46102</v>
      </c>
      <c r="C1059" s="1" t="n">
        <v>46179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26324-2025</t>
        </is>
      </c>
      <c r="B1060" s="1" t="n">
        <v>45805</v>
      </c>
      <c r="C1060" s="1" t="n">
        <v>46179</v>
      </c>
      <c r="D1060" t="inlineStr">
        <is>
          <t>GÄVLEBORGS LÄN</t>
        </is>
      </c>
      <c r="E1060" t="inlineStr">
        <is>
          <t>OVANÅKER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21266-2026</t>
        </is>
      </c>
      <c r="B1061" s="1" t="n">
        <v>46147.41616898148</v>
      </c>
      <c r="C1061" s="1" t="n">
        <v>46179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14889-2026</t>
        </is>
      </c>
      <c r="B1062" s="1" t="n">
        <v>46104</v>
      </c>
      <c r="C1062" s="1" t="n">
        <v>46179</v>
      </c>
      <c r="D1062" t="inlineStr">
        <is>
          <t>GÄVLEBORGS LÄN</t>
        </is>
      </c>
      <c r="E1062" t="inlineStr">
        <is>
          <t>OVANÅKER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63015-2025</t>
        </is>
      </c>
      <c r="B1063" s="1" t="n">
        <v>46009.58454861111</v>
      </c>
      <c r="C1063" s="1" t="n">
        <v>46179</v>
      </c>
      <c r="D1063" t="inlineStr">
        <is>
          <t>GÄVLEBORGS LÄN</t>
        </is>
      </c>
      <c r="E1063" t="inlineStr">
        <is>
          <t>OVANÅKER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14911-2026</t>
        </is>
      </c>
      <c r="B1064" s="1" t="n">
        <v>46104</v>
      </c>
      <c r="C1064" s="1" t="n">
        <v>46179</v>
      </c>
      <c r="D1064" t="inlineStr">
        <is>
          <t>GÄVLEBORGS LÄN</t>
        </is>
      </c>
      <c r="E1064" t="inlineStr">
        <is>
          <t>OVANÅKER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26581-2025</t>
        </is>
      </c>
      <c r="B1065" s="1" t="n">
        <v>45807</v>
      </c>
      <c r="C1065" s="1" t="n">
        <v>46179</v>
      </c>
      <c r="D1065" t="inlineStr">
        <is>
          <t>GÄVLEBORGS LÄN</t>
        </is>
      </c>
      <c r="E1065" t="inlineStr">
        <is>
          <t>OVANÅKER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15073-2026</t>
        </is>
      </c>
      <c r="B1066" s="1" t="n">
        <v>46104</v>
      </c>
      <c r="C1066" s="1" t="n">
        <v>46179</v>
      </c>
      <c r="D1066" t="inlineStr">
        <is>
          <t>GÄVLEBORGS LÄN</t>
        </is>
      </c>
      <c r="E1066" t="inlineStr">
        <is>
          <t>OVANÅKER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26582-2025</t>
        </is>
      </c>
      <c r="B1067" s="1" t="n">
        <v>45807</v>
      </c>
      <c r="C1067" s="1" t="n">
        <v>46179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26304-2025</t>
        </is>
      </c>
      <c r="B1068" s="1" t="n">
        <v>45805</v>
      </c>
      <c r="C1068" s="1" t="n">
        <v>46179</v>
      </c>
      <c r="D1068" t="inlineStr">
        <is>
          <t>GÄVLEBORGS LÄN</t>
        </is>
      </c>
      <c r="E1068" t="inlineStr">
        <is>
          <t>OVANÅKER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26583-2025</t>
        </is>
      </c>
      <c r="B1069" s="1" t="n">
        <v>45807</v>
      </c>
      <c r="C1069" s="1" t="n">
        <v>46179</v>
      </c>
      <c r="D1069" t="inlineStr">
        <is>
          <t>GÄVLEBORGS LÄN</t>
        </is>
      </c>
      <c r="E1069" t="inlineStr">
        <is>
          <t>OVANÅKER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6184-2026</t>
        </is>
      </c>
      <c r="B1070" s="1" t="n">
        <v>46055</v>
      </c>
      <c r="C1070" s="1" t="n">
        <v>46179</v>
      </c>
      <c r="D1070" t="inlineStr">
        <is>
          <t>GÄVLEBORGS LÄN</t>
        </is>
      </c>
      <c r="E1070" t="inlineStr">
        <is>
          <t>OVANÅKER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62893-2025</t>
        </is>
      </c>
      <c r="B1071" s="1" t="n">
        <v>46009.33741898148</v>
      </c>
      <c r="C1071" s="1" t="n">
        <v>46179</v>
      </c>
      <c r="D1071" t="inlineStr">
        <is>
          <t>GÄVLEBORGS LÄN</t>
        </is>
      </c>
      <c r="E1071" t="inlineStr">
        <is>
          <t>OVANÅKER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14836-2026</t>
        </is>
      </c>
      <c r="B1072" s="1" t="n">
        <v>46104.37592592592</v>
      </c>
      <c r="C1072" s="1" t="n">
        <v>46179</v>
      </c>
      <c r="D1072" t="inlineStr">
        <is>
          <t>GÄVLEBORGS LÄN</t>
        </is>
      </c>
      <c r="E1072" t="inlineStr">
        <is>
          <t>OVANÅKER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21048-2026</t>
        </is>
      </c>
      <c r="B1073" s="1" t="n">
        <v>46146</v>
      </c>
      <c r="C1073" s="1" t="n">
        <v>46179</v>
      </c>
      <c r="D1073" t="inlineStr">
        <is>
          <t>GÄVLEBORGS LÄN</t>
        </is>
      </c>
      <c r="E1073" t="inlineStr">
        <is>
          <t>OVANÅKER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58467-2022</t>
        </is>
      </c>
      <c r="B1074" s="1" t="n">
        <v>44902</v>
      </c>
      <c r="C1074" s="1" t="n">
        <v>46179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14926-2026</t>
        </is>
      </c>
      <c r="B1075" s="1" t="n">
        <v>46104.48134259259</v>
      </c>
      <c r="C1075" s="1" t="n">
        <v>46179</v>
      </c>
      <c r="D1075" t="inlineStr">
        <is>
          <t>GÄVLEBORGS LÄN</t>
        </is>
      </c>
      <c r="E1075" t="inlineStr">
        <is>
          <t>OVANÅKER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14931-2026</t>
        </is>
      </c>
      <c r="B1076" s="1" t="n">
        <v>46104.48704861111</v>
      </c>
      <c r="C1076" s="1" t="n">
        <v>46179</v>
      </c>
      <c r="D1076" t="inlineStr">
        <is>
          <t>GÄVLEBORGS LÄN</t>
        </is>
      </c>
      <c r="E1076" t="inlineStr">
        <is>
          <t>OVANÅKER</t>
        </is>
      </c>
      <c r="G1076" t="n">
        <v>12.2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21245-2026</t>
        </is>
      </c>
      <c r="B1077" s="1" t="n">
        <v>46147.36579861111</v>
      </c>
      <c r="C1077" s="1" t="n">
        <v>46179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öst AB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36452-2023</t>
        </is>
      </c>
      <c r="B1078" s="1" t="n">
        <v>45152</v>
      </c>
      <c r="C1078" s="1" t="n">
        <v>46179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14962-2026</t>
        </is>
      </c>
      <c r="B1079" s="1" t="n">
        <v>46104</v>
      </c>
      <c r="C1079" s="1" t="n">
        <v>46179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15099-2026</t>
        </is>
      </c>
      <c r="B1080" s="1" t="n">
        <v>46105</v>
      </c>
      <c r="C1080" s="1" t="n">
        <v>46179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6188-2024</t>
        </is>
      </c>
      <c r="B1081" s="1" t="n">
        <v>45337</v>
      </c>
      <c r="C1081" s="1" t="n">
        <v>46179</v>
      </c>
      <c r="D1081" t="inlineStr">
        <is>
          <t>GÄVLEBORGS LÄN</t>
        </is>
      </c>
      <c r="E1081" t="inlineStr">
        <is>
          <t>OVANÅKER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1405-2024</t>
        </is>
      </c>
      <c r="B1082" s="1" t="n">
        <v>45303</v>
      </c>
      <c r="C1082" s="1" t="n">
        <v>46179</v>
      </c>
      <c r="D1082" t="inlineStr">
        <is>
          <t>GÄVLEBORGS LÄN</t>
        </is>
      </c>
      <c r="E1082" t="inlineStr">
        <is>
          <t>OVANÅKER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63690-2025</t>
        </is>
      </c>
      <c r="B1083" s="1" t="n">
        <v>46014.54175925926</v>
      </c>
      <c r="C1083" s="1" t="n">
        <v>46179</v>
      </c>
      <c r="D1083" t="inlineStr">
        <is>
          <t>GÄVLEBORGS LÄN</t>
        </is>
      </c>
      <c r="E1083" t="inlineStr">
        <is>
          <t>OVANÅKER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62126-2023</t>
        </is>
      </c>
      <c r="B1084" s="1" t="n">
        <v>45267</v>
      </c>
      <c r="C1084" s="1" t="n">
        <v>46179</v>
      </c>
      <c r="D1084" t="inlineStr">
        <is>
          <t>GÄVLEBORGS LÄN</t>
        </is>
      </c>
      <c r="E1084" t="inlineStr">
        <is>
          <t>OVANÅKER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63688-2025</t>
        </is>
      </c>
      <c r="B1085" s="1" t="n">
        <v>46014.53758101852</v>
      </c>
      <c r="C1085" s="1" t="n">
        <v>46179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63691-2025</t>
        </is>
      </c>
      <c r="B1086" s="1" t="n">
        <v>46014.54289351852</v>
      </c>
      <c r="C1086" s="1" t="n">
        <v>46179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21136-2026</t>
        </is>
      </c>
      <c r="B1087" s="1" t="n">
        <v>46146.55434027778</v>
      </c>
      <c r="C1087" s="1" t="n">
        <v>46179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6199-2026</t>
        </is>
      </c>
      <c r="B1088" s="1" t="n">
        <v>46055</v>
      </c>
      <c r="C1088" s="1" t="n">
        <v>46179</v>
      </c>
      <c r="D1088" t="inlineStr">
        <is>
          <t>GÄVLEBORGS LÄN</t>
        </is>
      </c>
      <c r="E1088" t="inlineStr">
        <is>
          <t>OVANÅKER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15725-2026</t>
        </is>
      </c>
      <c r="B1089" s="1" t="n">
        <v>46107</v>
      </c>
      <c r="C1089" s="1" t="n">
        <v>46179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öst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15777-2026</t>
        </is>
      </c>
      <c r="B1090" s="1" t="n">
        <v>46107.45586805556</v>
      </c>
      <c r="C1090" s="1" t="n">
        <v>46179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15797-2026</t>
        </is>
      </c>
      <c r="B1091" s="1" t="n">
        <v>46107</v>
      </c>
      <c r="C1091" s="1" t="n">
        <v>46179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19.4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15824-2026</t>
        </is>
      </c>
      <c r="B1092" s="1" t="n">
        <v>46107.54118055556</v>
      </c>
      <c r="C1092" s="1" t="n">
        <v>46179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15825-2026</t>
        </is>
      </c>
      <c r="B1093" s="1" t="n">
        <v>46107</v>
      </c>
      <c r="C1093" s="1" t="n">
        <v>46179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15862-2026</t>
        </is>
      </c>
      <c r="B1094" s="1" t="n">
        <v>46107</v>
      </c>
      <c r="C1094" s="1" t="n">
        <v>46179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15916-2026</t>
        </is>
      </c>
      <c r="B1095" s="1" t="n">
        <v>46107</v>
      </c>
      <c r="C1095" s="1" t="n">
        <v>46179</v>
      </c>
      <c r="D1095" t="inlineStr">
        <is>
          <t>GÄVLEBORGS LÄN</t>
        </is>
      </c>
      <c r="E1095" t="inlineStr">
        <is>
          <t>OVANÅKER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15926-2026</t>
        </is>
      </c>
      <c r="B1096" s="1" t="n">
        <v>46107</v>
      </c>
      <c r="C1096" s="1" t="n">
        <v>46179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öst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15726-2026</t>
        </is>
      </c>
      <c r="B1097" s="1" t="n">
        <v>46107</v>
      </c>
      <c r="C1097" s="1" t="n">
        <v>46179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15840-2026</t>
        </is>
      </c>
      <c r="B1098" s="1" t="n">
        <v>46107</v>
      </c>
      <c r="C1098" s="1" t="n">
        <v>46179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15705-2026</t>
        </is>
      </c>
      <c r="B1099" s="1" t="n">
        <v>46107</v>
      </c>
      <c r="C1099" s="1" t="n">
        <v>46179</v>
      </c>
      <c r="D1099" t="inlineStr">
        <is>
          <t>GÄVLEBORGS LÄN</t>
        </is>
      </c>
      <c r="E1099" t="inlineStr">
        <is>
          <t>OVANÅKER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15720-2026</t>
        </is>
      </c>
      <c r="B1100" s="1" t="n">
        <v>46107.36989583333</v>
      </c>
      <c r="C1100" s="1" t="n">
        <v>46179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15761-2026</t>
        </is>
      </c>
      <c r="B1101" s="1" t="n">
        <v>46107.43625</v>
      </c>
      <c r="C1101" s="1" t="n">
        <v>46179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15580-2026</t>
        </is>
      </c>
      <c r="B1102" s="1" t="n">
        <v>46106</v>
      </c>
      <c r="C1102" s="1" t="n">
        <v>46179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15870-2026</t>
        </is>
      </c>
      <c r="B1103" s="1" t="n">
        <v>46107</v>
      </c>
      <c r="C1103" s="1" t="n">
        <v>46179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63923-2025</t>
        </is>
      </c>
      <c r="B1104" s="1" t="n">
        <v>46020</v>
      </c>
      <c r="C1104" s="1" t="n">
        <v>46179</v>
      </c>
      <c r="D1104" t="inlineStr">
        <is>
          <t>GÄVLEBORGS LÄN</t>
        </is>
      </c>
      <c r="E1104" t="inlineStr">
        <is>
          <t>OVANÅKER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63929-2025</t>
        </is>
      </c>
      <c r="B1105" s="1" t="n">
        <v>46020</v>
      </c>
      <c r="C1105" s="1" t="n">
        <v>46179</v>
      </c>
      <c r="D1105" t="inlineStr">
        <is>
          <t>GÄVLEBORGS LÄN</t>
        </is>
      </c>
      <c r="E1105" t="inlineStr">
        <is>
          <t>OVANÅKER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6114-2026</t>
        </is>
      </c>
      <c r="B1106" s="1" t="n">
        <v>46053</v>
      </c>
      <c r="C1106" s="1" t="n">
        <v>46179</v>
      </c>
      <c r="D1106" t="inlineStr">
        <is>
          <t>GÄVLEBORGS LÄN</t>
        </is>
      </c>
      <c r="E1106" t="inlineStr">
        <is>
          <t>OVANÅKER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6177-2026</t>
        </is>
      </c>
      <c r="B1107" s="1" t="n">
        <v>46055</v>
      </c>
      <c r="C1107" s="1" t="n">
        <v>46179</v>
      </c>
      <c r="D1107" t="inlineStr">
        <is>
          <t>GÄVLEBORGS LÄN</t>
        </is>
      </c>
      <c r="E1107" t="inlineStr">
        <is>
          <t>OVANÅKER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15562-2026</t>
        </is>
      </c>
      <c r="B1108" s="1" t="n">
        <v>46106.55054398148</v>
      </c>
      <c r="C1108" s="1" t="n">
        <v>46179</v>
      </c>
      <c r="D1108" t="inlineStr">
        <is>
          <t>GÄVLEBORGS LÄN</t>
        </is>
      </c>
      <c r="E1108" t="inlineStr">
        <is>
          <t>OVANÅKER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15559-2026</t>
        </is>
      </c>
      <c r="B1109" s="1" t="n">
        <v>46106.54616898148</v>
      </c>
      <c r="C1109" s="1" t="n">
        <v>46179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15569-2026</t>
        </is>
      </c>
      <c r="B1110" s="1" t="n">
        <v>46106</v>
      </c>
      <c r="C1110" s="1" t="n">
        <v>46179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15510-2026</t>
        </is>
      </c>
      <c r="B1111" s="1" t="n">
        <v>46106.4678587963</v>
      </c>
      <c r="C1111" s="1" t="n">
        <v>46179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15606-2026</t>
        </is>
      </c>
      <c r="B1112" s="1" t="n">
        <v>46106.59565972222</v>
      </c>
      <c r="C1112" s="1" t="n">
        <v>46179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63920-2025</t>
        </is>
      </c>
      <c r="B1113" s="1" t="n">
        <v>46020</v>
      </c>
      <c r="C1113" s="1" t="n">
        <v>46179</v>
      </c>
      <c r="D1113" t="inlineStr">
        <is>
          <t>GÄVLEBORGS LÄN</t>
        </is>
      </c>
      <c r="E1113" t="inlineStr">
        <is>
          <t>OVANÅKER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15879-2026</t>
        </is>
      </c>
      <c r="B1114" s="1" t="n">
        <v>46107</v>
      </c>
      <c r="C1114" s="1" t="n">
        <v>46179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15899-2026</t>
        </is>
      </c>
      <c r="B1115" s="1" t="n">
        <v>46107</v>
      </c>
      <c r="C1115" s="1" t="n">
        <v>46179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15423-2026</t>
        </is>
      </c>
      <c r="B1116" s="1" t="n">
        <v>46106</v>
      </c>
      <c r="C1116" s="1" t="n">
        <v>46179</v>
      </c>
      <c r="D1116" t="inlineStr">
        <is>
          <t>GÄVLEBORGS LÄN</t>
        </is>
      </c>
      <c r="E1116" t="inlineStr">
        <is>
          <t>OVANÅKER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15534-2026</t>
        </is>
      </c>
      <c r="B1117" s="1" t="n">
        <v>46106.49803240741</v>
      </c>
      <c r="C1117" s="1" t="n">
        <v>46179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15721-2026</t>
        </is>
      </c>
      <c r="B1118" s="1" t="n">
        <v>46107.37289351852</v>
      </c>
      <c r="C1118" s="1" t="n">
        <v>46179</v>
      </c>
      <c r="D1118" t="inlineStr">
        <is>
          <t>GÄVLEBORGS LÄN</t>
        </is>
      </c>
      <c r="E1118" t="inlineStr">
        <is>
          <t>OVANÅKER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15896-2026</t>
        </is>
      </c>
      <c r="B1119" s="1" t="n">
        <v>46107</v>
      </c>
      <c r="C1119" s="1" t="n">
        <v>46179</v>
      </c>
      <c r="D1119" t="inlineStr">
        <is>
          <t>GÄVLEBORGS LÄN</t>
        </is>
      </c>
      <c r="E1119" t="inlineStr">
        <is>
          <t>OVANÅKER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15897-2026</t>
        </is>
      </c>
      <c r="B1120" s="1" t="n">
        <v>46107</v>
      </c>
      <c r="C1120" s="1" t="n">
        <v>46179</v>
      </c>
      <c r="D1120" t="inlineStr">
        <is>
          <t>GÄVLEBORGS LÄN</t>
        </is>
      </c>
      <c r="E1120" t="inlineStr">
        <is>
          <t>OVANÅKER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15898-2026</t>
        </is>
      </c>
      <c r="B1121" s="1" t="n">
        <v>46107.63195601852</v>
      </c>
      <c r="C1121" s="1" t="n">
        <v>46179</v>
      </c>
      <c r="D1121" t="inlineStr">
        <is>
          <t>GÄVLEBORGS LÄN</t>
        </is>
      </c>
      <c r="E1121" t="inlineStr">
        <is>
          <t>OVANÅKER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64075-2025</t>
        </is>
      </c>
      <c r="B1122" s="1" t="n">
        <v>46021</v>
      </c>
      <c r="C1122" s="1" t="n">
        <v>46179</v>
      </c>
      <c r="D1122" t="inlineStr">
        <is>
          <t>GÄVLEBORGS LÄN</t>
        </is>
      </c>
      <c r="E1122" t="inlineStr">
        <is>
          <t>OVANÅKER</t>
        </is>
      </c>
      <c r="G1122" t="n">
        <v>10.2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15915-2026</t>
        </is>
      </c>
      <c r="B1123" s="1" t="n">
        <v>46107</v>
      </c>
      <c r="C1123" s="1" t="n">
        <v>46179</v>
      </c>
      <c r="D1123" t="inlineStr">
        <is>
          <t>GÄVLEBORGS LÄN</t>
        </is>
      </c>
      <c r="E1123" t="inlineStr">
        <is>
          <t>OVANÅKER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15941-2026</t>
        </is>
      </c>
      <c r="B1124" s="1" t="n">
        <v>46107.69322916667</v>
      </c>
      <c r="C1124" s="1" t="n">
        <v>46179</v>
      </c>
      <c r="D1124" t="inlineStr">
        <is>
          <t>GÄVLEBORGS LÄN</t>
        </is>
      </c>
      <c r="E1124" t="inlineStr">
        <is>
          <t>OVANÅKER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20959-2026</t>
        </is>
      </c>
      <c r="B1125" s="1" t="n">
        <v>46142</v>
      </c>
      <c r="C1125" s="1" t="n">
        <v>46179</v>
      </c>
      <c r="D1125" t="inlineStr">
        <is>
          <t>GÄVLEBORGS LÄN</t>
        </is>
      </c>
      <c r="E1125" t="inlineStr">
        <is>
          <t>OVANÅKER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63973-2025</t>
        </is>
      </c>
      <c r="B1126" s="1" t="n">
        <v>46021</v>
      </c>
      <c r="C1126" s="1" t="n">
        <v>46179</v>
      </c>
      <c r="D1126" t="inlineStr">
        <is>
          <t>GÄVLEBORGS LÄN</t>
        </is>
      </c>
      <c r="E1126" t="inlineStr">
        <is>
          <t>OVANÅKER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63975-2025</t>
        </is>
      </c>
      <c r="B1127" s="1" t="n">
        <v>46021</v>
      </c>
      <c r="C1127" s="1" t="n">
        <v>46179</v>
      </c>
      <c r="D1127" t="inlineStr">
        <is>
          <t>GÄVLEBORGS LÄN</t>
        </is>
      </c>
      <c r="E1127" t="inlineStr">
        <is>
          <t>OVANÅKER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64059-2025</t>
        </is>
      </c>
      <c r="B1128" s="1" t="n">
        <v>46021</v>
      </c>
      <c r="C1128" s="1" t="n">
        <v>46179</v>
      </c>
      <c r="D1128" t="inlineStr">
        <is>
          <t>GÄVLEBORGS LÄN</t>
        </is>
      </c>
      <c r="E1128" t="inlineStr">
        <is>
          <t>OVANÅKER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15376-2026</t>
        </is>
      </c>
      <c r="B1129" s="1" t="n">
        <v>46106</v>
      </c>
      <c r="C1129" s="1" t="n">
        <v>46179</v>
      </c>
      <c r="D1129" t="inlineStr">
        <is>
          <t>GÄVLEBORGS LÄN</t>
        </is>
      </c>
      <c r="E1129" t="inlineStr">
        <is>
          <t>OVANÅKER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6115-2026</t>
        </is>
      </c>
      <c r="B1130" s="1" t="n">
        <v>46053</v>
      </c>
      <c r="C1130" s="1" t="n">
        <v>46179</v>
      </c>
      <c r="D1130" t="inlineStr">
        <is>
          <t>GÄVLEBORGS LÄN</t>
        </is>
      </c>
      <c r="E1130" t="inlineStr">
        <is>
          <t>OVANÅKER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15373-2026</t>
        </is>
      </c>
      <c r="B1131" s="1" t="n">
        <v>46106</v>
      </c>
      <c r="C1131" s="1" t="n">
        <v>46179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64098-2025</t>
        </is>
      </c>
      <c r="B1132" s="1" t="n">
        <v>46021</v>
      </c>
      <c r="C1132" s="1" t="n">
        <v>46179</v>
      </c>
      <c r="D1132" t="inlineStr">
        <is>
          <t>GÄVLEBORGS LÄN</t>
        </is>
      </c>
      <c r="E1132" t="inlineStr">
        <is>
          <t>OVANÅKER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15582-2026</t>
        </is>
      </c>
      <c r="B1133" s="1" t="n">
        <v>46106.56269675926</v>
      </c>
      <c r="C1133" s="1" t="n">
        <v>46179</v>
      </c>
      <c r="D1133" t="inlineStr">
        <is>
          <t>GÄVLEBORGS LÄN</t>
        </is>
      </c>
      <c r="E1133" t="inlineStr">
        <is>
          <t>OVANÅKER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21050-2026</t>
        </is>
      </c>
      <c r="B1134" s="1" t="n">
        <v>46146</v>
      </c>
      <c r="C1134" s="1" t="n">
        <v>46179</v>
      </c>
      <c r="D1134" t="inlineStr">
        <is>
          <t>GÄVLEBORGS LÄN</t>
        </is>
      </c>
      <c r="E1134" t="inlineStr">
        <is>
          <t>OVANÅKER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15453-2026</t>
        </is>
      </c>
      <c r="B1135" s="1" t="n">
        <v>46106.41877314815</v>
      </c>
      <c r="C1135" s="1" t="n">
        <v>46179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öst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96-2026</t>
        </is>
      </c>
      <c r="B1136" s="1" t="n">
        <v>46024.49420138889</v>
      </c>
      <c r="C1136" s="1" t="n">
        <v>46179</v>
      </c>
      <c r="D1136" t="inlineStr">
        <is>
          <t>GÄVLEBORGS LÄN</t>
        </is>
      </c>
      <c r="E1136" t="inlineStr">
        <is>
          <t>OVANÅKER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103-2026</t>
        </is>
      </c>
      <c r="B1137" s="1" t="n">
        <v>46024.51869212963</v>
      </c>
      <c r="C1137" s="1" t="n">
        <v>46179</v>
      </c>
      <c r="D1137" t="inlineStr">
        <is>
          <t>GÄVLEBORGS LÄN</t>
        </is>
      </c>
      <c r="E1137" t="inlineStr">
        <is>
          <t>OVANÅKER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106-2026</t>
        </is>
      </c>
      <c r="B1138" s="1" t="n">
        <v>46024</v>
      </c>
      <c r="C1138" s="1" t="n">
        <v>46179</v>
      </c>
      <c r="D1138" t="inlineStr">
        <is>
          <t>GÄVLEBORGS LÄN</t>
        </is>
      </c>
      <c r="E1138" t="inlineStr">
        <is>
          <t>OVANÅKER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15442-2026</t>
        </is>
      </c>
      <c r="B1139" s="1" t="n">
        <v>46106</v>
      </c>
      <c r="C1139" s="1" t="n">
        <v>46179</v>
      </c>
      <c r="D1139" t="inlineStr">
        <is>
          <t>GÄVLEBORGS LÄN</t>
        </is>
      </c>
      <c r="E1139" t="inlineStr">
        <is>
          <t>OVANÅKER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15614-2026</t>
        </is>
      </c>
      <c r="B1140" s="1" t="n">
        <v>46106.6021875</v>
      </c>
      <c r="C1140" s="1" t="n">
        <v>46179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16075-2026</t>
        </is>
      </c>
      <c r="B1141" s="1" t="n">
        <v>46108</v>
      </c>
      <c r="C1141" s="1" t="n">
        <v>46179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18.2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24134-2024</t>
        </is>
      </c>
      <c r="B1142" s="1" t="n">
        <v>45456.63509259259</v>
      </c>
      <c r="C1142" s="1" t="n">
        <v>46179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24137-2024</t>
        </is>
      </c>
      <c r="B1143" s="1" t="n">
        <v>45456.63956018518</v>
      </c>
      <c r="C1143" s="1" t="n">
        <v>46179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19172-2024</t>
        </is>
      </c>
      <c r="B1144" s="1" t="n">
        <v>45428.46696759259</v>
      </c>
      <c r="C1144" s="1" t="n">
        <v>46179</v>
      </c>
      <c r="D1144" t="inlineStr">
        <is>
          <t>GÄVLEBORGS LÄN</t>
        </is>
      </c>
      <c r="E1144" t="inlineStr">
        <is>
          <t>OVANÅKER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7785-2022</t>
        </is>
      </c>
      <c r="B1145" s="1" t="n">
        <v>44608.47659722222</v>
      </c>
      <c r="C1145" s="1" t="n">
        <v>46179</v>
      </c>
      <c r="D1145" t="inlineStr">
        <is>
          <t>GÄVLEBORGS LÄN</t>
        </is>
      </c>
      <c r="E1145" t="inlineStr">
        <is>
          <t>OVANÅKER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12071-2026</t>
        </is>
      </c>
      <c r="B1146" s="1" t="n">
        <v>46086</v>
      </c>
      <c r="C1146" s="1" t="n">
        <v>46179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11301-2025</t>
        </is>
      </c>
      <c r="B1147" s="1" t="n">
        <v>45726.44162037037</v>
      </c>
      <c r="C1147" s="1" t="n">
        <v>46179</v>
      </c>
      <c r="D1147" t="inlineStr">
        <is>
          <t>GÄVLEBORGS LÄN</t>
        </is>
      </c>
      <c r="E1147" t="inlineStr">
        <is>
          <t>OVANÅKER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41451-2023</t>
        </is>
      </c>
      <c r="B1148" s="1" t="n">
        <v>45175.38716435185</v>
      </c>
      <c r="C1148" s="1" t="n">
        <v>46179</v>
      </c>
      <c r="D1148" t="inlineStr">
        <is>
          <t>GÄVLEBORGS LÄN</t>
        </is>
      </c>
      <c r="E1148" t="inlineStr">
        <is>
          <t>OVANÅKER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48755-2024</t>
        </is>
      </c>
      <c r="B1149" s="1" t="n">
        <v>45593.59631944444</v>
      </c>
      <c r="C1149" s="1" t="n">
        <v>46179</v>
      </c>
      <c r="D1149" t="inlineStr">
        <is>
          <t>GÄVLEBORGS LÄN</t>
        </is>
      </c>
      <c r="E1149" t="inlineStr">
        <is>
          <t>OVANÅKER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15982-2026</t>
        </is>
      </c>
      <c r="B1150" s="1" t="n">
        <v>46108</v>
      </c>
      <c r="C1150" s="1" t="n">
        <v>46179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56087-2024</t>
        </is>
      </c>
      <c r="B1151" s="1" t="n">
        <v>45624</v>
      </c>
      <c r="C1151" s="1" t="n">
        <v>46179</v>
      </c>
      <c r="D1151" t="inlineStr">
        <is>
          <t>GÄVLEBORGS LÄN</t>
        </is>
      </c>
      <c r="E1151" t="inlineStr">
        <is>
          <t>OVANÅKER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33231-2023</t>
        </is>
      </c>
      <c r="B1152" s="1" t="n">
        <v>45127.48289351852</v>
      </c>
      <c r="C1152" s="1" t="n">
        <v>46179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14240-2023</t>
        </is>
      </c>
      <c r="B1153" s="1" t="n">
        <v>45009.6615625</v>
      </c>
      <c r="C1153" s="1" t="n">
        <v>46179</v>
      </c>
      <c r="D1153" t="inlineStr">
        <is>
          <t>GÄVLEBORGS LÄN</t>
        </is>
      </c>
      <c r="E1153" t="inlineStr">
        <is>
          <t>OVANÅKER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16063-2026</t>
        </is>
      </c>
      <c r="B1154" s="1" t="n">
        <v>46108.51244212963</v>
      </c>
      <c r="C1154" s="1" t="n">
        <v>46179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16065-2026</t>
        </is>
      </c>
      <c r="B1155" s="1" t="n">
        <v>46108.51390046296</v>
      </c>
      <c r="C1155" s="1" t="n">
        <v>46179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16045-2026</t>
        </is>
      </c>
      <c r="B1156" s="1" t="n">
        <v>46108</v>
      </c>
      <c r="C1156" s="1" t="n">
        <v>46179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6704-2026</t>
        </is>
      </c>
      <c r="B1157" s="1" t="n">
        <v>46056</v>
      </c>
      <c r="C1157" s="1" t="n">
        <v>46179</v>
      </c>
      <c r="D1157" t="inlineStr">
        <is>
          <t>GÄVLEBORGS LÄN</t>
        </is>
      </c>
      <c r="E1157" t="inlineStr">
        <is>
          <t>OVANÅKER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16005-2026</t>
        </is>
      </c>
      <c r="B1158" s="1" t="n">
        <v>46108</v>
      </c>
      <c r="C1158" s="1" t="n">
        <v>46179</v>
      </c>
      <c r="D1158" t="inlineStr">
        <is>
          <t>GÄVLEBORGS LÄN</t>
        </is>
      </c>
      <c r="E1158" t="inlineStr">
        <is>
          <t>OVANÅKER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15962-2026</t>
        </is>
      </c>
      <c r="B1159" s="1" t="n">
        <v>46108.31964120371</v>
      </c>
      <c r="C1159" s="1" t="n">
        <v>46179</v>
      </c>
      <c r="D1159" t="inlineStr">
        <is>
          <t>GÄVLEBORGS LÄN</t>
        </is>
      </c>
      <c r="E1159" t="inlineStr">
        <is>
          <t>OVANÅKER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15977-2026</t>
        </is>
      </c>
      <c r="B1160" s="1" t="n">
        <v>46108</v>
      </c>
      <c r="C1160" s="1" t="n">
        <v>46179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16338-2026</t>
        </is>
      </c>
      <c r="B1161" s="1" t="n">
        <v>46111</v>
      </c>
      <c r="C1161" s="1" t="n">
        <v>46179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11482-2025</t>
        </is>
      </c>
      <c r="B1162" s="1" t="n">
        <v>45726.69202546297</v>
      </c>
      <c r="C1162" s="1" t="n">
        <v>46179</v>
      </c>
      <c r="D1162" t="inlineStr">
        <is>
          <t>GÄVLEBORGS LÄN</t>
        </is>
      </c>
      <c r="E1162" t="inlineStr">
        <is>
          <t>OVANÅKER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10101-2025</t>
        </is>
      </c>
      <c r="B1163" s="1" t="n">
        <v>45719.57923611111</v>
      </c>
      <c r="C1163" s="1" t="n">
        <v>46179</v>
      </c>
      <c r="D1163" t="inlineStr">
        <is>
          <t>GÄVLEBORGS LÄN</t>
        </is>
      </c>
      <c r="E1163" t="inlineStr">
        <is>
          <t>OVANÅKER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7227-2023</t>
        </is>
      </c>
      <c r="B1164" s="1" t="n">
        <v>44970.59476851852</v>
      </c>
      <c r="C1164" s="1" t="n">
        <v>46179</v>
      </c>
      <c r="D1164" t="inlineStr">
        <is>
          <t>GÄVLEBORGS LÄN</t>
        </is>
      </c>
      <c r="E1164" t="inlineStr">
        <is>
          <t>OVANÅKER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16545-2026</t>
        </is>
      </c>
      <c r="B1165" s="1" t="n">
        <v>46112.50954861111</v>
      </c>
      <c r="C1165" s="1" t="n">
        <v>46179</v>
      </c>
      <c r="D1165" t="inlineStr">
        <is>
          <t>GÄVLEBORGS LÄN</t>
        </is>
      </c>
      <c r="E1165" t="inlineStr">
        <is>
          <t>OVANÅKER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16471-2026</t>
        </is>
      </c>
      <c r="B1166" s="1" t="n">
        <v>46112.3794212963</v>
      </c>
      <c r="C1166" s="1" t="n">
        <v>46179</v>
      </c>
      <c r="D1166" t="inlineStr">
        <is>
          <t>GÄVLEBORGS LÄN</t>
        </is>
      </c>
      <c r="E1166" t="inlineStr">
        <is>
          <t>OVANÅKER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20346-2026</t>
        </is>
      </c>
      <c r="B1167" s="1" t="n">
        <v>46139</v>
      </c>
      <c r="C1167" s="1" t="n">
        <v>46179</v>
      </c>
      <c r="D1167" t="inlineStr">
        <is>
          <t>GÄVLEBORGS LÄN</t>
        </is>
      </c>
      <c r="E1167" t="inlineStr">
        <is>
          <t>OVANÅKER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4909-2026</t>
        </is>
      </c>
      <c r="B1168" s="1" t="n">
        <v>46048</v>
      </c>
      <c r="C1168" s="1" t="n">
        <v>46179</v>
      </c>
      <c r="D1168" t="inlineStr">
        <is>
          <t>GÄVLEBORGS LÄN</t>
        </is>
      </c>
      <c r="E1168" t="inlineStr">
        <is>
          <t>OVANÅKER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20304-2026</t>
        </is>
      </c>
      <c r="B1169" s="1" t="n">
        <v>46139</v>
      </c>
      <c r="C1169" s="1" t="n">
        <v>46179</v>
      </c>
      <c r="D1169" t="inlineStr">
        <is>
          <t>GÄVLEBORGS LÄN</t>
        </is>
      </c>
      <c r="E1169" t="inlineStr">
        <is>
          <t>OVANÅKER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38369-2024</t>
        </is>
      </c>
      <c r="B1170" s="1" t="n">
        <v>45545.83730324074</v>
      </c>
      <c r="C1170" s="1" t="n">
        <v>46179</v>
      </c>
      <c r="D1170" t="inlineStr">
        <is>
          <t>GÄVLEBORGS LÄN</t>
        </is>
      </c>
      <c r="E1170" t="inlineStr">
        <is>
          <t>OVANÅKER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21855-2026</t>
        </is>
      </c>
      <c r="B1171" s="1" t="n">
        <v>46150</v>
      </c>
      <c r="C1171" s="1" t="n">
        <v>46179</v>
      </c>
      <c r="D1171" t="inlineStr">
        <is>
          <t>GÄVLEBORGS LÄN</t>
        </is>
      </c>
      <c r="E1171" t="inlineStr">
        <is>
          <t>OVANÅKER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22597-2026</t>
        </is>
      </c>
      <c r="B1172" s="1" t="n">
        <v>46155.58633101852</v>
      </c>
      <c r="C1172" s="1" t="n">
        <v>46179</v>
      </c>
      <c r="D1172" t="inlineStr">
        <is>
          <t>GÄVLEBORGS LÄN</t>
        </is>
      </c>
      <c r="E1172" t="inlineStr">
        <is>
          <t>OVANÅKER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16767-2026</t>
        </is>
      </c>
      <c r="B1173" s="1" t="n">
        <v>46113.42743055556</v>
      </c>
      <c r="C1173" s="1" t="n">
        <v>46179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20337-2026</t>
        </is>
      </c>
      <c r="B1174" s="1" t="n">
        <v>46139</v>
      </c>
      <c r="C1174" s="1" t="n">
        <v>46179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20345-2026</t>
        </is>
      </c>
      <c r="B1175" s="1" t="n">
        <v>46139</v>
      </c>
      <c r="C1175" s="1" t="n">
        <v>46179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16576-2026</t>
        </is>
      </c>
      <c r="B1176" s="1" t="n">
        <v>46112</v>
      </c>
      <c r="C1176" s="1" t="n">
        <v>46179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20309-2026</t>
        </is>
      </c>
      <c r="B1177" s="1" t="n">
        <v>46139</v>
      </c>
      <c r="C1177" s="1" t="n">
        <v>46179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20320-2026</t>
        </is>
      </c>
      <c r="B1178" s="1" t="n">
        <v>46139</v>
      </c>
      <c r="C1178" s="1" t="n">
        <v>46179</v>
      </c>
      <c r="D1178" t="inlineStr">
        <is>
          <t>GÄVLEBORGS LÄN</t>
        </is>
      </c>
      <c r="E1178" t="inlineStr">
        <is>
          <t>OVANÅKER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11055-2026</t>
        </is>
      </c>
      <c r="B1179" s="1" t="n">
        <v>46079</v>
      </c>
      <c r="C1179" s="1" t="n">
        <v>46179</v>
      </c>
      <c r="D1179" t="inlineStr">
        <is>
          <t>GÄVLEBORGS LÄN</t>
        </is>
      </c>
      <c r="E1179" t="inlineStr">
        <is>
          <t>OVANÅKER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46000-2024</t>
        </is>
      </c>
      <c r="B1180" s="1" t="n">
        <v>45580.65564814815</v>
      </c>
      <c r="C1180" s="1" t="n">
        <v>46179</v>
      </c>
      <c r="D1180" t="inlineStr">
        <is>
          <t>GÄVLEBORGS LÄN</t>
        </is>
      </c>
      <c r="E1180" t="inlineStr">
        <is>
          <t>OVANÅKER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22447-2026</t>
        </is>
      </c>
      <c r="B1181" s="1" t="n">
        <v>46155.34525462963</v>
      </c>
      <c r="C1181" s="1" t="n">
        <v>46179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18156-2024</t>
        </is>
      </c>
      <c r="B1182" s="1" t="n">
        <v>45420.60981481482</v>
      </c>
      <c r="C1182" s="1" t="n">
        <v>46179</v>
      </c>
      <c r="D1182" t="inlineStr">
        <is>
          <t>GÄVLEBORGS LÄN</t>
        </is>
      </c>
      <c r="E1182" t="inlineStr">
        <is>
          <t>OVANÅKER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16852-2026</t>
        </is>
      </c>
      <c r="B1183" s="1" t="n">
        <v>46113</v>
      </c>
      <c r="C1183" s="1" t="n">
        <v>46179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46036-2024</t>
        </is>
      </c>
      <c r="B1184" s="1" t="n">
        <v>45580.72539351852</v>
      </c>
      <c r="C1184" s="1" t="n">
        <v>46179</v>
      </c>
      <c r="D1184" t="inlineStr">
        <is>
          <t>GÄVLEBORGS LÄN</t>
        </is>
      </c>
      <c r="E1184" t="inlineStr">
        <is>
          <t>OVANÅKER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42067-2023</t>
        </is>
      </c>
      <c r="B1185" s="1" t="n">
        <v>45177.57534722222</v>
      </c>
      <c r="C1185" s="1" t="n">
        <v>46179</v>
      </c>
      <c r="D1185" t="inlineStr">
        <is>
          <t>GÄVLEBORGS LÄN</t>
        </is>
      </c>
      <c r="E1185" t="inlineStr">
        <is>
          <t>OVANÅKER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42076-2023</t>
        </is>
      </c>
      <c r="B1186" s="1" t="n">
        <v>45177.59209490741</v>
      </c>
      <c r="C1186" s="1" t="n">
        <v>46179</v>
      </c>
      <c r="D1186" t="inlineStr">
        <is>
          <t>GÄVLEBORGS LÄN</t>
        </is>
      </c>
      <c r="E1186" t="inlineStr">
        <is>
          <t>OVANÅKER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17015-2026</t>
        </is>
      </c>
      <c r="B1187" s="1" t="n">
        <v>46114</v>
      </c>
      <c r="C1187" s="1" t="n">
        <v>46179</v>
      </c>
      <c r="D1187" t="inlineStr">
        <is>
          <t>GÄVLEBORGS LÄN</t>
        </is>
      </c>
      <c r="E1187" t="inlineStr">
        <is>
          <t>OVANÅKER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17017-2026</t>
        </is>
      </c>
      <c r="B1188" s="1" t="n">
        <v>46114</v>
      </c>
      <c r="C1188" s="1" t="n">
        <v>46179</v>
      </c>
      <c r="D1188" t="inlineStr">
        <is>
          <t>GÄVLEBORGS LÄN</t>
        </is>
      </c>
      <c r="E1188" t="inlineStr">
        <is>
          <t>OVANÅKER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17049-2026</t>
        </is>
      </c>
      <c r="B1189" s="1" t="n">
        <v>46114</v>
      </c>
      <c r="C1189" s="1" t="n">
        <v>46179</v>
      </c>
      <c r="D1189" t="inlineStr">
        <is>
          <t>GÄVLEBORGS LÄN</t>
        </is>
      </c>
      <c r="E1189" t="inlineStr">
        <is>
          <t>OVANÅKER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17665-2025</t>
        </is>
      </c>
      <c r="B1190" s="1" t="n">
        <v>45758.36224537037</v>
      </c>
      <c r="C1190" s="1" t="n">
        <v>46179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17668-2025</t>
        </is>
      </c>
      <c r="B1191" s="1" t="n">
        <v>45758.36554398148</v>
      </c>
      <c r="C1191" s="1" t="n">
        <v>46179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16424-2025</t>
        </is>
      </c>
      <c r="B1192" s="1" t="n">
        <v>45751.47364583334</v>
      </c>
      <c r="C1192" s="1" t="n">
        <v>46179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16019-2024</t>
        </is>
      </c>
      <c r="B1193" s="1" t="n">
        <v>45405.67047453704</v>
      </c>
      <c r="C1193" s="1" t="n">
        <v>46179</v>
      </c>
      <c r="D1193" t="inlineStr">
        <is>
          <t>GÄVLEBORGS LÄN</t>
        </is>
      </c>
      <c r="E1193" t="inlineStr">
        <is>
          <t>OVANÅKER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22173-2024</t>
        </is>
      </c>
      <c r="B1194" s="1" t="n">
        <v>45446.31018518518</v>
      </c>
      <c r="C1194" s="1" t="n">
        <v>46179</v>
      </c>
      <c r="D1194" t="inlineStr">
        <is>
          <t>GÄVLEBORGS LÄN</t>
        </is>
      </c>
      <c r="E1194" t="inlineStr">
        <is>
          <t>OVANÅKER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10119-2025</t>
        </is>
      </c>
      <c r="B1195" s="1" t="n">
        <v>45719.59969907408</v>
      </c>
      <c r="C1195" s="1" t="n">
        <v>46179</v>
      </c>
      <c r="D1195" t="inlineStr">
        <is>
          <t>GÄVLEBORGS LÄN</t>
        </is>
      </c>
      <c r="E1195" t="inlineStr">
        <is>
          <t>OVANÅKER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55427-2024</t>
        </is>
      </c>
      <c r="B1196" s="1" t="n">
        <v>45622.38875</v>
      </c>
      <c r="C1196" s="1" t="n">
        <v>46179</v>
      </c>
      <c r="D1196" t="inlineStr">
        <is>
          <t>GÄVLEBORGS LÄN</t>
        </is>
      </c>
      <c r="E1196" t="inlineStr">
        <is>
          <t>OVANÅKER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10107-2025</t>
        </is>
      </c>
      <c r="B1197" s="1" t="n">
        <v>45719.58622685185</v>
      </c>
      <c r="C1197" s="1" t="n">
        <v>46179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17018-2026</t>
        </is>
      </c>
      <c r="B1198" s="1" t="n">
        <v>46114</v>
      </c>
      <c r="C1198" s="1" t="n">
        <v>46179</v>
      </c>
      <c r="D1198" t="inlineStr">
        <is>
          <t>GÄVLEBORGS LÄN</t>
        </is>
      </c>
      <c r="E1198" t="inlineStr">
        <is>
          <t>OVANÅKER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17023-2026</t>
        </is>
      </c>
      <c r="B1199" s="1" t="n">
        <v>46114</v>
      </c>
      <c r="C1199" s="1" t="n">
        <v>46179</v>
      </c>
      <c r="D1199" t="inlineStr">
        <is>
          <t>GÄVLEBORGS LÄN</t>
        </is>
      </c>
      <c r="E1199" t="inlineStr">
        <is>
          <t>OVANÅKER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36316-2023</t>
        </is>
      </c>
      <c r="B1200" s="1" t="n">
        <v>45152.41521990741</v>
      </c>
      <c r="C1200" s="1" t="n">
        <v>46179</v>
      </c>
      <c r="D1200" t="inlineStr">
        <is>
          <t>GÄVLEBORGS LÄN</t>
        </is>
      </c>
      <c r="E1200" t="inlineStr">
        <is>
          <t>OVANÅKER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10762-2025</t>
        </is>
      </c>
      <c r="B1201" s="1" t="n">
        <v>45722.45832175926</v>
      </c>
      <c r="C1201" s="1" t="n">
        <v>46179</v>
      </c>
      <c r="D1201" t="inlineStr">
        <is>
          <t>GÄVLEBORGS LÄN</t>
        </is>
      </c>
      <c r="E1201" t="inlineStr">
        <is>
          <t>OVANÅKER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6766-2022</t>
        </is>
      </c>
      <c r="B1202" s="1" t="n">
        <v>44602.50246527778</v>
      </c>
      <c r="C1202" s="1" t="n">
        <v>46179</v>
      </c>
      <c r="D1202" t="inlineStr">
        <is>
          <t>GÄVLEBORGS LÄN</t>
        </is>
      </c>
      <c r="E1202" t="inlineStr">
        <is>
          <t>OVANÅKER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31052-2024</t>
        </is>
      </c>
      <c r="B1203" s="1" t="n">
        <v>45502.34298611111</v>
      </c>
      <c r="C1203" s="1" t="n">
        <v>46179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31084-2024</t>
        </is>
      </c>
      <c r="B1204" s="1" t="n">
        <v>45502.47806712963</v>
      </c>
      <c r="C1204" s="1" t="n">
        <v>46179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16978-2026</t>
        </is>
      </c>
      <c r="B1205" s="1" t="n">
        <v>46114</v>
      </c>
      <c r="C1205" s="1" t="n">
        <v>46179</v>
      </c>
      <c r="D1205" t="inlineStr">
        <is>
          <t>GÄVLEBORGS LÄN</t>
        </is>
      </c>
      <c r="E1205" t="inlineStr">
        <is>
          <t>OVANÅKER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39384-2023</t>
        </is>
      </c>
      <c r="B1206" s="1" t="n">
        <v>45166.64621527777</v>
      </c>
      <c r="C1206" s="1" t="n">
        <v>46179</v>
      </c>
      <c r="D1206" t="inlineStr">
        <is>
          <t>GÄVLEBORGS LÄN</t>
        </is>
      </c>
      <c r="E1206" t="inlineStr">
        <is>
          <t>OVANÅKER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54273-2024</t>
        </is>
      </c>
      <c r="B1207" s="1" t="n">
        <v>45616.82413194444</v>
      </c>
      <c r="C1207" s="1" t="n">
        <v>46179</v>
      </c>
      <c r="D1207" t="inlineStr">
        <is>
          <t>GÄVLEBORGS LÄN</t>
        </is>
      </c>
      <c r="E1207" t="inlineStr">
        <is>
          <t>OVANÅKER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20116-2026</t>
        </is>
      </c>
      <c r="B1208" s="1" t="n">
        <v>46136.65675925926</v>
      </c>
      <c r="C1208" s="1" t="n">
        <v>46179</v>
      </c>
      <c r="D1208" t="inlineStr">
        <is>
          <t>GÄVLEBORGS LÄN</t>
        </is>
      </c>
      <c r="E1208" t="inlineStr">
        <is>
          <t>OVANÅKER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3989-2025</t>
        </is>
      </c>
      <c r="B1209" s="1" t="n">
        <v>45684.55628472222</v>
      </c>
      <c r="C1209" s="1" t="n">
        <v>46179</v>
      </c>
      <c r="D1209" t="inlineStr">
        <is>
          <t>GÄVLEBORGS LÄN</t>
        </is>
      </c>
      <c r="E1209" t="inlineStr">
        <is>
          <t>OVANÅKER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20123-2026</t>
        </is>
      </c>
      <c r="B1210" s="1" t="n">
        <v>46136.66241898148</v>
      </c>
      <c r="C1210" s="1" t="n">
        <v>46179</v>
      </c>
      <c r="D1210" t="inlineStr">
        <is>
          <t>GÄVLEBORGS LÄN</t>
        </is>
      </c>
      <c r="E1210" t="inlineStr">
        <is>
          <t>OVANÅKER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61487-2024</t>
        </is>
      </c>
      <c r="B1211" s="1" t="n">
        <v>45646.54785879629</v>
      </c>
      <c r="C1211" s="1" t="n">
        <v>46179</v>
      </c>
      <c r="D1211" t="inlineStr">
        <is>
          <t>GÄVLEBORGS LÄN</t>
        </is>
      </c>
      <c r="E1211" t="inlineStr">
        <is>
          <t>OVANÅKER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17211-2026</t>
        </is>
      </c>
      <c r="B1212" s="1" t="n">
        <v>46119</v>
      </c>
      <c r="C1212" s="1" t="n">
        <v>46179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12129-2022</t>
        </is>
      </c>
      <c r="B1213" s="1" t="n">
        <v>44636.60628472222</v>
      </c>
      <c r="C1213" s="1" t="n">
        <v>46179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43299-2023</t>
        </is>
      </c>
      <c r="B1214" s="1" t="n">
        <v>45183.58574074074</v>
      </c>
      <c r="C1214" s="1" t="n">
        <v>46179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16393-2025</t>
        </is>
      </c>
      <c r="B1215" s="1" t="n">
        <v>45751.43475694444</v>
      </c>
      <c r="C1215" s="1" t="n">
        <v>46179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39850-2023</t>
        </is>
      </c>
      <c r="B1216" s="1" t="n">
        <v>45168.3706712963</v>
      </c>
      <c r="C1216" s="1" t="n">
        <v>46179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24056-2024</t>
        </is>
      </c>
      <c r="B1217" s="1" t="n">
        <v>45456.52451388889</v>
      </c>
      <c r="C1217" s="1" t="n">
        <v>46179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24074-2024</t>
        </is>
      </c>
      <c r="B1218" s="1" t="n">
        <v>45456</v>
      </c>
      <c r="C1218" s="1" t="n">
        <v>46179</v>
      </c>
      <c r="D1218" t="inlineStr">
        <is>
          <t>GÄVLEBORGS LÄN</t>
        </is>
      </c>
      <c r="E1218" t="inlineStr">
        <is>
          <t>OVANÅKER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48298-2023</t>
        </is>
      </c>
      <c r="B1219" s="1" t="n">
        <v>45205</v>
      </c>
      <c r="C1219" s="1" t="n">
        <v>46179</v>
      </c>
      <c r="D1219" t="inlineStr">
        <is>
          <t>GÄVLEBORGS LÄN</t>
        </is>
      </c>
      <c r="E1219" t="inlineStr">
        <is>
          <t>OVANÅKER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41545-2024</t>
        </is>
      </c>
      <c r="B1220" s="1" t="n">
        <v>45560.51070601852</v>
      </c>
      <c r="C1220" s="1" t="n">
        <v>46179</v>
      </c>
      <c r="D1220" t="inlineStr">
        <is>
          <t>GÄVLEBORGS LÄN</t>
        </is>
      </c>
      <c r="E1220" t="inlineStr">
        <is>
          <t>OVANÅKER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56127-2023</t>
        </is>
      </c>
      <c r="B1221" s="1" t="n">
        <v>45240.58010416666</v>
      </c>
      <c r="C1221" s="1" t="n">
        <v>46179</v>
      </c>
      <c r="D1221" t="inlineStr">
        <is>
          <t>GÄVLEBORGS LÄN</t>
        </is>
      </c>
      <c r="E1221" t="inlineStr">
        <is>
          <t>OVANÅKER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3115-2025</t>
        </is>
      </c>
      <c r="B1222" s="1" t="n">
        <v>45678.70383101852</v>
      </c>
      <c r="C1222" s="1" t="n">
        <v>46179</v>
      </c>
      <c r="D1222" t="inlineStr">
        <is>
          <t>GÄVLEBORGS LÄN</t>
        </is>
      </c>
      <c r="E1222" t="inlineStr">
        <is>
          <t>OVANÅKER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30695-2024</t>
        </is>
      </c>
      <c r="B1223" s="1" t="n">
        <v>45496.33076388889</v>
      </c>
      <c r="C1223" s="1" t="n">
        <v>46179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991-2025</t>
        </is>
      </c>
      <c r="B1224" s="1" t="n">
        <v>45666</v>
      </c>
      <c r="C1224" s="1" t="n">
        <v>46179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22970-2026</t>
        </is>
      </c>
      <c r="B1225" s="1" t="n">
        <v>46160.62288194444</v>
      </c>
      <c r="C1225" s="1" t="n">
        <v>46179</v>
      </c>
      <c r="D1225" t="inlineStr">
        <is>
          <t>GÄVLEBORGS LÄN</t>
        </is>
      </c>
      <c r="E1225" t="inlineStr">
        <is>
          <t>OVANÅKER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23161-2026</t>
        </is>
      </c>
      <c r="B1226" s="1" t="n">
        <v>46161.65053240741</v>
      </c>
      <c r="C1226" s="1" t="n">
        <v>46179</v>
      </c>
      <c r="D1226" t="inlineStr">
        <is>
          <t>GÄVLEBORGS LÄN</t>
        </is>
      </c>
      <c r="E1226" t="inlineStr">
        <is>
          <t>OVANÅKER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17380-2026</t>
        </is>
      </c>
      <c r="B1227" s="1" t="n">
        <v>46119</v>
      </c>
      <c r="C1227" s="1" t="n">
        <v>46179</v>
      </c>
      <c r="D1227" t="inlineStr">
        <is>
          <t>GÄVLEBORGS LÄN</t>
        </is>
      </c>
      <c r="E1227" t="inlineStr">
        <is>
          <t>OVANÅKER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12549-2025</t>
        </is>
      </c>
      <c r="B1228" s="1" t="n">
        <v>45731.3146412037</v>
      </c>
      <c r="C1228" s="1" t="n">
        <v>46179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31005-2023</t>
        </is>
      </c>
      <c r="B1229" s="1" t="n">
        <v>45113.5514699074</v>
      </c>
      <c r="C1229" s="1" t="n">
        <v>46179</v>
      </c>
      <c r="D1229" t="inlineStr">
        <is>
          <t>GÄVLEBORGS LÄN</t>
        </is>
      </c>
      <c r="E1229" t="inlineStr">
        <is>
          <t>OVANÅKER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31023-2023</t>
        </is>
      </c>
      <c r="B1230" s="1" t="n">
        <v>45113.57775462963</v>
      </c>
      <c r="C1230" s="1" t="n">
        <v>46179</v>
      </c>
      <c r="D1230" t="inlineStr">
        <is>
          <t>GÄVLEBORGS LÄN</t>
        </is>
      </c>
      <c r="E1230" t="inlineStr">
        <is>
          <t>OVANÅKER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32804-2024</t>
        </is>
      </c>
      <c r="B1231" s="1" t="n">
        <v>45516.56881944444</v>
      </c>
      <c r="C1231" s="1" t="n">
        <v>46179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öst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53845-2023</t>
        </is>
      </c>
      <c r="B1232" s="1" t="n">
        <v>45231.44913194444</v>
      </c>
      <c r="C1232" s="1" t="n">
        <v>46179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41990-2023</t>
        </is>
      </c>
      <c r="B1233" s="1" t="n">
        <v>45177</v>
      </c>
      <c r="C1233" s="1" t="n">
        <v>46179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19303-2025</t>
        </is>
      </c>
      <c r="B1234" s="1" t="n">
        <v>45769.56547453703</v>
      </c>
      <c r="C1234" s="1" t="n">
        <v>46179</v>
      </c>
      <c r="D1234" t="inlineStr">
        <is>
          <t>GÄVLEBORGS LÄN</t>
        </is>
      </c>
      <c r="E1234" t="inlineStr">
        <is>
          <t>OVANÅKER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52158-2023</t>
        </is>
      </c>
      <c r="B1235" s="1" t="n">
        <v>45224.31581018519</v>
      </c>
      <c r="C1235" s="1" t="n">
        <v>46179</v>
      </c>
      <c r="D1235" t="inlineStr">
        <is>
          <t>GÄVLEBORGS LÄN</t>
        </is>
      </c>
      <c r="E1235" t="inlineStr">
        <is>
          <t>OVANÅKER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43274-2023</t>
        </is>
      </c>
      <c r="B1236" s="1" t="n">
        <v>45183.54471064815</v>
      </c>
      <c r="C1236" s="1" t="n">
        <v>46179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18244-2024</t>
        </is>
      </c>
      <c r="B1237" s="1" t="n">
        <v>45421.353125</v>
      </c>
      <c r="C1237" s="1" t="n">
        <v>46179</v>
      </c>
      <c r="D1237" t="inlineStr">
        <is>
          <t>GÄVLEBORGS LÄN</t>
        </is>
      </c>
      <c r="E1237" t="inlineStr">
        <is>
          <t>OVANÅKER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41544-2023</t>
        </is>
      </c>
      <c r="B1238" s="1" t="n">
        <v>45175.56778935185</v>
      </c>
      <c r="C1238" s="1" t="n">
        <v>46179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58791-2023</t>
        </is>
      </c>
      <c r="B1239" s="1" t="n">
        <v>45252.33528935185</v>
      </c>
      <c r="C1239" s="1" t="n">
        <v>46179</v>
      </c>
      <c r="D1239" t="inlineStr">
        <is>
          <t>GÄVLEBORGS LÄN</t>
        </is>
      </c>
      <c r="E1239" t="inlineStr">
        <is>
          <t>OVANÅKER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36576-2022</t>
        </is>
      </c>
      <c r="B1240" s="1" t="n">
        <v>44804</v>
      </c>
      <c r="C1240" s="1" t="n">
        <v>46179</v>
      </c>
      <c r="D1240" t="inlineStr">
        <is>
          <t>GÄVLEBORGS LÄN</t>
        </is>
      </c>
      <c r="E1240" t="inlineStr">
        <is>
          <t>OVANÅKER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20328-2026</t>
        </is>
      </c>
      <c r="B1241" s="1" t="n">
        <v>46139</v>
      </c>
      <c r="C1241" s="1" t="n">
        <v>46179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55423-2023</t>
        </is>
      </c>
      <c r="B1242" s="1" t="n">
        <v>45238.4189699074</v>
      </c>
      <c r="C1242" s="1" t="n">
        <v>46179</v>
      </c>
      <c r="D1242" t="inlineStr">
        <is>
          <t>GÄVLEBORGS LÄN</t>
        </is>
      </c>
      <c r="E1242" t="inlineStr">
        <is>
          <t>OVANÅKER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42685-2022</t>
        </is>
      </c>
      <c r="B1243" s="1" t="n">
        <v>44832.34842592593</v>
      </c>
      <c r="C1243" s="1" t="n">
        <v>46179</v>
      </c>
      <c r="D1243" t="inlineStr">
        <is>
          <t>GÄVLEBORGS LÄN</t>
        </is>
      </c>
      <c r="E1243" t="inlineStr">
        <is>
          <t>OVANÅKER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10990-2026</t>
        </is>
      </c>
      <c r="B1244" s="1" t="n">
        <v>46079</v>
      </c>
      <c r="C1244" s="1" t="n">
        <v>46179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23011-2026</t>
        </is>
      </c>
      <c r="B1245" s="1" t="n">
        <v>46161.32349537037</v>
      </c>
      <c r="C1245" s="1" t="n">
        <v>46179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31356-2022</t>
        </is>
      </c>
      <c r="B1246" s="1" t="n">
        <v>44774.57127314815</v>
      </c>
      <c r="C1246" s="1" t="n">
        <v>46179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31163-2022</t>
        </is>
      </c>
      <c r="B1247" s="1" t="n">
        <v>44770.4959837963</v>
      </c>
      <c r="C1247" s="1" t="n">
        <v>46179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öst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25297-2024</t>
        </is>
      </c>
      <c r="B1248" s="1" t="n">
        <v>45462.67136574074</v>
      </c>
      <c r="C1248" s="1" t="n">
        <v>46179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25299-2024</t>
        </is>
      </c>
      <c r="B1249" s="1" t="n">
        <v>45462</v>
      </c>
      <c r="C1249" s="1" t="n">
        <v>46179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3324-2024</t>
        </is>
      </c>
      <c r="B1250" s="1" t="n">
        <v>45317.53914351852</v>
      </c>
      <c r="C1250" s="1" t="n">
        <v>46179</v>
      </c>
      <c r="D1250" t="inlineStr">
        <is>
          <t>GÄVLEBORGS LÄN</t>
        </is>
      </c>
      <c r="E1250" t="inlineStr">
        <is>
          <t>OVANÅKER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20261-2026</t>
        </is>
      </c>
      <c r="B1251" s="1" t="n">
        <v>46139</v>
      </c>
      <c r="C1251" s="1" t="n">
        <v>46179</v>
      </c>
      <c r="D1251" t="inlineStr">
        <is>
          <t>GÄVLEBORGS LÄN</t>
        </is>
      </c>
      <c r="E1251" t="inlineStr">
        <is>
          <t>OVANÅKER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23543-2026</t>
        </is>
      </c>
      <c r="B1252" s="1" t="n">
        <v>46163.55050925926</v>
      </c>
      <c r="C1252" s="1" t="n">
        <v>46179</v>
      </c>
      <c r="D1252" t="inlineStr">
        <is>
          <t>GÄVLEBORGS LÄN</t>
        </is>
      </c>
      <c r="E1252" t="inlineStr">
        <is>
          <t>OVANÅKER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23553-2026</t>
        </is>
      </c>
      <c r="B1253" s="1" t="n">
        <v>46163.57722222222</v>
      </c>
      <c r="C1253" s="1" t="n">
        <v>46179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Kyrkan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55992-2022</t>
        </is>
      </c>
      <c r="B1254" s="1" t="n">
        <v>44889</v>
      </c>
      <c r="C1254" s="1" t="n">
        <v>46179</v>
      </c>
      <c r="D1254" t="inlineStr">
        <is>
          <t>GÄVLEBORGS LÄN</t>
        </is>
      </c>
      <c r="E1254" t="inlineStr">
        <is>
          <t>OVANÅKER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12325-2025</t>
        </is>
      </c>
      <c r="B1255" s="1" t="n">
        <v>45730.30092592593</v>
      </c>
      <c r="C1255" s="1" t="n">
        <v>46179</v>
      </c>
      <c r="D1255" t="inlineStr">
        <is>
          <t>GÄVLEBORGS LÄN</t>
        </is>
      </c>
      <c r="E1255" t="inlineStr">
        <is>
          <t>OVANÅKER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12326-2025</t>
        </is>
      </c>
      <c r="B1256" s="1" t="n">
        <v>45730.30270833334</v>
      </c>
      <c r="C1256" s="1" t="n">
        <v>46179</v>
      </c>
      <c r="D1256" t="inlineStr">
        <is>
          <t>GÄVLEBORGS LÄN</t>
        </is>
      </c>
      <c r="E1256" t="inlineStr">
        <is>
          <t>OVANÅKER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18505-2025</t>
        </is>
      </c>
      <c r="B1257" s="1" t="n">
        <v>45763.37523148148</v>
      </c>
      <c r="C1257" s="1" t="n">
        <v>46179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Holmen skog AB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18562-2025</t>
        </is>
      </c>
      <c r="B1258" s="1" t="n">
        <v>45763.4484375</v>
      </c>
      <c r="C1258" s="1" t="n">
        <v>46179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Holmen skog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5719-2023</t>
        </is>
      </c>
      <c r="B1259" s="1" t="n">
        <v>44961.40068287037</v>
      </c>
      <c r="C1259" s="1" t="n">
        <v>46179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17523-2025</t>
        </is>
      </c>
      <c r="B1260" s="1" t="n">
        <v>45757.58005787037</v>
      </c>
      <c r="C1260" s="1" t="n">
        <v>46179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11940-2025</t>
        </is>
      </c>
      <c r="B1261" s="1" t="n">
        <v>45728.5352662037</v>
      </c>
      <c r="C1261" s="1" t="n">
        <v>46179</v>
      </c>
      <c r="D1261" t="inlineStr">
        <is>
          <t>GÄVLEBORGS LÄN</t>
        </is>
      </c>
      <c r="E1261" t="inlineStr">
        <is>
          <t>OVANÅKER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11964-2025</t>
        </is>
      </c>
      <c r="B1262" s="1" t="n">
        <v>45728.57576388889</v>
      </c>
      <c r="C1262" s="1" t="n">
        <v>46179</v>
      </c>
      <c r="D1262" t="inlineStr">
        <is>
          <t>GÄVLEBORGS LÄN</t>
        </is>
      </c>
      <c r="E1262" t="inlineStr">
        <is>
          <t>OVANÅKER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61526-2023</t>
        </is>
      </c>
      <c r="B1263" s="1" t="n">
        <v>45265.34644675926</v>
      </c>
      <c r="C1263" s="1" t="n">
        <v>46179</v>
      </c>
      <c r="D1263" t="inlineStr">
        <is>
          <t>GÄVLEBORGS LÄN</t>
        </is>
      </c>
      <c r="E1263" t="inlineStr">
        <is>
          <t>OVANÅKER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4234-2024</t>
        </is>
      </c>
      <c r="B1264" s="1" t="n">
        <v>45324</v>
      </c>
      <c r="C1264" s="1" t="n">
        <v>46179</v>
      </c>
      <c r="D1264" t="inlineStr">
        <is>
          <t>GÄVLEBORGS LÄN</t>
        </is>
      </c>
      <c r="E1264" t="inlineStr">
        <is>
          <t>OVANÅKER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63703-2023</t>
        </is>
      </c>
      <c r="B1265" s="1" t="n">
        <v>45275.92704861111</v>
      </c>
      <c r="C1265" s="1" t="n">
        <v>46179</v>
      </c>
      <c r="D1265" t="inlineStr">
        <is>
          <t>GÄVLEBORGS LÄN</t>
        </is>
      </c>
      <c r="E1265" t="inlineStr">
        <is>
          <t>OVANÅKER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41512-2023</t>
        </is>
      </c>
      <c r="B1266" s="1" t="n">
        <v>45175</v>
      </c>
      <c r="C1266" s="1" t="n">
        <v>46179</v>
      </c>
      <c r="D1266" t="inlineStr">
        <is>
          <t>GÄVLEBORGS LÄN</t>
        </is>
      </c>
      <c r="E1266" t="inlineStr">
        <is>
          <t>OVANÅKER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21955-2026</t>
        </is>
      </c>
      <c r="B1267" s="1" t="n">
        <v>46152</v>
      </c>
      <c r="C1267" s="1" t="n">
        <v>46179</v>
      </c>
      <c r="D1267" t="inlineStr">
        <is>
          <t>GÄVLEBORGS LÄN</t>
        </is>
      </c>
      <c r="E1267" t="inlineStr">
        <is>
          <t>OVANÅKER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61827-2022</t>
        </is>
      </c>
      <c r="B1268" s="1" t="n">
        <v>44917</v>
      </c>
      <c r="C1268" s="1" t="n">
        <v>46179</v>
      </c>
      <c r="D1268" t="inlineStr">
        <is>
          <t>GÄVLEBORGS LÄN</t>
        </is>
      </c>
      <c r="E1268" t="inlineStr">
        <is>
          <t>OVANÅKER</t>
        </is>
      </c>
      <c r="G1268" t="n">
        <v>15.9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22637-2026</t>
        </is>
      </c>
      <c r="B1269" s="1" t="n">
        <v>46155</v>
      </c>
      <c r="C1269" s="1" t="n">
        <v>46179</v>
      </c>
      <c r="D1269" t="inlineStr">
        <is>
          <t>GÄVLEBORGS LÄN</t>
        </is>
      </c>
      <c r="E1269" t="inlineStr">
        <is>
          <t>OVANÅKER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7450-2026</t>
        </is>
      </c>
      <c r="B1270" s="1" t="n">
        <v>46059</v>
      </c>
      <c r="C1270" s="1" t="n">
        <v>46179</v>
      </c>
      <c r="D1270" t="inlineStr">
        <is>
          <t>GÄVLEBORGS LÄN</t>
        </is>
      </c>
      <c r="E1270" t="inlineStr">
        <is>
          <t>OVANÅKER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42324-2024</t>
        </is>
      </c>
      <c r="B1271" s="1" t="n">
        <v>45562.6505787037</v>
      </c>
      <c r="C1271" s="1" t="n">
        <v>46179</v>
      </c>
      <c r="D1271" t="inlineStr">
        <is>
          <t>GÄVLEBORGS LÄN</t>
        </is>
      </c>
      <c r="E1271" t="inlineStr">
        <is>
          <t>OVANÅKER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35348-2022</t>
        </is>
      </c>
      <c r="B1272" s="1" t="n">
        <v>44798</v>
      </c>
      <c r="C1272" s="1" t="n">
        <v>46179</v>
      </c>
      <c r="D1272" t="inlineStr">
        <is>
          <t>GÄVLEBORGS LÄN</t>
        </is>
      </c>
      <c r="E1272" t="inlineStr">
        <is>
          <t>OVANÅKER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31875-2023</t>
        </is>
      </c>
      <c r="B1273" s="1" t="n">
        <v>45118</v>
      </c>
      <c r="C1273" s="1" t="n">
        <v>46179</v>
      </c>
      <c r="D1273" t="inlineStr">
        <is>
          <t>GÄVLEBORGS LÄN</t>
        </is>
      </c>
      <c r="E1273" t="inlineStr">
        <is>
          <t>OVANÅKER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23441-2026</t>
        </is>
      </c>
      <c r="B1274" s="1" t="n">
        <v>46163.35248842592</v>
      </c>
      <c r="C1274" s="1" t="n">
        <v>46179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öst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20295-2026</t>
        </is>
      </c>
      <c r="B1275" s="1" t="n">
        <v>46139</v>
      </c>
      <c r="C1275" s="1" t="n">
        <v>46179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23550-2026</t>
        </is>
      </c>
      <c r="B1276" s="1" t="n">
        <v>46163.57350694444</v>
      </c>
      <c r="C1276" s="1" t="n">
        <v>46179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33634-2024</t>
        </is>
      </c>
      <c r="B1277" s="1" t="n">
        <v>45520.43453703704</v>
      </c>
      <c r="C1277" s="1" t="n">
        <v>46179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55811-2023</t>
        </is>
      </c>
      <c r="B1278" s="1" t="n">
        <v>45239</v>
      </c>
      <c r="C1278" s="1" t="n">
        <v>46179</v>
      </c>
      <c r="D1278" t="inlineStr">
        <is>
          <t>GÄVLEBORGS LÄN</t>
        </is>
      </c>
      <c r="E1278" t="inlineStr">
        <is>
          <t>OVANÅKER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32420-2021</t>
        </is>
      </c>
      <c r="B1279" s="1" t="n">
        <v>44371.69201388889</v>
      </c>
      <c r="C1279" s="1" t="n">
        <v>46179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23329-2026</t>
        </is>
      </c>
      <c r="B1280" s="1" t="n">
        <v>46162.54785879629</v>
      </c>
      <c r="C1280" s="1" t="n">
        <v>46179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öst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3877-2024</t>
        </is>
      </c>
      <c r="B1281" s="1" t="n">
        <v>45322</v>
      </c>
      <c r="C1281" s="1" t="n">
        <v>46179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20712-2026</t>
        </is>
      </c>
      <c r="B1282" s="1" t="n">
        <v>46141</v>
      </c>
      <c r="C1282" s="1" t="n">
        <v>46179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21954-2026</t>
        </is>
      </c>
      <c r="B1283" s="1" t="n">
        <v>46152</v>
      </c>
      <c r="C1283" s="1" t="n">
        <v>46179</v>
      </c>
      <c r="D1283" t="inlineStr">
        <is>
          <t>GÄVLEBORGS LÄN</t>
        </is>
      </c>
      <c r="E1283" t="inlineStr">
        <is>
          <t>OVANÅKER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22635-2026</t>
        </is>
      </c>
      <c r="B1284" s="1" t="n">
        <v>46155</v>
      </c>
      <c r="C1284" s="1" t="n">
        <v>46179</v>
      </c>
      <c r="D1284" t="inlineStr">
        <is>
          <t>GÄVLEBORGS LÄN</t>
        </is>
      </c>
      <c r="E1284" t="inlineStr">
        <is>
          <t>OVANÅKER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17491-2026</t>
        </is>
      </c>
      <c r="B1285" s="1" t="n">
        <v>46120</v>
      </c>
      <c r="C1285" s="1" t="n">
        <v>46179</v>
      </c>
      <c r="D1285" t="inlineStr">
        <is>
          <t>GÄVLEBORGS LÄN</t>
        </is>
      </c>
      <c r="E1285" t="inlineStr">
        <is>
          <t>OVANÅKER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20267-2026</t>
        </is>
      </c>
      <c r="B1286" s="1" t="n">
        <v>46139</v>
      </c>
      <c r="C1286" s="1" t="n">
        <v>46179</v>
      </c>
      <c r="D1286" t="inlineStr">
        <is>
          <t>GÄVLEBORGS LÄN</t>
        </is>
      </c>
      <c r="E1286" t="inlineStr">
        <is>
          <t>OVANÅKER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20924-2026</t>
        </is>
      </c>
      <c r="B1287" s="1" t="n">
        <v>46142</v>
      </c>
      <c r="C1287" s="1" t="n">
        <v>46179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17655-2026</t>
        </is>
      </c>
      <c r="B1288" s="1" t="n">
        <v>46121.55603009259</v>
      </c>
      <c r="C1288" s="1" t="n">
        <v>46179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20427-2026</t>
        </is>
      </c>
      <c r="B1289" s="1" t="n">
        <v>46140</v>
      </c>
      <c r="C1289" s="1" t="n">
        <v>46179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HYPERLINK("https://klasma.github.io/Logging_2121/knärot/A 20427-2026 karta knärot.png", "A 20427-2026")</f>
        <v/>
      </c>
      <c r="V1289">
        <f>HYPERLINK("https://klasma.github.io/Logging_2121/klagomål/A 20427-2026 FSC-klagomål.docx", "A 20427-2026")</f>
        <v/>
      </c>
      <c r="W1289">
        <f>HYPERLINK("https://klasma.github.io/Logging_2121/klagomålsmail/A 20427-2026 FSC-klagomål mail.docx", "A 20427-2026")</f>
        <v/>
      </c>
      <c r="X1289">
        <f>HYPERLINK("https://klasma.github.io/Logging_2121/tillsyn/A 20427-2026 tillsynsbegäran.docx", "A 20427-2026")</f>
        <v/>
      </c>
      <c r="Y1289">
        <f>HYPERLINK("https://klasma.github.io/Logging_2121/tillsynsmail/A 20427-2026 tillsynsbegäran mail.docx", "A 20427-2026")</f>
        <v/>
      </c>
    </row>
    <row r="1290" ht="15" customHeight="1">
      <c r="A1290" t="inlineStr">
        <is>
          <t>A 20434-2026</t>
        </is>
      </c>
      <c r="B1290" s="1" t="n">
        <v>46140</v>
      </c>
      <c r="C1290" s="1" t="n">
        <v>46179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21953-2026</t>
        </is>
      </c>
      <c r="B1291" s="1" t="n">
        <v>46152</v>
      </c>
      <c r="C1291" s="1" t="n">
        <v>46179</v>
      </c>
      <c r="D1291" t="inlineStr">
        <is>
          <t>GÄVLEBORGS LÄN</t>
        </is>
      </c>
      <c r="E1291" t="inlineStr">
        <is>
          <t>OVANÅKER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55477-2022</t>
        </is>
      </c>
      <c r="B1292" s="1" t="n">
        <v>44887</v>
      </c>
      <c r="C1292" s="1" t="n">
        <v>46179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43259-2023</t>
        </is>
      </c>
      <c r="B1293" s="1" t="n">
        <v>45183</v>
      </c>
      <c r="C1293" s="1" t="n">
        <v>46179</v>
      </c>
      <c r="D1293" t="inlineStr">
        <is>
          <t>GÄVLEBORGS LÄN</t>
        </is>
      </c>
      <c r="E1293" t="inlineStr">
        <is>
          <t>OVANÅKER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17671-2026</t>
        </is>
      </c>
      <c r="B1294" s="1" t="n">
        <v>46121.58803240741</v>
      </c>
      <c r="C1294" s="1" t="n">
        <v>46179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20892-2026</t>
        </is>
      </c>
      <c r="B1295" s="1" t="n">
        <v>46142</v>
      </c>
      <c r="C1295" s="1" t="n">
        <v>46179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22960-2026</t>
        </is>
      </c>
      <c r="B1296" s="1" t="n">
        <v>46160.60215277778</v>
      </c>
      <c r="C1296" s="1" t="n">
        <v>46179</v>
      </c>
      <c r="D1296" t="inlineStr">
        <is>
          <t>GÄVLEBORGS LÄN</t>
        </is>
      </c>
      <c r="E1296" t="inlineStr">
        <is>
          <t>OVANÅKER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22252-2026</t>
        </is>
      </c>
      <c r="B1297" s="1" t="n">
        <v>46154</v>
      </c>
      <c r="C1297" s="1" t="n">
        <v>46179</v>
      </c>
      <c r="D1297" t="inlineStr">
        <is>
          <t>GÄVLEBORGS LÄN</t>
        </is>
      </c>
      <c r="E1297" t="inlineStr">
        <is>
          <t>OVANÅKER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17664-2026</t>
        </is>
      </c>
      <c r="B1298" s="1" t="n">
        <v>46121</v>
      </c>
      <c r="C1298" s="1" t="n">
        <v>46179</v>
      </c>
      <c r="D1298" t="inlineStr">
        <is>
          <t>GÄVLEBORGS LÄN</t>
        </is>
      </c>
      <c r="E1298" t="inlineStr">
        <is>
          <t>OVANÅKER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58307-2022</t>
        </is>
      </c>
      <c r="B1299" s="1" t="n">
        <v>44901.53635416667</v>
      </c>
      <c r="C1299" s="1" t="n">
        <v>46179</v>
      </c>
      <c r="D1299" t="inlineStr">
        <is>
          <t>GÄVLEBORGS LÄN</t>
        </is>
      </c>
      <c r="E1299" t="inlineStr">
        <is>
          <t>OVANÅKER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40476-2024</t>
        </is>
      </c>
      <c r="B1300" s="1" t="n">
        <v>45555.54435185185</v>
      </c>
      <c r="C1300" s="1" t="n">
        <v>46179</v>
      </c>
      <c r="D1300" t="inlineStr">
        <is>
          <t>GÄVLEBORGS LÄN</t>
        </is>
      </c>
      <c r="E1300" t="inlineStr">
        <is>
          <t>OVANÅKER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23280-2026</t>
        </is>
      </c>
      <c r="B1301" s="1" t="n">
        <v>46162.46960648148</v>
      </c>
      <c r="C1301" s="1" t="n">
        <v>46179</v>
      </c>
      <c r="D1301" t="inlineStr">
        <is>
          <t>GÄVLEBORGS LÄN</t>
        </is>
      </c>
      <c r="E1301" t="inlineStr">
        <is>
          <t>OVANÅKER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21005-2026</t>
        </is>
      </c>
      <c r="B1302" s="1" t="n">
        <v>46142</v>
      </c>
      <c r="C1302" s="1" t="n">
        <v>46179</v>
      </c>
      <c r="D1302" t="inlineStr">
        <is>
          <t>GÄVLEBORGS LÄN</t>
        </is>
      </c>
      <c r="E1302" t="inlineStr">
        <is>
          <t>OVANÅKER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20670-2026</t>
        </is>
      </c>
      <c r="B1303" s="1" t="n">
        <v>46141</v>
      </c>
      <c r="C1303" s="1" t="n">
        <v>46179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20512-2026</t>
        </is>
      </c>
      <c r="B1304" s="1" t="n">
        <v>46140</v>
      </c>
      <c r="C1304" s="1" t="n">
        <v>46179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väst AB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20525-2026</t>
        </is>
      </c>
      <c r="B1305" s="1" t="n">
        <v>46140</v>
      </c>
      <c r="C1305" s="1" t="n">
        <v>46179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väst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21100-2026</t>
        </is>
      </c>
      <c r="B1306" s="1" t="n">
        <v>46146</v>
      </c>
      <c r="C1306" s="1" t="n">
        <v>46179</v>
      </c>
      <c r="D1306" t="inlineStr">
        <is>
          <t>GÄVLEBORGS LÄN</t>
        </is>
      </c>
      <c r="E1306" t="inlineStr">
        <is>
          <t>OVANÅKER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17683-2026</t>
        </is>
      </c>
      <c r="B1307" s="1" t="n">
        <v>46121</v>
      </c>
      <c r="C1307" s="1" t="n">
        <v>46179</v>
      </c>
      <c r="D1307" t="inlineStr">
        <is>
          <t>GÄVLEBORGS LÄN</t>
        </is>
      </c>
      <c r="E1307" t="inlineStr">
        <is>
          <t>OVANÅKER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20540-2026</t>
        </is>
      </c>
      <c r="B1308" s="1" t="n">
        <v>46140</v>
      </c>
      <c r="C1308" s="1" t="n">
        <v>46179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20621-2026</t>
        </is>
      </c>
      <c r="B1309" s="1" t="n">
        <v>46141</v>
      </c>
      <c r="C1309" s="1" t="n">
        <v>46179</v>
      </c>
      <c r="D1309" t="inlineStr">
        <is>
          <t>GÄVLEBORGS LÄN</t>
        </is>
      </c>
      <c r="E1309" t="inlineStr">
        <is>
          <t>OVANÅKER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22150-2026</t>
        </is>
      </c>
      <c r="B1310" s="1" t="n">
        <v>46153</v>
      </c>
      <c r="C1310" s="1" t="n">
        <v>46179</v>
      </c>
      <c r="D1310" t="inlineStr">
        <is>
          <t>GÄVLEBORGS LÄN</t>
        </is>
      </c>
      <c r="E1310" t="inlineStr">
        <is>
          <t>OVANÅKER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17476-2026</t>
        </is>
      </c>
      <c r="B1311" s="1" t="n">
        <v>46120.52490740741</v>
      </c>
      <c r="C1311" s="1" t="n">
        <v>46179</v>
      </c>
      <c r="D1311" t="inlineStr">
        <is>
          <t>GÄVLEBORGS LÄN</t>
        </is>
      </c>
      <c r="E1311" t="inlineStr">
        <is>
          <t>OVANÅKER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8917-2026</t>
        </is>
      </c>
      <c r="B1312" s="1" t="n">
        <v>46069</v>
      </c>
      <c r="C1312" s="1" t="n">
        <v>46179</v>
      </c>
      <c r="D1312" t="inlineStr">
        <is>
          <t>GÄVLEBORGS LÄN</t>
        </is>
      </c>
      <c r="E1312" t="inlineStr">
        <is>
          <t>OVANÅKER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23348-2026</t>
        </is>
      </c>
      <c r="B1313" s="1" t="n">
        <v>46162.59775462963</v>
      </c>
      <c r="C1313" s="1" t="n">
        <v>46179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Kyrkan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21342-2026</t>
        </is>
      </c>
      <c r="B1314" s="1" t="n">
        <v>46147</v>
      </c>
      <c r="C1314" s="1" t="n">
        <v>46179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23580-2026</t>
        </is>
      </c>
      <c r="B1315" s="1" t="n">
        <v>46163.61025462963</v>
      </c>
      <c r="C1315" s="1" t="n">
        <v>46179</v>
      </c>
      <c r="D1315" t="inlineStr">
        <is>
          <t>GÄVLEBORGS LÄN</t>
        </is>
      </c>
      <c r="E1315" t="inlineStr">
        <is>
          <t>OVANÅKER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59718-2021</t>
        </is>
      </c>
      <c r="B1316" s="1" t="n">
        <v>44494</v>
      </c>
      <c r="C1316" s="1" t="n">
        <v>46179</v>
      </c>
      <c r="D1316" t="inlineStr">
        <is>
          <t>GÄVLEBORGS LÄN</t>
        </is>
      </c>
      <c r="E1316" t="inlineStr">
        <is>
          <t>OVANÅKER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23361-2026</t>
        </is>
      </c>
      <c r="B1317" s="1" t="n">
        <v>46162</v>
      </c>
      <c r="C1317" s="1" t="n">
        <v>46179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22165-2026</t>
        </is>
      </c>
      <c r="B1318" s="1" t="n">
        <v>46153</v>
      </c>
      <c r="C1318" s="1" t="n">
        <v>46179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18006-2026</t>
        </is>
      </c>
      <c r="B1319" s="1" t="n">
        <v>46125</v>
      </c>
      <c r="C1319" s="1" t="n">
        <v>46179</v>
      </c>
      <c r="D1319" t="inlineStr">
        <is>
          <t>GÄVLEBORGS LÄN</t>
        </is>
      </c>
      <c r="E1319" t="inlineStr">
        <is>
          <t>OVANÅKER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18085-2026</t>
        </is>
      </c>
      <c r="B1320" s="1" t="n">
        <v>46125</v>
      </c>
      <c r="C1320" s="1" t="n">
        <v>46179</v>
      </c>
      <c r="D1320" t="inlineStr">
        <is>
          <t>GÄVLEBORGS LÄN</t>
        </is>
      </c>
      <c r="E1320" t="inlineStr">
        <is>
          <t>OVANÅKER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21957-2026</t>
        </is>
      </c>
      <c r="B1321" s="1" t="n">
        <v>46152</v>
      </c>
      <c r="C1321" s="1" t="n">
        <v>46179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22675-2026</t>
        </is>
      </c>
      <c r="B1322" s="1" t="n">
        <v>46156</v>
      </c>
      <c r="C1322" s="1" t="n">
        <v>46179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18134-2026</t>
        </is>
      </c>
      <c r="B1323" s="1" t="n">
        <v>46125</v>
      </c>
      <c r="C1323" s="1" t="n">
        <v>46179</v>
      </c>
      <c r="D1323" t="inlineStr">
        <is>
          <t>GÄVLEBORGS LÄN</t>
        </is>
      </c>
      <c r="E1323" t="inlineStr">
        <is>
          <t>OVANÅKER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23763-2026</t>
        </is>
      </c>
      <c r="B1324" s="1" t="n">
        <v>46164.55644675926</v>
      </c>
      <c r="C1324" s="1" t="n">
        <v>46179</v>
      </c>
      <c r="D1324" t="inlineStr">
        <is>
          <t>GÄVLEBORGS LÄN</t>
        </is>
      </c>
      <c r="E1324" t="inlineStr">
        <is>
          <t>OVANÅKER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21956-2026</t>
        </is>
      </c>
      <c r="B1325" s="1" t="n">
        <v>46152</v>
      </c>
      <c r="C1325" s="1" t="n">
        <v>46179</v>
      </c>
      <c r="D1325" t="inlineStr">
        <is>
          <t>GÄVLEBORGS LÄN</t>
        </is>
      </c>
      <c r="E1325" t="inlineStr">
        <is>
          <t>OVANÅKER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21958-2026</t>
        </is>
      </c>
      <c r="B1326" s="1" t="n">
        <v>46152</v>
      </c>
      <c r="C1326" s="1" t="n">
        <v>46179</v>
      </c>
      <c r="D1326" t="inlineStr">
        <is>
          <t>GÄVLEBORGS LÄN</t>
        </is>
      </c>
      <c r="E1326" t="inlineStr">
        <is>
          <t>OVANÅKER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17873-2026</t>
        </is>
      </c>
      <c r="B1327" s="1" t="n">
        <v>46122</v>
      </c>
      <c r="C1327" s="1" t="n">
        <v>46179</v>
      </c>
      <c r="D1327" t="inlineStr">
        <is>
          <t>GÄVLEBORGS LÄN</t>
        </is>
      </c>
      <c r="E1327" t="inlineStr">
        <is>
          <t>OVANÅKER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23908-2026</t>
        </is>
      </c>
      <c r="B1328" s="1" t="n">
        <v>46167.48109953704</v>
      </c>
      <c r="C1328" s="1" t="n">
        <v>46179</v>
      </c>
      <c r="D1328" t="inlineStr">
        <is>
          <t>GÄVLEBORGS LÄN</t>
        </is>
      </c>
      <c r="E1328" t="inlineStr">
        <is>
          <t>OVANÅKER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21458-2026</t>
        </is>
      </c>
      <c r="B1329" s="1" t="n">
        <v>46148</v>
      </c>
      <c r="C1329" s="1" t="n">
        <v>46179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28606-2023</t>
        </is>
      </c>
      <c r="B1330" s="1" t="n">
        <v>45103</v>
      </c>
      <c r="C1330" s="1" t="n">
        <v>46179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22437-2026</t>
        </is>
      </c>
      <c r="B1331" s="1" t="n">
        <v>46155</v>
      </c>
      <c r="C1331" s="1" t="n">
        <v>46179</v>
      </c>
      <c r="D1331" t="inlineStr">
        <is>
          <t>GÄVLEBORGS LÄN</t>
        </is>
      </c>
      <c r="E1331" t="inlineStr">
        <is>
          <t>OVANÅKER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18166-2026</t>
        </is>
      </c>
      <c r="B1332" s="1" t="n">
        <v>46125</v>
      </c>
      <c r="C1332" s="1" t="n">
        <v>46179</v>
      </c>
      <c r="D1332" t="inlineStr">
        <is>
          <t>GÄVLEBORGS LÄN</t>
        </is>
      </c>
      <c r="E1332" t="inlineStr">
        <is>
          <t>OVANÅKER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62362-2022</t>
        </is>
      </c>
      <c r="B1333" s="1" t="n">
        <v>44923</v>
      </c>
      <c r="C1333" s="1" t="n">
        <v>46179</v>
      </c>
      <c r="D1333" t="inlineStr">
        <is>
          <t>GÄVLEBORGS LÄN</t>
        </is>
      </c>
      <c r="E1333" t="inlineStr">
        <is>
          <t>OVANÅKER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1198-2024</t>
        </is>
      </c>
      <c r="B1334" s="1" t="n">
        <v>45302.6066087963</v>
      </c>
      <c r="C1334" s="1" t="n">
        <v>46179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17794-2026</t>
        </is>
      </c>
      <c r="B1335" s="1" t="n">
        <v>46122</v>
      </c>
      <c r="C1335" s="1" t="n">
        <v>46179</v>
      </c>
      <c r="D1335" t="inlineStr">
        <is>
          <t>GÄVLEBORGS LÄN</t>
        </is>
      </c>
      <c r="E1335" t="inlineStr">
        <is>
          <t>OVANÅKER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45778-2022</t>
        </is>
      </c>
      <c r="B1336" s="1" t="n">
        <v>44846.42177083333</v>
      </c>
      <c r="C1336" s="1" t="n">
        <v>46179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22237-2026</t>
        </is>
      </c>
      <c r="B1337" s="1" t="n">
        <v>46154</v>
      </c>
      <c r="C1337" s="1" t="n">
        <v>46179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33225-2023</t>
        </is>
      </c>
      <c r="B1338" s="1" t="n">
        <v>45127.47550925926</v>
      </c>
      <c r="C1338" s="1" t="n">
        <v>46179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öst AB</t>
        </is>
      </c>
      <c r="G1338" t="n">
        <v>19.8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17137-2024</t>
        </is>
      </c>
      <c r="B1339" s="1" t="n">
        <v>45412.62738425926</v>
      </c>
      <c r="C1339" s="1" t="n">
        <v>46179</v>
      </c>
      <c r="D1339" t="inlineStr">
        <is>
          <t>GÄVLEBORGS LÄN</t>
        </is>
      </c>
      <c r="E1339" t="inlineStr">
        <is>
          <t>OVANÅKER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23653-2026</t>
        </is>
      </c>
      <c r="B1340" s="1" t="n">
        <v>46164</v>
      </c>
      <c r="C1340" s="1" t="n">
        <v>46179</v>
      </c>
      <c r="D1340" t="inlineStr">
        <is>
          <t>GÄVLEBORGS LÄN</t>
        </is>
      </c>
      <c r="E1340" t="inlineStr">
        <is>
          <t>OVANÅKER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21430-2026</t>
        </is>
      </c>
      <c r="B1341" s="1" t="n">
        <v>46148</v>
      </c>
      <c r="C1341" s="1" t="n">
        <v>46179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20730-2026</t>
        </is>
      </c>
      <c r="B1342" s="1" t="n">
        <v>46141</v>
      </c>
      <c r="C1342" s="1" t="n">
        <v>46179</v>
      </c>
      <c r="D1342" t="inlineStr">
        <is>
          <t>GÄVLEBORGS LÄN</t>
        </is>
      </c>
      <c r="E1342" t="inlineStr">
        <is>
          <t>OVANÅKER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17861-2026</t>
        </is>
      </c>
      <c r="B1343" s="1" t="n">
        <v>46122</v>
      </c>
      <c r="C1343" s="1" t="n">
        <v>46179</v>
      </c>
      <c r="D1343" t="inlineStr">
        <is>
          <t>GÄVLEBORGS LÄN</t>
        </is>
      </c>
      <c r="E1343" t="inlineStr">
        <is>
          <t>OVANÅKER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18102-2026</t>
        </is>
      </c>
      <c r="B1344" s="1" t="n">
        <v>46125</v>
      </c>
      <c r="C1344" s="1" t="n">
        <v>46179</v>
      </c>
      <c r="D1344" t="inlineStr">
        <is>
          <t>GÄVLEBORGS LÄN</t>
        </is>
      </c>
      <c r="E1344" t="inlineStr">
        <is>
          <t>OVANÅKER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18500-2026</t>
        </is>
      </c>
      <c r="B1345" s="1" t="n">
        <v>46127</v>
      </c>
      <c r="C1345" s="1" t="n">
        <v>46179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20420-2026</t>
        </is>
      </c>
      <c r="B1346" s="1" t="n">
        <v>46140</v>
      </c>
      <c r="C1346" s="1" t="n">
        <v>46179</v>
      </c>
      <c r="D1346" t="inlineStr">
        <is>
          <t>GÄVLEBORGS LÄN</t>
        </is>
      </c>
      <c r="E1346" t="inlineStr">
        <is>
          <t>OVANÅKER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22884-2026</t>
        </is>
      </c>
      <c r="B1347" s="1" t="n">
        <v>46160</v>
      </c>
      <c r="C1347" s="1" t="n">
        <v>46179</v>
      </c>
      <c r="D1347" t="inlineStr">
        <is>
          <t>GÄVLEBORGS LÄN</t>
        </is>
      </c>
      <c r="E1347" t="inlineStr">
        <is>
          <t>OVANÅKER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50637-2022</t>
        </is>
      </c>
      <c r="B1348" s="1" t="n">
        <v>44866.9324537037</v>
      </c>
      <c r="C1348" s="1" t="n">
        <v>46179</v>
      </c>
      <c r="D1348" t="inlineStr">
        <is>
          <t>GÄVLEBORGS LÄN</t>
        </is>
      </c>
      <c r="E1348" t="inlineStr">
        <is>
          <t>OVANÅKER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18324-2026</t>
        </is>
      </c>
      <c r="B1349" s="1" t="n">
        <v>46126.49027777778</v>
      </c>
      <c r="C1349" s="1" t="n">
        <v>46179</v>
      </c>
      <c r="D1349" t="inlineStr">
        <is>
          <t>GÄVLEBORGS LÄN</t>
        </is>
      </c>
      <c r="E1349" t="inlineStr">
        <is>
          <t>OVANÅKER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18555-2026</t>
        </is>
      </c>
      <c r="B1350" s="1" t="n">
        <v>46127.57513888889</v>
      </c>
      <c r="C1350" s="1" t="n">
        <v>46179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18335-2026</t>
        </is>
      </c>
      <c r="B1351" s="1" t="n">
        <v>46126</v>
      </c>
      <c r="C1351" s="1" t="n">
        <v>46179</v>
      </c>
      <c r="D1351" t="inlineStr">
        <is>
          <t>GÄVLEBORGS LÄN</t>
        </is>
      </c>
      <c r="E1351" t="inlineStr">
        <is>
          <t>OVANÅKER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18252-2026</t>
        </is>
      </c>
      <c r="B1352" s="1" t="n">
        <v>46126.36090277778</v>
      </c>
      <c r="C1352" s="1" t="n">
        <v>46179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18563-2026</t>
        </is>
      </c>
      <c r="B1353" s="1" t="n">
        <v>46127.58581018518</v>
      </c>
      <c r="C1353" s="1" t="n">
        <v>46179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11986-2026</t>
        </is>
      </c>
      <c r="B1354" s="1" t="n">
        <v>46085</v>
      </c>
      <c r="C1354" s="1" t="n">
        <v>46179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23879-2026</t>
        </is>
      </c>
      <c r="B1355" s="1" t="n">
        <v>46167</v>
      </c>
      <c r="C1355" s="1" t="n">
        <v>46179</v>
      </c>
      <c r="D1355" t="inlineStr">
        <is>
          <t>GÄVLEBORGS LÄN</t>
        </is>
      </c>
      <c r="E1355" t="inlineStr">
        <is>
          <t>OVANÅKER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23887-2026</t>
        </is>
      </c>
      <c r="B1356" s="1" t="n">
        <v>46167</v>
      </c>
      <c r="C1356" s="1" t="n">
        <v>46179</v>
      </c>
      <c r="D1356" t="inlineStr">
        <is>
          <t>GÄVLEBORGS LÄN</t>
        </is>
      </c>
      <c r="E1356" t="inlineStr">
        <is>
          <t>OVANÅKER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10986-2026</t>
        </is>
      </c>
      <c r="B1357" s="1" t="n">
        <v>46079</v>
      </c>
      <c r="C1357" s="1" t="n">
        <v>46179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926-2022</t>
        </is>
      </c>
      <c r="B1358" s="1" t="n">
        <v>44571</v>
      </c>
      <c r="C1358" s="1" t="n">
        <v>46179</v>
      </c>
      <c r="D1358" t="inlineStr">
        <is>
          <t>GÄVLEBORGS LÄN</t>
        </is>
      </c>
      <c r="E1358" t="inlineStr">
        <is>
          <t>OVANÅKER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18487-2026</t>
        </is>
      </c>
      <c r="B1359" s="1" t="n">
        <v>46127</v>
      </c>
      <c r="C1359" s="1" t="n">
        <v>46179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18323-2026</t>
        </is>
      </c>
      <c r="B1360" s="1" t="n">
        <v>46126.48560185185</v>
      </c>
      <c r="C1360" s="1" t="n">
        <v>46179</v>
      </c>
      <c r="D1360" t="inlineStr">
        <is>
          <t>GÄVLEBORGS LÄN</t>
        </is>
      </c>
      <c r="E1360" t="inlineStr">
        <is>
          <t>OVANÅKER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24137-2026</t>
        </is>
      </c>
      <c r="B1361" s="1" t="n">
        <v>46168.45962962963</v>
      </c>
      <c r="C1361" s="1" t="n">
        <v>46179</v>
      </c>
      <c r="D1361" t="inlineStr">
        <is>
          <t>GÄVLEBORGS LÄN</t>
        </is>
      </c>
      <c r="E1361" t="inlineStr">
        <is>
          <t>OVANÅKER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11608-2026</t>
        </is>
      </c>
      <c r="B1362" s="1" t="n">
        <v>46084</v>
      </c>
      <c r="C1362" s="1" t="n">
        <v>46179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3453-2023</t>
        </is>
      </c>
      <c r="B1363" s="1" t="n">
        <v>44949.62175925926</v>
      </c>
      <c r="C1363" s="1" t="n">
        <v>46179</v>
      </c>
      <c r="D1363" t="inlineStr">
        <is>
          <t>GÄVLEBORGS LÄN</t>
        </is>
      </c>
      <c r="E1363" t="inlineStr">
        <is>
          <t>OVANÅKER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24257-2026</t>
        </is>
      </c>
      <c r="B1364" s="1" t="n">
        <v>46169.31241898148</v>
      </c>
      <c r="C1364" s="1" t="n">
        <v>46179</v>
      </c>
      <c r="D1364" t="inlineStr">
        <is>
          <t>GÄVLEBORGS LÄN</t>
        </is>
      </c>
      <c r="E1364" t="inlineStr">
        <is>
          <t>OVANÅKER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59998-2022</t>
        </is>
      </c>
      <c r="B1365" s="1" t="n">
        <v>44909</v>
      </c>
      <c r="C1365" s="1" t="n">
        <v>46179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5174-2026</t>
        </is>
      </c>
      <c r="B1366" s="1" t="n">
        <v>46049</v>
      </c>
      <c r="C1366" s="1" t="n">
        <v>46179</v>
      </c>
      <c r="D1366" t="inlineStr">
        <is>
          <t>GÄVLEBORGS LÄN</t>
        </is>
      </c>
      <c r="E1366" t="inlineStr">
        <is>
          <t>OVANÅKER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13047-2023</t>
        </is>
      </c>
      <c r="B1367" s="1" t="n">
        <v>45002</v>
      </c>
      <c r="C1367" s="1" t="n">
        <v>46179</v>
      </c>
      <c r="D1367" t="inlineStr">
        <is>
          <t>GÄVLEBORGS LÄN</t>
        </is>
      </c>
      <c r="E1367" t="inlineStr">
        <is>
          <t>OVANÅKER</t>
        </is>
      </c>
      <c r="G1367" t="n">
        <v>0.2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6655-2026</t>
        </is>
      </c>
      <c r="B1368" s="1" t="n">
        <v>46056</v>
      </c>
      <c r="C1368" s="1" t="n">
        <v>46179</v>
      </c>
      <c r="D1368" t="inlineStr">
        <is>
          <t>GÄVLEBORGS LÄN</t>
        </is>
      </c>
      <c r="E1368" t="inlineStr">
        <is>
          <t>OVANÅKER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11695-2026</t>
        </is>
      </c>
      <c r="B1369" s="1" t="n">
        <v>46084</v>
      </c>
      <c r="C1369" s="1" t="n">
        <v>46179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öst AB</t>
        </is>
      </c>
      <c r="G1369" t="n">
        <v>13.9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12073-2026</t>
        </is>
      </c>
      <c r="B1370" s="1" t="n">
        <v>46086</v>
      </c>
      <c r="C1370" s="1" t="n">
        <v>46179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24200-2026</t>
        </is>
      </c>
      <c r="B1371" s="1" t="n">
        <v>46168.61590277778</v>
      </c>
      <c r="C1371" s="1" t="n">
        <v>46179</v>
      </c>
      <c r="D1371" t="inlineStr">
        <is>
          <t>GÄVLEBORGS LÄN</t>
        </is>
      </c>
      <c r="E1371" t="inlineStr">
        <is>
          <t>OVANÅKER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22897-2026</t>
        </is>
      </c>
      <c r="B1372" s="1" t="n">
        <v>46160</v>
      </c>
      <c r="C1372" s="1" t="n">
        <v>46179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18230-2026</t>
        </is>
      </c>
      <c r="B1373" s="1" t="n">
        <v>46126.33142361111</v>
      </c>
      <c r="C1373" s="1" t="n">
        <v>46179</v>
      </c>
      <c r="D1373" t="inlineStr">
        <is>
          <t>GÄVLEBORGS LÄN</t>
        </is>
      </c>
      <c r="E1373" t="inlineStr">
        <is>
          <t>OVANÅKER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18490-2026</t>
        </is>
      </c>
      <c r="B1374" s="1" t="n">
        <v>46127</v>
      </c>
      <c r="C1374" s="1" t="n">
        <v>46179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18726-2026</t>
        </is>
      </c>
      <c r="B1375" s="1" t="n">
        <v>46128</v>
      </c>
      <c r="C1375" s="1" t="n">
        <v>46179</v>
      </c>
      <c r="D1375" t="inlineStr">
        <is>
          <t>GÄVLEBORGS LÄN</t>
        </is>
      </c>
      <c r="E1375" t="inlineStr">
        <is>
          <t>OVANÅKER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18738-2026</t>
        </is>
      </c>
      <c r="B1376" s="1" t="n">
        <v>46128</v>
      </c>
      <c r="C1376" s="1" t="n">
        <v>46179</v>
      </c>
      <c r="D1376" t="inlineStr">
        <is>
          <t>GÄVLEBORGS LÄN</t>
        </is>
      </c>
      <c r="E1376" t="inlineStr">
        <is>
          <t>OVANÅKER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18801-2026</t>
        </is>
      </c>
      <c r="B1377" s="1" t="n">
        <v>46128</v>
      </c>
      <c r="C1377" s="1" t="n">
        <v>46179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24433-2026</t>
        </is>
      </c>
      <c r="B1378" s="1" t="n">
        <v>46170.28804398148</v>
      </c>
      <c r="C1378" s="1" t="n">
        <v>46179</v>
      </c>
      <c r="D1378" t="inlineStr">
        <is>
          <t>GÄVLEBORGS LÄN</t>
        </is>
      </c>
      <c r="E1378" t="inlineStr">
        <is>
          <t>OVANÅKER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59186-2022</t>
        </is>
      </c>
      <c r="B1379" s="1" t="n">
        <v>44904.49101851852</v>
      </c>
      <c r="C1379" s="1" t="n">
        <v>46179</v>
      </c>
      <c r="D1379" t="inlineStr">
        <is>
          <t>GÄVLEBORGS LÄN</t>
        </is>
      </c>
      <c r="E1379" t="inlineStr">
        <is>
          <t>OVANÅKER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10888-2025</t>
        </is>
      </c>
      <c r="B1380" s="1" t="n">
        <v>45722.67070601852</v>
      </c>
      <c r="C1380" s="1" t="n">
        <v>46179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30893-2023</t>
        </is>
      </c>
      <c r="B1381" s="1" t="n">
        <v>45113.39641203704</v>
      </c>
      <c r="C1381" s="1" t="n">
        <v>46179</v>
      </c>
      <c r="D1381" t="inlineStr">
        <is>
          <t>GÄVLEBORGS LÄN</t>
        </is>
      </c>
      <c r="E1381" t="inlineStr">
        <is>
          <t>OVANÅKER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66403-2021</t>
        </is>
      </c>
      <c r="B1382" s="1" t="n">
        <v>44518.65586805555</v>
      </c>
      <c r="C1382" s="1" t="n">
        <v>46179</v>
      </c>
      <c r="D1382" t="inlineStr">
        <is>
          <t>GÄVLEBORGS LÄN</t>
        </is>
      </c>
      <c r="E1382" t="inlineStr">
        <is>
          <t>OVANÅKER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46210-2023</t>
        </is>
      </c>
      <c r="B1383" s="1" t="n">
        <v>45196.65177083333</v>
      </c>
      <c r="C1383" s="1" t="n">
        <v>46179</v>
      </c>
      <c r="D1383" t="inlineStr">
        <is>
          <t>GÄVLEBORGS LÄN</t>
        </is>
      </c>
      <c r="E1383" t="inlineStr">
        <is>
          <t>OVANÅKER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16212-2026</t>
        </is>
      </c>
      <c r="B1384" s="1" t="n">
        <v>46111</v>
      </c>
      <c r="C1384" s="1" t="n">
        <v>46179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öst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15298-2026</t>
        </is>
      </c>
      <c r="B1385" s="1" t="n">
        <v>46105</v>
      </c>
      <c r="C1385" s="1" t="n">
        <v>46179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22969-2026</t>
        </is>
      </c>
      <c r="B1386" s="1" t="n">
        <v>46160</v>
      </c>
      <c r="C1386" s="1" t="n">
        <v>46179</v>
      </c>
      <c r="D1386" t="inlineStr">
        <is>
          <t>GÄVLEBORGS LÄN</t>
        </is>
      </c>
      <c r="E1386" t="inlineStr">
        <is>
          <t>OVANÅKER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15204-2026</t>
        </is>
      </c>
      <c r="B1387" s="1" t="n">
        <v>46105</v>
      </c>
      <c r="C1387" s="1" t="n">
        <v>46179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16170-2026</t>
        </is>
      </c>
      <c r="B1388" s="1" t="n">
        <v>46111</v>
      </c>
      <c r="C1388" s="1" t="n">
        <v>46179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öst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49178-2023</t>
        </is>
      </c>
      <c r="B1389" s="1" t="n">
        <v>45210</v>
      </c>
      <c r="C1389" s="1" t="n">
        <v>46179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16179-2026</t>
        </is>
      </c>
      <c r="B1390" s="1" t="n">
        <v>46111</v>
      </c>
      <c r="C1390" s="1" t="n">
        <v>46179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öst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1072-2025</t>
        </is>
      </c>
      <c r="B1391" s="1" t="n">
        <v>45666.59835648148</v>
      </c>
      <c r="C1391" s="1" t="n">
        <v>46179</v>
      </c>
      <c r="D1391" t="inlineStr">
        <is>
          <t>GÄVLEBORGS LÄN</t>
        </is>
      </c>
      <c r="E1391" t="inlineStr">
        <is>
          <t>OVANÅKER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59729-2023</t>
        </is>
      </c>
      <c r="B1392" s="1" t="n">
        <v>45257.36038194445</v>
      </c>
      <c r="C1392" s="1" t="n">
        <v>46179</v>
      </c>
      <c r="D1392" t="inlineStr">
        <is>
          <t>GÄVLEBORGS LÄN</t>
        </is>
      </c>
      <c r="E1392" t="inlineStr">
        <is>
          <t>OVANÅKER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50769-2023</t>
        </is>
      </c>
      <c r="B1393" s="1" t="n">
        <v>45217.62091435185</v>
      </c>
      <c r="C1393" s="1" t="n">
        <v>46179</v>
      </c>
      <c r="D1393" t="inlineStr">
        <is>
          <t>GÄVLEBORGS LÄN</t>
        </is>
      </c>
      <c r="E1393" t="inlineStr">
        <is>
          <t>OVANÅKER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52608-2021</t>
        </is>
      </c>
      <c r="B1394" s="1" t="n">
        <v>44466.599375</v>
      </c>
      <c r="C1394" s="1" t="n">
        <v>46179</v>
      </c>
      <c r="D1394" t="inlineStr">
        <is>
          <t>GÄVLEBORGS LÄN</t>
        </is>
      </c>
      <c r="E1394" t="inlineStr">
        <is>
          <t>OVANÅKER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69007-2021</t>
        </is>
      </c>
      <c r="B1395" s="1" t="n">
        <v>44530.59005787037</v>
      </c>
      <c r="C1395" s="1" t="n">
        <v>46179</v>
      </c>
      <c r="D1395" t="inlineStr">
        <is>
          <t>GÄVLEBORGS LÄN</t>
        </is>
      </c>
      <c r="E1395" t="inlineStr">
        <is>
          <t>OVANÅKER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18899-2026</t>
        </is>
      </c>
      <c r="B1396" s="1" t="n">
        <v>46129</v>
      </c>
      <c r="C1396" s="1" t="n">
        <v>46179</v>
      </c>
      <c r="D1396" t="inlineStr">
        <is>
          <t>GÄVLEBORGS LÄN</t>
        </is>
      </c>
      <c r="E1396" t="inlineStr">
        <is>
          <t>OVANÅKER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18964-2026</t>
        </is>
      </c>
      <c r="B1397" s="1" t="n">
        <v>46129</v>
      </c>
      <c r="C1397" s="1" t="n">
        <v>46179</v>
      </c>
      <c r="D1397" t="inlineStr">
        <is>
          <t>GÄVLEBORGS LÄN</t>
        </is>
      </c>
      <c r="E1397" t="inlineStr">
        <is>
          <t>OVANÅKER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15027-2026</t>
        </is>
      </c>
      <c r="B1398" s="1" t="n">
        <v>46104</v>
      </c>
      <c r="C1398" s="1" t="n">
        <v>46179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16306-2026</t>
        </is>
      </c>
      <c r="B1399" s="1" t="n">
        <v>46111</v>
      </c>
      <c r="C1399" s="1" t="n">
        <v>46179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15472-2026</t>
        </is>
      </c>
      <c r="B1400" s="1" t="n">
        <v>46106</v>
      </c>
      <c r="C1400" s="1" t="n">
        <v>46179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16968-2023</t>
        </is>
      </c>
      <c r="B1401" s="1" t="n">
        <v>45033</v>
      </c>
      <c r="C1401" s="1" t="n">
        <v>46179</v>
      </c>
      <c r="D1401" t="inlineStr">
        <is>
          <t>GÄVLEBORGS LÄN</t>
        </is>
      </c>
      <c r="E1401" t="inlineStr">
        <is>
          <t>OVANÅKER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9010-2023</t>
        </is>
      </c>
      <c r="B1402" s="1" t="n">
        <v>44979</v>
      </c>
      <c r="C1402" s="1" t="n">
        <v>46179</v>
      </c>
      <c r="D1402" t="inlineStr">
        <is>
          <t>GÄVLEBORGS LÄN</t>
        </is>
      </c>
      <c r="E1402" t="inlineStr">
        <is>
          <t>OVANÅKER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45947-2022</t>
        </is>
      </c>
      <c r="B1403" s="1" t="n">
        <v>44846.65460648148</v>
      </c>
      <c r="C1403" s="1" t="n">
        <v>46179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25058-2022</t>
        </is>
      </c>
      <c r="B1404" s="1" t="n">
        <v>44729.31721064815</v>
      </c>
      <c r="C1404" s="1" t="n">
        <v>46179</v>
      </c>
      <c r="D1404" t="inlineStr">
        <is>
          <t>GÄVLEBORGS LÄN</t>
        </is>
      </c>
      <c r="E1404" t="inlineStr">
        <is>
          <t>OVANÅKER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19163-2024</t>
        </is>
      </c>
      <c r="B1405" s="1" t="n">
        <v>45428</v>
      </c>
      <c r="C1405" s="1" t="n">
        <v>46179</v>
      </c>
      <c r="D1405" t="inlineStr">
        <is>
          <t>GÄVLEBORGS LÄN</t>
        </is>
      </c>
      <c r="E1405" t="inlineStr">
        <is>
          <t>OVANÅKER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18545-2025</t>
        </is>
      </c>
      <c r="B1406" s="1" t="n">
        <v>45763.42251157408</v>
      </c>
      <c r="C1406" s="1" t="n">
        <v>46179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Holmen skog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31175-2024</t>
        </is>
      </c>
      <c r="B1407" s="1" t="n">
        <v>45503</v>
      </c>
      <c r="C1407" s="1" t="n">
        <v>46179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24032-2024</t>
        </is>
      </c>
      <c r="B1408" s="1" t="n">
        <v>45456.46153935185</v>
      </c>
      <c r="C1408" s="1" t="n">
        <v>46179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36794-2023</t>
        </is>
      </c>
      <c r="B1409" s="1" t="n">
        <v>45154</v>
      </c>
      <c r="C1409" s="1" t="n">
        <v>46179</v>
      </c>
      <c r="D1409" t="inlineStr">
        <is>
          <t>GÄVLEBORGS LÄN</t>
        </is>
      </c>
      <c r="E1409" t="inlineStr">
        <is>
          <t>OVANÅKER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44347-2023</t>
        </is>
      </c>
      <c r="B1410" s="1" t="n">
        <v>45188.72041666666</v>
      </c>
      <c r="C1410" s="1" t="n">
        <v>46179</v>
      </c>
      <c r="D1410" t="inlineStr">
        <is>
          <t>GÄVLEBORGS LÄN</t>
        </is>
      </c>
      <c r="E1410" t="inlineStr">
        <is>
          <t>OVANÅKER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25411-2024</t>
        </is>
      </c>
      <c r="B1411" s="1" t="n">
        <v>45463.35957175926</v>
      </c>
      <c r="C1411" s="1" t="n">
        <v>46179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34298-2021</t>
        </is>
      </c>
      <c r="B1412" s="1" t="n">
        <v>44379</v>
      </c>
      <c r="C1412" s="1" t="n">
        <v>46179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Holmen skog AB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39249-2024</t>
        </is>
      </c>
      <c r="B1413" s="1" t="n">
        <v>45551.31310185185</v>
      </c>
      <c r="C1413" s="1" t="n">
        <v>46179</v>
      </c>
      <c r="D1413" t="inlineStr">
        <is>
          <t>GÄVLEBORGS LÄN</t>
        </is>
      </c>
      <c r="E1413" t="inlineStr">
        <is>
          <t>OVANÅKER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27320-2023</t>
        </is>
      </c>
      <c r="B1414" s="1" t="n">
        <v>45096.66672453703</v>
      </c>
      <c r="C1414" s="1" t="n">
        <v>46179</v>
      </c>
      <c r="D1414" t="inlineStr">
        <is>
          <t>GÄVLEBORGS LÄN</t>
        </is>
      </c>
      <c r="E1414" t="inlineStr">
        <is>
          <t>OVANÅKER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13141-2024</t>
        </is>
      </c>
      <c r="B1415" s="1" t="n">
        <v>45386.34681712963</v>
      </c>
      <c r="C1415" s="1" t="n">
        <v>46179</v>
      </c>
      <c r="D1415" t="inlineStr">
        <is>
          <t>GÄVLEBORGS LÄN</t>
        </is>
      </c>
      <c r="E1415" t="inlineStr">
        <is>
          <t>OVANÅKER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53174-2022</t>
        </is>
      </c>
      <c r="B1416" s="1" t="n">
        <v>44876</v>
      </c>
      <c r="C1416" s="1" t="n">
        <v>46179</v>
      </c>
      <c r="D1416" t="inlineStr">
        <is>
          <t>GÄVLEBORGS LÄN</t>
        </is>
      </c>
      <c r="E1416" t="inlineStr">
        <is>
          <t>OVANÅKER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48282-2023</t>
        </is>
      </c>
      <c r="B1417" s="1" t="n">
        <v>45205</v>
      </c>
      <c r="C1417" s="1" t="n">
        <v>46179</v>
      </c>
      <c r="D1417" t="inlineStr">
        <is>
          <t>GÄVLEBORGS LÄN</t>
        </is>
      </c>
      <c r="E1417" t="inlineStr">
        <is>
          <t>OVANÅKER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57776-2022</t>
        </is>
      </c>
      <c r="B1418" s="1" t="n">
        <v>44897</v>
      </c>
      <c r="C1418" s="1" t="n">
        <v>46179</v>
      </c>
      <c r="D1418" t="inlineStr">
        <is>
          <t>GÄVLEBORGS LÄN</t>
        </is>
      </c>
      <c r="E1418" t="inlineStr">
        <is>
          <t>OVANÅKER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19963-2025</t>
        </is>
      </c>
      <c r="B1419" s="1" t="n">
        <v>45771.67196759259</v>
      </c>
      <c r="C1419" s="1" t="n">
        <v>46179</v>
      </c>
      <c r="D1419" t="inlineStr">
        <is>
          <t>GÄVLEBORGS LÄN</t>
        </is>
      </c>
      <c r="E1419" t="inlineStr">
        <is>
          <t>OVANÅKER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18734-2026</t>
        </is>
      </c>
      <c r="B1420" s="1" t="n">
        <v>46128</v>
      </c>
      <c r="C1420" s="1" t="n">
        <v>46179</v>
      </c>
      <c r="D1420" t="inlineStr">
        <is>
          <t>GÄVLEBORGS LÄN</t>
        </is>
      </c>
      <c r="E1420" t="inlineStr">
        <is>
          <t>OVANÅKER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17384-2023</t>
        </is>
      </c>
      <c r="B1421" s="1" t="n">
        <v>45035</v>
      </c>
      <c r="C1421" s="1" t="n">
        <v>46179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38144-2023</t>
        </is>
      </c>
      <c r="B1422" s="1" t="n">
        <v>45161.37980324074</v>
      </c>
      <c r="C1422" s="1" t="n">
        <v>46179</v>
      </c>
      <c r="D1422" t="inlineStr">
        <is>
          <t>GÄVLEBORGS LÄN</t>
        </is>
      </c>
      <c r="E1422" t="inlineStr">
        <is>
          <t>OVANÅKER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24967-2026</t>
        </is>
      </c>
      <c r="B1423" s="1" t="n">
        <v>46174.57625</v>
      </c>
      <c r="C1423" s="1" t="n">
        <v>46179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18855-2026</t>
        </is>
      </c>
      <c r="B1424" s="1" t="n">
        <v>46129</v>
      </c>
      <c r="C1424" s="1" t="n">
        <v>46179</v>
      </c>
      <c r="D1424" t="inlineStr">
        <is>
          <t>GÄVLEBORGS LÄN</t>
        </is>
      </c>
      <c r="E1424" t="inlineStr">
        <is>
          <t>OVANÅKER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39540-2024</t>
        </is>
      </c>
      <c r="B1425" s="1" t="n">
        <v>45551.92954861111</v>
      </c>
      <c r="C1425" s="1" t="n">
        <v>46179</v>
      </c>
      <c r="D1425" t="inlineStr">
        <is>
          <t>GÄVLEBORGS LÄN</t>
        </is>
      </c>
      <c r="E1425" t="inlineStr">
        <is>
          <t>OVANÅKER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24973-2026</t>
        </is>
      </c>
      <c r="B1426" s="1" t="n">
        <v>46174.58100694444</v>
      </c>
      <c r="C1426" s="1" t="n">
        <v>46179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16180-2026</t>
        </is>
      </c>
      <c r="B1427" s="1" t="n">
        <v>46111</v>
      </c>
      <c r="C1427" s="1" t="n">
        <v>46179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16181-2026</t>
        </is>
      </c>
      <c r="B1428" s="1" t="n">
        <v>46111</v>
      </c>
      <c r="C1428" s="1" t="n">
        <v>46179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17618-2025</t>
        </is>
      </c>
      <c r="B1429" s="1" t="n">
        <v>45757.8506712963</v>
      </c>
      <c r="C1429" s="1" t="n">
        <v>46179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1570-2024</t>
        </is>
      </c>
      <c r="B1430" s="1" t="n">
        <v>45306</v>
      </c>
      <c r="C1430" s="1" t="n">
        <v>46179</v>
      </c>
      <c r="D1430" t="inlineStr">
        <is>
          <t>GÄVLEBORGS LÄN</t>
        </is>
      </c>
      <c r="E1430" t="inlineStr">
        <is>
          <t>OVANÅKER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16426-2025</t>
        </is>
      </c>
      <c r="B1431" s="1" t="n">
        <v>45751.47662037037</v>
      </c>
      <c r="C1431" s="1" t="n">
        <v>46179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18900-2026</t>
        </is>
      </c>
      <c r="B1432" s="1" t="n">
        <v>46129.48959490741</v>
      </c>
      <c r="C1432" s="1" t="n">
        <v>46179</v>
      </c>
      <c r="D1432" t="inlineStr">
        <is>
          <t>GÄVLEBORGS LÄN</t>
        </is>
      </c>
      <c r="E1432" t="inlineStr">
        <is>
          <t>OVANÅKER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15295-2026</t>
        </is>
      </c>
      <c r="B1433" s="1" t="n">
        <v>46105</v>
      </c>
      <c r="C1433" s="1" t="n">
        <v>46179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16027-2026</t>
        </is>
      </c>
      <c r="B1434" s="1" t="n">
        <v>46108</v>
      </c>
      <c r="C1434" s="1" t="n">
        <v>46179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öst AB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15521-2026</t>
        </is>
      </c>
      <c r="B1435" s="1" t="n">
        <v>46106</v>
      </c>
      <c r="C1435" s="1" t="n">
        <v>46179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öst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24517-2026</t>
        </is>
      </c>
      <c r="B1436" s="1" t="n">
        <v>46170.50452546297</v>
      </c>
      <c r="C1436" s="1" t="n">
        <v>46179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19106-2026</t>
        </is>
      </c>
      <c r="B1437" s="1" t="n">
        <v>46132.44725694445</v>
      </c>
      <c r="C1437" s="1" t="n">
        <v>46179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Kyrkan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19116-2026</t>
        </is>
      </c>
      <c r="B1438" s="1" t="n">
        <v>46132</v>
      </c>
      <c r="C1438" s="1" t="n">
        <v>46179</v>
      </c>
      <c r="D1438" t="inlineStr">
        <is>
          <t>GÄVLEBORGS LÄN</t>
        </is>
      </c>
      <c r="E1438" t="inlineStr">
        <is>
          <t>OVANÅKER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19161-2026</t>
        </is>
      </c>
      <c r="B1439" s="1" t="n">
        <v>46132</v>
      </c>
      <c r="C1439" s="1" t="n">
        <v>46179</v>
      </c>
      <c r="D1439" t="inlineStr">
        <is>
          <t>GÄVLEBORGS LÄN</t>
        </is>
      </c>
      <c r="E1439" t="inlineStr">
        <is>
          <t>OVANÅKER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18769-2026</t>
        </is>
      </c>
      <c r="B1440" s="1" t="n">
        <v>46128</v>
      </c>
      <c r="C1440" s="1" t="n">
        <v>46179</v>
      </c>
      <c r="D1440" t="inlineStr">
        <is>
          <t>GÄVLEBORGS LÄN</t>
        </is>
      </c>
      <c r="E1440" t="inlineStr">
        <is>
          <t>OVANÅKER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15457-2026</t>
        </is>
      </c>
      <c r="B1441" s="1" t="n">
        <v>46106</v>
      </c>
      <c r="C1441" s="1" t="n">
        <v>46179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5.9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15802-2026</t>
        </is>
      </c>
      <c r="B1442" s="1" t="n">
        <v>46107</v>
      </c>
      <c r="C1442" s="1" t="n">
        <v>46179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18973-2026</t>
        </is>
      </c>
      <c r="B1443" s="1" t="n">
        <v>46129</v>
      </c>
      <c r="C1443" s="1" t="n">
        <v>46179</v>
      </c>
      <c r="D1443" t="inlineStr">
        <is>
          <t>GÄVLEBORGS LÄN</t>
        </is>
      </c>
      <c r="E1443" t="inlineStr">
        <is>
          <t>OVANÅKER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18980-2026</t>
        </is>
      </c>
      <c r="B1444" s="1" t="n">
        <v>46129</v>
      </c>
      <c r="C1444" s="1" t="n">
        <v>46179</v>
      </c>
      <c r="D1444" t="inlineStr">
        <is>
          <t>GÄVLEBORGS LÄN</t>
        </is>
      </c>
      <c r="E1444" t="inlineStr">
        <is>
          <t>OVANÅKER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18981-2026</t>
        </is>
      </c>
      <c r="B1445" s="1" t="n">
        <v>46129</v>
      </c>
      <c r="C1445" s="1" t="n">
        <v>46179</v>
      </c>
      <c r="D1445" t="inlineStr">
        <is>
          <t>GÄVLEBORGS LÄN</t>
        </is>
      </c>
      <c r="E1445" t="inlineStr">
        <is>
          <t>OVANÅKER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18722-2026</t>
        </is>
      </c>
      <c r="B1446" s="1" t="n">
        <v>46128</v>
      </c>
      <c r="C1446" s="1" t="n">
        <v>46179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19248-2026</t>
        </is>
      </c>
      <c r="B1447" s="1" t="n">
        <v>46132.66694444444</v>
      </c>
      <c r="C1447" s="1" t="n">
        <v>46179</v>
      </c>
      <c r="D1447" t="inlineStr">
        <is>
          <t>GÄVLEBORGS LÄN</t>
        </is>
      </c>
      <c r="E1447" t="inlineStr">
        <is>
          <t>OVANÅKER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33489-2024</t>
        </is>
      </c>
      <c r="B1448" s="1" t="n">
        <v>45519.61517361111</v>
      </c>
      <c r="C1448" s="1" t="n">
        <v>46179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öst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18977-2026</t>
        </is>
      </c>
      <c r="B1449" s="1" t="n">
        <v>46129.61712962963</v>
      </c>
      <c r="C1449" s="1" t="n">
        <v>46179</v>
      </c>
      <c r="D1449" t="inlineStr">
        <is>
          <t>GÄVLEBORGS LÄN</t>
        </is>
      </c>
      <c r="E1449" t="inlineStr">
        <is>
          <t>OVANÅKER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18996-2026</t>
        </is>
      </c>
      <c r="B1450" s="1" t="n">
        <v>46129.65357638889</v>
      </c>
      <c r="C1450" s="1" t="n">
        <v>46179</v>
      </c>
      <c r="D1450" t="inlineStr">
        <is>
          <t>GÄVLEBORGS LÄN</t>
        </is>
      </c>
      <c r="E1450" t="inlineStr">
        <is>
          <t>OVANÅKER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48907-2024</t>
        </is>
      </c>
      <c r="B1451" s="1" t="n">
        <v>45594.36177083333</v>
      </c>
      <c r="C1451" s="1" t="n">
        <v>46179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17203-2026</t>
        </is>
      </c>
      <c r="B1452" s="1" t="n">
        <v>46119</v>
      </c>
      <c r="C1452" s="1" t="n">
        <v>46179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18667-2026</t>
        </is>
      </c>
      <c r="B1453" s="1" t="n">
        <v>46128</v>
      </c>
      <c r="C1453" s="1" t="n">
        <v>46179</v>
      </c>
      <c r="D1453" t="inlineStr">
        <is>
          <t>GÄVLEBORGS LÄN</t>
        </is>
      </c>
      <c r="E1453" t="inlineStr">
        <is>
          <t>OVANÅKER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21168-2026</t>
        </is>
      </c>
      <c r="B1454" s="1" t="n">
        <v>46146</v>
      </c>
      <c r="C1454" s="1" t="n">
        <v>46179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19206-2026</t>
        </is>
      </c>
      <c r="B1455" s="1" t="n">
        <v>46132</v>
      </c>
      <c r="C1455" s="1" t="n">
        <v>46179</v>
      </c>
      <c r="D1455" t="inlineStr">
        <is>
          <t>GÄVLEBORGS LÄN</t>
        </is>
      </c>
      <c r="E1455" t="inlineStr">
        <is>
          <t>OVANÅKER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18906-2023</t>
        </is>
      </c>
      <c r="B1456" s="1" t="n">
        <v>45044.57915509259</v>
      </c>
      <c r="C1456" s="1" t="n">
        <v>46179</v>
      </c>
      <c r="D1456" t="inlineStr">
        <is>
          <t>GÄVLEBORGS LÄN</t>
        </is>
      </c>
      <c r="E1456" t="inlineStr">
        <is>
          <t>OVANÅKER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17813-2026</t>
        </is>
      </c>
      <c r="B1457" s="1" t="n">
        <v>46122</v>
      </c>
      <c r="C1457" s="1" t="n">
        <v>46179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17814-2026</t>
        </is>
      </c>
      <c r="B1458" s="1" t="n">
        <v>46122</v>
      </c>
      <c r="C1458" s="1" t="n">
        <v>46179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19086-2026</t>
        </is>
      </c>
      <c r="B1459" s="1" t="n">
        <v>46132</v>
      </c>
      <c r="C1459" s="1" t="n">
        <v>46179</v>
      </c>
      <c r="D1459" t="inlineStr">
        <is>
          <t>GÄVLEBORGS LÄN</t>
        </is>
      </c>
      <c r="E1459" t="inlineStr">
        <is>
          <t>OVANÅKER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17806-2026</t>
        </is>
      </c>
      <c r="B1460" s="1" t="n">
        <v>46122</v>
      </c>
      <c r="C1460" s="1" t="n">
        <v>46179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49858-2024</t>
        </is>
      </c>
      <c r="B1461" s="1" t="n">
        <v>45597.46925925926</v>
      </c>
      <c r="C1461" s="1" t="n">
        <v>46179</v>
      </c>
      <c r="D1461" t="inlineStr">
        <is>
          <t>GÄVLEBORGS LÄN</t>
        </is>
      </c>
      <c r="E1461" t="inlineStr">
        <is>
          <t>OVANÅKER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19261-2026</t>
        </is>
      </c>
      <c r="B1462" s="1" t="n">
        <v>46132</v>
      </c>
      <c r="C1462" s="1" t="n">
        <v>46179</v>
      </c>
      <c r="D1462" t="inlineStr">
        <is>
          <t>GÄVLEBORGS LÄN</t>
        </is>
      </c>
      <c r="E1462" t="inlineStr">
        <is>
          <t>OVANÅKER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19042-2026</t>
        </is>
      </c>
      <c r="B1463" s="1" t="n">
        <v>46132.33444444444</v>
      </c>
      <c r="C1463" s="1" t="n">
        <v>46179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Kyrkan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15443-2026</t>
        </is>
      </c>
      <c r="B1464" s="1" t="n">
        <v>46106</v>
      </c>
      <c r="C1464" s="1" t="n">
        <v>46179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16202-2026</t>
        </is>
      </c>
      <c r="B1465" s="1" t="n">
        <v>46111</v>
      </c>
      <c r="C1465" s="1" t="n">
        <v>46179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16205-2026</t>
        </is>
      </c>
      <c r="B1466" s="1" t="n">
        <v>46111</v>
      </c>
      <c r="C1466" s="1" t="n">
        <v>46179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58918-2022</t>
        </is>
      </c>
      <c r="B1467" s="1" t="n">
        <v>44903.61586805555</v>
      </c>
      <c r="C1467" s="1" t="n">
        <v>46179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18773-2026</t>
        </is>
      </c>
      <c r="B1468" s="1" t="n">
        <v>46128</v>
      </c>
      <c r="C1468" s="1" t="n">
        <v>46179</v>
      </c>
      <c r="D1468" t="inlineStr">
        <is>
          <t>GÄVLEBORGS LÄN</t>
        </is>
      </c>
      <c r="E1468" t="inlineStr">
        <is>
          <t>OVANÅKER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22347-2024</t>
        </is>
      </c>
      <c r="B1469" s="1" t="n">
        <v>45446.61068287037</v>
      </c>
      <c r="C1469" s="1" t="n">
        <v>46179</v>
      </c>
      <c r="D1469" t="inlineStr">
        <is>
          <t>GÄVLEBORGS LÄN</t>
        </is>
      </c>
      <c r="E1469" t="inlineStr">
        <is>
          <t>OVANÅKER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48369-2022</t>
        </is>
      </c>
      <c r="B1470" s="1" t="n">
        <v>44858.58332175926</v>
      </c>
      <c r="C1470" s="1" t="n">
        <v>46179</v>
      </c>
      <c r="D1470" t="inlineStr">
        <is>
          <t>GÄVLEBORGS LÄN</t>
        </is>
      </c>
      <c r="E1470" t="inlineStr">
        <is>
          <t>OVANÅKER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17019-2026</t>
        </is>
      </c>
      <c r="B1471" s="1" t="n">
        <v>46114</v>
      </c>
      <c r="C1471" s="1" t="n">
        <v>46179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17043-2026</t>
        </is>
      </c>
      <c r="B1472" s="1" t="n">
        <v>46114</v>
      </c>
      <c r="C1472" s="1" t="n">
        <v>46179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50740-2023</t>
        </is>
      </c>
      <c r="B1473" s="1" t="n">
        <v>45217.58702546296</v>
      </c>
      <c r="C1473" s="1" t="n">
        <v>46179</v>
      </c>
      <c r="D1473" t="inlineStr">
        <is>
          <t>GÄVLEBORGS LÄN</t>
        </is>
      </c>
      <c r="E1473" t="inlineStr">
        <is>
          <t>OVANÅKER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19695-2026</t>
        </is>
      </c>
      <c r="B1474" s="1" t="n">
        <v>46134.6794212963</v>
      </c>
      <c r="C1474" s="1" t="n">
        <v>46179</v>
      </c>
      <c r="D1474" t="inlineStr">
        <is>
          <t>GÄVLEBORGS LÄN</t>
        </is>
      </c>
      <c r="E1474" t="inlineStr">
        <is>
          <t>OVANÅKER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16951-2026</t>
        </is>
      </c>
      <c r="B1475" s="1" t="n">
        <v>46114</v>
      </c>
      <c r="C1475" s="1" t="n">
        <v>46179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50620-2023</t>
        </is>
      </c>
      <c r="B1476" s="1" t="n">
        <v>45217.45277777778</v>
      </c>
      <c r="C1476" s="1" t="n">
        <v>46179</v>
      </c>
      <c r="D1476" t="inlineStr">
        <is>
          <t>GÄVLEBORGS LÄN</t>
        </is>
      </c>
      <c r="E1476" t="inlineStr">
        <is>
          <t>OVANÅKER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25218-2026</t>
        </is>
      </c>
      <c r="B1477" s="1" t="n">
        <v>46175.62510416667</v>
      </c>
      <c r="C1477" s="1" t="n">
        <v>46179</v>
      </c>
      <c r="D1477" t="inlineStr">
        <is>
          <t>GÄVLEBORGS LÄN</t>
        </is>
      </c>
      <c r="E1477" t="inlineStr">
        <is>
          <t>OVANÅKER</t>
        </is>
      </c>
      <c r="G1477" t="n">
        <v>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19693-2026</t>
        </is>
      </c>
      <c r="B1478" s="1" t="n">
        <v>46134.67819444444</v>
      </c>
      <c r="C1478" s="1" t="n">
        <v>46179</v>
      </c>
      <c r="D1478" t="inlineStr">
        <is>
          <t>GÄVLEBORGS LÄN</t>
        </is>
      </c>
      <c r="E1478" t="inlineStr">
        <is>
          <t>OVANÅKER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19620-2026</t>
        </is>
      </c>
      <c r="B1479" s="1" t="n">
        <v>46134.53158564815</v>
      </c>
      <c r="C1479" s="1" t="n">
        <v>46179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öst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19432-2026</t>
        </is>
      </c>
      <c r="B1480" s="1" t="n">
        <v>46133</v>
      </c>
      <c r="C1480" s="1" t="n">
        <v>46179</v>
      </c>
      <c r="D1480" t="inlineStr">
        <is>
          <t>GÄVLEBORGS LÄN</t>
        </is>
      </c>
      <c r="E1480" t="inlineStr">
        <is>
          <t>OVANÅKER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25266-2026</t>
        </is>
      </c>
      <c r="B1481" s="1" t="n">
        <v>46175.93924768519</v>
      </c>
      <c r="C1481" s="1" t="n">
        <v>46179</v>
      </c>
      <c r="D1481" t="inlineStr">
        <is>
          <t>GÄVLEBORGS LÄN</t>
        </is>
      </c>
      <c r="E1481" t="inlineStr">
        <is>
          <t>OVANÅKER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25137-2026</t>
        </is>
      </c>
      <c r="B1482" s="1" t="n">
        <v>46175.41122685185</v>
      </c>
      <c r="C1482" s="1" t="n">
        <v>46179</v>
      </c>
      <c r="D1482" t="inlineStr">
        <is>
          <t>GÄVLEBORGS LÄN</t>
        </is>
      </c>
      <c r="E1482" t="inlineStr">
        <is>
          <t>OVANÅKER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22236-2026</t>
        </is>
      </c>
      <c r="B1483" s="1" t="n">
        <v>46154</v>
      </c>
      <c r="C1483" s="1" t="n">
        <v>46179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14574-2025</t>
        </is>
      </c>
      <c r="B1484" s="1" t="n">
        <v>45741</v>
      </c>
      <c r="C1484" s="1" t="n">
        <v>46179</v>
      </c>
      <c r="D1484" t="inlineStr">
        <is>
          <t>GÄVLEBORGS LÄN</t>
        </is>
      </c>
      <c r="E1484" t="inlineStr">
        <is>
          <t>OVANÅKER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4685-2025</t>
        </is>
      </c>
      <c r="B1485" s="1" t="n">
        <v>45688.29756944445</v>
      </c>
      <c r="C1485" s="1" t="n">
        <v>46179</v>
      </c>
      <c r="D1485" t="inlineStr">
        <is>
          <t>GÄVLEBORGS LÄN</t>
        </is>
      </c>
      <c r="E1485" t="inlineStr">
        <is>
          <t>OVANÅKER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53604-2023</t>
        </is>
      </c>
      <c r="B1486" s="1" t="n">
        <v>45230.56694444444</v>
      </c>
      <c r="C1486" s="1" t="n">
        <v>46179</v>
      </c>
      <c r="D1486" t="inlineStr">
        <is>
          <t>GÄVLEBORGS LÄN</t>
        </is>
      </c>
      <c r="E1486" t="inlineStr">
        <is>
          <t>OVANÅKER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28446-2024</t>
        </is>
      </c>
      <c r="B1487" s="1" t="n">
        <v>45477.67075231481</v>
      </c>
      <c r="C1487" s="1" t="n">
        <v>46179</v>
      </c>
      <c r="D1487" t="inlineStr">
        <is>
          <t>GÄVLEBORGS LÄN</t>
        </is>
      </c>
      <c r="E1487" t="inlineStr">
        <is>
          <t>OVANÅKER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9-2026</t>
        </is>
      </c>
      <c r="B1488" s="1" t="n">
        <v>46023</v>
      </c>
      <c r="C1488" s="1" t="n">
        <v>46179</v>
      </c>
      <c r="D1488" t="inlineStr">
        <is>
          <t>GÄVLEBORGS LÄN</t>
        </is>
      </c>
      <c r="E1488" t="inlineStr">
        <is>
          <t>OVANÅKER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17826-2026</t>
        </is>
      </c>
      <c r="B1489" s="1" t="n">
        <v>46122</v>
      </c>
      <c r="C1489" s="1" t="n">
        <v>46179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59511-2022</t>
        </is>
      </c>
      <c r="B1490" s="1" t="n">
        <v>44907</v>
      </c>
      <c r="C1490" s="1" t="n">
        <v>46179</v>
      </c>
      <c r="D1490" t="inlineStr">
        <is>
          <t>GÄVLEBORGS LÄN</t>
        </is>
      </c>
      <c r="E1490" t="inlineStr">
        <is>
          <t>OVANÅKER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41801-2023</t>
        </is>
      </c>
      <c r="B1491" s="1" t="n">
        <v>45176.50149305556</v>
      </c>
      <c r="C1491" s="1" t="n">
        <v>46179</v>
      </c>
      <c r="D1491" t="inlineStr">
        <is>
          <t>GÄVLEBORGS LÄN</t>
        </is>
      </c>
      <c r="E1491" t="inlineStr">
        <is>
          <t>OVANÅKER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15503-2026</t>
        </is>
      </c>
      <c r="B1492" s="1" t="n">
        <v>46106</v>
      </c>
      <c r="C1492" s="1" t="n">
        <v>46179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öst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15620-2026</t>
        </is>
      </c>
      <c r="B1493" s="1" t="n">
        <v>46106</v>
      </c>
      <c r="C1493" s="1" t="n">
        <v>46179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öst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15759-2026</t>
        </is>
      </c>
      <c r="B1494" s="1" t="n">
        <v>46107</v>
      </c>
      <c r="C1494" s="1" t="n">
        <v>46179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25593-2026</t>
        </is>
      </c>
      <c r="B1495" s="1" t="n">
        <v>46177.6421875</v>
      </c>
      <c r="C1495" s="1" t="n">
        <v>46179</v>
      </c>
      <c r="D1495" t="inlineStr">
        <is>
          <t>GÄVLEBORGS LÄN</t>
        </is>
      </c>
      <c r="E1495" t="inlineStr">
        <is>
          <t>OVANÅKER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4472-2026</t>
        </is>
      </c>
      <c r="B1496" s="1" t="n">
        <v>46045.6591087963</v>
      </c>
      <c r="C1496" s="1" t="n">
        <v>46179</v>
      </c>
      <c r="D1496" t="inlineStr">
        <is>
          <t>GÄVLEBORGS LÄN</t>
        </is>
      </c>
      <c r="E1496" t="inlineStr">
        <is>
          <t>OVANÅKER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16798-2026</t>
        </is>
      </c>
      <c r="B1497" s="1" t="n">
        <v>46113</v>
      </c>
      <c r="C1497" s="1" t="n">
        <v>46179</v>
      </c>
      <c r="D1497" t="inlineStr">
        <is>
          <t>GÄVLEBORGS LÄN</t>
        </is>
      </c>
      <c r="E1497" t="inlineStr">
        <is>
          <t>OVANÅKER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56455-2022</t>
        </is>
      </c>
      <c r="B1498" s="1" t="n">
        <v>44893.31280092592</v>
      </c>
      <c r="C1498" s="1" t="n">
        <v>46179</v>
      </c>
      <c r="D1498" t="inlineStr">
        <is>
          <t>GÄVLEBORGS LÄN</t>
        </is>
      </c>
      <c r="E1498" t="inlineStr">
        <is>
          <t>OVANÅKER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18658-2026</t>
        </is>
      </c>
      <c r="B1499" s="1" t="n">
        <v>46128</v>
      </c>
      <c r="C1499" s="1" t="n">
        <v>46179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väst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7318-2026</t>
        </is>
      </c>
      <c r="B1500" s="1" t="n">
        <v>46058</v>
      </c>
      <c r="C1500" s="1" t="n">
        <v>46179</v>
      </c>
      <c r="D1500" t="inlineStr">
        <is>
          <t>GÄVLEBORGS LÄN</t>
        </is>
      </c>
      <c r="E1500" t="inlineStr">
        <is>
          <t>OVANÅKER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8125-2026</t>
        </is>
      </c>
      <c r="B1501" s="1" t="n">
        <v>46064</v>
      </c>
      <c r="C1501" s="1" t="n">
        <v>46179</v>
      </c>
      <c r="D1501" t="inlineStr">
        <is>
          <t>GÄVLEBORGS LÄN</t>
        </is>
      </c>
      <c r="E1501" t="inlineStr">
        <is>
          <t>OVANÅKER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1619-2026</t>
        </is>
      </c>
      <c r="B1502" s="1" t="n">
        <v>46034.47486111111</v>
      </c>
      <c r="C1502" s="1" t="n">
        <v>46179</v>
      </c>
      <c r="D1502" t="inlineStr">
        <is>
          <t>GÄVLEBORGS LÄN</t>
        </is>
      </c>
      <c r="E1502" t="inlineStr">
        <is>
          <t>OVANÅKER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10797-2026</t>
        </is>
      </c>
      <c r="B1503" s="1" t="n">
        <v>46078</v>
      </c>
      <c r="C1503" s="1" t="n">
        <v>46179</v>
      </c>
      <c r="D1503" t="inlineStr">
        <is>
          <t>GÄVLEBORGS LÄN</t>
        </is>
      </c>
      <c r="E1503" t="inlineStr">
        <is>
          <t>OVANÅKER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40886-2024</t>
        </is>
      </c>
      <c r="B1504" s="1" t="n">
        <v>45558.60701388889</v>
      </c>
      <c r="C1504" s="1" t="n">
        <v>46179</v>
      </c>
      <c r="D1504" t="inlineStr">
        <is>
          <t>GÄVLEBORGS LÄN</t>
        </is>
      </c>
      <c r="E1504" t="inlineStr">
        <is>
          <t>OVANÅKER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30946-2024</t>
        </is>
      </c>
      <c r="B1505" s="1" t="n">
        <v>45499.37065972222</v>
      </c>
      <c r="C1505" s="1" t="n">
        <v>46179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öst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20264-2024</t>
        </is>
      </c>
      <c r="B1506" s="1" t="n">
        <v>45434.94854166666</v>
      </c>
      <c r="C1506" s="1" t="n">
        <v>46179</v>
      </c>
      <c r="D1506" t="inlineStr">
        <is>
          <t>GÄVLEBORGS LÄN</t>
        </is>
      </c>
      <c r="E1506" t="inlineStr">
        <is>
          <t>OVANÅKER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28604-2023</t>
        </is>
      </c>
      <c r="B1507" s="1" t="n">
        <v>45103</v>
      </c>
      <c r="C1507" s="1" t="n">
        <v>46179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54187-2024</t>
        </is>
      </c>
      <c r="B1508" s="1" t="n">
        <v>45616.64136574074</v>
      </c>
      <c r="C1508" s="1" t="n">
        <v>46179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19910-2025</t>
        </is>
      </c>
      <c r="B1509" s="1" t="n">
        <v>45771.60747685185</v>
      </c>
      <c r="C1509" s="1" t="n">
        <v>46179</v>
      </c>
      <c r="D1509" t="inlineStr">
        <is>
          <t>GÄVLEBORGS LÄN</t>
        </is>
      </c>
      <c r="E1509" t="inlineStr">
        <is>
          <t>OVANÅKER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50389-2024</t>
        </is>
      </c>
      <c r="B1510" s="1" t="n">
        <v>45601.33396990741</v>
      </c>
      <c r="C1510" s="1" t="n">
        <v>46179</v>
      </c>
      <c r="D1510" t="inlineStr">
        <is>
          <t>GÄVLEBORGS LÄN</t>
        </is>
      </c>
      <c r="E1510" t="inlineStr">
        <is>
          <t>OVANÅKER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20795-2025</t>
        </is>
      </c>
      <c r="B1511" s="1" t="n">
        <v>45776.63881944444</v>
      </c>
      <c r="C1511" s="1" t="n">
        <v>46179</v>
      </c>
      <c r="D1511" t="inlineStr">
        <is>
          <t>GÄVLEBORGS LÄN</t>
        </is>
      </c>
      <c r="E1511" t="inlineStr">
        <is>
          <t>OVANÅKER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20927-2025</t>
        </is>
      </c>
      <c r="B1512" s="1" t="n">
        <v>45777.42354166666</v>
      </c>
      <c r="C1512" s="1" t="n">
        <v>46179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21394-2025</t>
        </is>
      </c>
      <c r="B1513" s="1" t="n">
        <v>45782.48197916667</v>
      </c>
      <c r="C1513" s="1" t="n">
        <v>46179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21446-2025</t>
        </is>
      </c>
      <c r="B1514" s="1" t="n">
        <v>45782.54756944445</v>
      </c>
      <c r="C1514" s="1" t="n">
        <v>46179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31298-2024</t>
        </is>
      </c>
      <c r="B1515" s="1" t="n">
        <v>45504.49959490741</v>
      </c>
      <c r="C1515" s="1" t="n">
        <v>46179</v>
      </c>
      <c r="D1515" t="inlineStr">
        <is>
          <t>GÄVLEBORGS LÄN</t>
        </is>
      </c>
      <c r="E1515" t="inlineStr">
        <is>
          <t>OVANÅKER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42722-2024</t>
        </is>
      </c>
      <c r="B1516" s="1" t="n">
        <v>45566.46315972223</v>
      </c>
      <c r="C1516" s="1" t="n">
        <v>46179</v>
      </c>
      <c r="D1516" t="inlineStr">
        <is>
          <t>GÄVLEBORGS LÄN</t>
        </is>
      </c>
      <c r="E1516" t="inlineStr">
        <is>
          <t>OVANÅKER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35086-2024</t>
        </is>
      </c>
      <c r="B1517" s="1" t="n">
        <v>45527.70609953703</v>
      </c>
      <c r="C1517" s="1" t="n">
        <v>46179</v>
      </c>
      <c r="D1517" t="inlineStr">
        <is>
          <t>GÄVLEBORGS LÄN</t>
        </is>
      </c>
      <c r="E1517" t="inlineStr">
        <is>
          <t>OVANÅKER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21734-2025</t>
        </is>
      </c>
      <c r="B1518" s="1" t="n">
        <v>45783.58751157407</v>
      </c>
      <c r="C1518" s="1" t="n">
        <v>46179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58645-2024</t>
        </is>
      </c>
      <c r="B1519" s="1" t="n">
        <v>45632</v>
      </c>
      <c r="C1519" s="1" t="n">
        <v>46179</v>
      </c>
      <c r="D1519" t="inlineStr">
        <is>
          <t>GÄVLEBORGS LÄN</t>
        </is>
      </c>
      <c r="E1519" t="inlineStr">
        <is>
          <t>OVANÅKER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21744-2025</t>
        </is>
      </c>
      <c r="B1520" s="1" t="n">
        <v>45783.60194444445</v>
      </c>
      <c r="C1520" s="1" t="n">
        <v>46179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öst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52165-2023</t>
        </is>
      </c>
      <c r="B1521" s="1" t="n">
        <v>45224.33109953703</v>
      </c>
      <c r="C1521" s="1" t="n">
        <v>46179</v>
      </c>
      <c r="D1521" t="inlineStr">
        <is>
          <t>GÄVLEBORGS LÄN</t>
        </is>
      </c>
      <c r="E1521" t="inlineStr">
        <is>
          <t>OVANÅKER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23093-2022</t>
        </is>
      </c>
      <c r="B1522" s="1" t="n">
        <v>44719.4865625</v>
      </c>
      <c r="C1522" s="1" t="n">
        <v>46179</v>
      </c>
      <c r="D1522" t="inlineStr">
        <is>
          <t>GÄVLEBORGS LÄN</t>
        </is>
      </c>
      <c r="E1522" t="inlineStr">
        <is>
          <t>OVANÅKER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37071-2024</t>
        </is>
      </c>
      <c r="B1523" s="1" t="n">
        <v>45539.46820601852</v>
      </c>
      <c r="C1523" s="1" t="n">
        <v>46179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36864-2024</t>
        </is>
      </c>
      <c r="B1524" s="1" t="n">
        <v>45538.57896990741</v>
      </c>
      <c r="C1524" s="1" t="n">
        <v>46179</v>
      </c>
      <c r="D1524" t="inlineStr">
        <is>
          <t>GÄVLEBORGS LÄN</t>
        </is>
      </c>
      <c r="E1524" t="inlineStr">
        <is>
          <t>OVANÅKER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22312-2025</t>
        </is>
      </c>
      <c r="B1525" s="1" t="n">
        <v>45786.384375</v>
      </c>
      <c r="C1525" s="1" t="n">
        <v>46179</v>
      </c>
      <c r="D1525" t="inlineStr">
        <is>
          <t>GÄVLEBORGS LÄN</t>
        </is>
      </c>
      <c r="E1525" t="inlineStr">
        <is>
          <t>OVANÅKER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55910-2024</t>
        </is>
      </c>
      <c r="B1526" s="1" t="n">
        <v>45623.58634259259</v>
      </c>
      <c r="C1526" s="1" t="n">
        <v>46179</v>
      </c>
      <c r="D1526" t="inlineStr">
        <is>
          <t>GÄVLEBORGS LÄN</t>
        </is>
      </c>
      <c r="E1526" t="inlineStr">
        <is>
          <t>OVANÅKER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43504-2024</t>
        </is>
      </c>
      <c r="B1527" s="1" t="n">
        <v>45569.30541666667</v>
      </c>
      <c r="C1527" s="1" t="n">
        <v>46179</v>
      </c>
      <c r="D1527" t="inlineStr">
        <is>
          <t>GÄVLEBORGS LÄN</t>
        </is>
      </c>
      <c r="E1527" t="inlineStr">
        <is>
          <t>OVANÅKER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45791.43634259259</v>
      </c>
      <c r="C1528" s="1" t="n">
        <v>46179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23175-2025</t>
        </is>
      </c>
      <c r="B1529" s="1" t="n">
        <v>45791.43109953704</v>
      </c>
      <c r="C1529" s="1" t="n">
        <v>46179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23184-2025</t>
        </is>
      </c>
      <c r="B1530" s="1" t="n">
        <v>45791.44305555556</v>
      </c>
      <c r="C1530" s="1" t="n">
        <v>46179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6.9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62738-2023</t>
        </is>
      </c>
      <c r="B1531" s="1" t="n">
        <v>45268</v>
      </c>
      <c r="C1531" s="1" t="n">
        <v>46179</v>
      </c>
      <c r="D1531" t="inlineStr">
        <is>
          <t>GÄVLEBORGS LÄN</t>
        </is>
      </c>
      <c r="E1531" t="inlineStr">
        <is>
          <t>OVANÅKER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23431-2026</t>
        </is>
      </c>
      <c r="B1532" s="1" t="n">
        <v>46163</v>
      </c>
      <c r="C1532" s="1" t="n">
        <v>46179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23765-2026</t>
        </is>
      </c>
      <c r="B1533" s="1" t="n">
        <v>46164</v>
      </c>
      <c r="C1533" s="1" t="n">
        <v>46179</v>
      </c>
      <c r="D1533" t="inlineStr">
        <is>
          <t>GÄVLEBORGS LÄN</t>
        </is>
      </c>
      <c r="E1533" t="inlineStr">
        <is>
          <t>OVANÅKER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2081-2026</t>
        </is>
      </c>
      <c r="B1534" s="1" t="n">
        <v>46036</v>
      </c>
      <c r="C1534" s="1" t="n">
        <v>46179</v>
      </c>
      <c r="D1534" t="inlineStr">
        <is>
          <t>GÄVLEBORGS LÄN</t>
        </is>
      </c>
      <c r="E1534" t="inlineStr">
        <is>
          <t>OVANÅKER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23220-2025</t>
        </is>
      </c>
      <c r="B1535" s="1" t="n">
        <v>45791.48085648148</v>
      </c>
      <c r="C1535" s="1" t="n">
        <v>46179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23416-2025</t>
        </is>
      </c>
      <c r="B1536" s="1" t="n">
        <v>45792.34644675926</v>
      </c>
      <c r="C1536" s="1" t="n">
        <v>46179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23424-2025</t>
        </is>
      </c>
      <c r="B1537" s="1" t="n">
        <v>45792.35974537037</v>
      </c>
      <c r="C1537" s="1" t="n">
        <v>46179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23242-2025</t>
        </is>
      </c>
      <c r="B1538" s="1" t="n">
        <v>45791.50158564815</v>
      </c>
      <c r="C1538" s="1" t="n">
        <v>46179</v>
      </c>
      <c r="D1538" t="inlineStr">
        <is>
          <t>GÄVLEBORGS LÄN</t>
        </is>
      </c>
      <c r="E1538" t="inlineStr">
        <is>
          <t>OVANÅKER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25187-2023</t>
        </is>
      </c>
      <c r="B1539" s="1" t="n">
        <v>45086.56450231482</v>
      </c>
      <c r="C1539" s="1" t="n">
        <v>46179</v>
      </c>
      <c r="D1539" t="inlineStr">
        <is>
          <t>GÄVLEBORGS LÄN</t>
        </is>
      </c>
      <c r="E1539" t="inlineStr">
        <is>
          <t>OVANÅKER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49486-2025</t>
        </is>
      </c>
      <c r="B1540" s="1" t="n">
        <v>45939.36296296296</v>
      </c>
      <c r="C1540" s="1" t="n">
        <v>46179</v>
      </c>
      <c r="D1540" t="inlineStr">
        <is>
          <t>GÄVLEBORGS LÄN</t>
        </is>
      </c>
      <c r="E1540" t="inlineStr">
        <is>
          <t>OVANÅKER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19867-2026</t>
        </is>
      </c>
      <c r="B1541" s="1" t="n">
        <v>46135</v>
      </c>
      <c r="C1541" s="1" t="n">
        <v>46179</v>
      </c>
      <c r="D1541" t="inlineStr">
        <is>
          <t>GÄVLEBORGS LÄN</t>
        </is>
      </c>
      <c r="E1541" t="inlineStr">
        <is>
          <t>OVANÅKER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8177-2026</t>
        </is>
      </c>
      <c r="B1542" s="1" t="n">
        <v>46064.41071759259</v>
      </c>
      <c r="C1542" s="1" t="n">
        <v>46179</v>
      </c>
      <c r="D1542" t="inlineStr">
        <is>
          <t>GÄVLEBORGS LÄN</t>
        </is>
      </c>
      <c r="E1542" t="inlineStr">
        <is>
          <t>OVANÅKER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18063-2026</t>
        </is>
      </c>
      <c r="B1543" s="1" t="n">
        <v>46125</v>
      </c>
      <c r="C1543" s="1" t="n">
        <v>46179</v>
      </c>
      <c r="D1543" t="inlineStr">
        <is>
          <t>GÄVLEBORGS LÄN</t>
        </is>
      </c>
      <c r="E1543" t="inlineStr">
        <is>
          <t>OVANÅKER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10715-2026</t>
        </is>
      </c>
      <c r="B1544" s="1" t="n">
        <v>46078</v>
      </c>
      <c r="C1544" s="1" t="n">
        <v>46179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23426-2026</t>
        </is>
      </c>
      <c r="B1545" s="1" t="n">
        <v>46163</v>
      </c>
      <c r="C1545" s="1" t="n">
        <v>46179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15781-2026</t>
        </is>
      </c>
      <c r="B1546" s="1" t="n">
        <v>46107</v>
      </c>
      <c r="C1546" s="1" t="n">
        <v>46179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20004-2026</t>
        </is>
      </c>
      <c r="B1547" s="1" t="n">
        <v>46136</v>
      </c>
      <c r="C1547" s="1" t="n">
        <v>46179</v>
      </c>
      <c r="D1547" t="inlineStr">
        <is>
          <t>GÄVLEBORGS LÄN</t>
        </is>
      </c>
      <c r="E1547" t="inlineStr">
        <is>
          <t>OVANÅKER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4197-2026</t>
        </is>
      </c>
      <c r="B1548" s="1" t="n">
        <v>46044</v>
      </c>
      <c r="C1548" s="1" t="n">
        <v>46179</v>
      </c>
      <c r="D1548" t="inlineStr">
        <is>
          <t>GÄVLEBORGS LÄN</t>
        </is>
      </c>
      <c r="E1548" t="inlineStr">
        <is>
          <t>OVANÅKER</t>
        </is>
      </c>
      <c r="G1548" t="n">
        <v>9.1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20007-2026</t>
        </is>
      </c>
      <c r="B1549" s="1" t="n">
        <v>46136</v>
      </c>
      <c r="C1549" s="1" t="n">
        <v>46179</v>
      </c>
      <c r="D1549" t="inlineStr">
        <is>
          <t>GÄVLEBORGS LÄN</t>
        </is>
      </c>
      <c r="E1549" t="inlineStr">
        <is>
          <t>OVANÅKER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25790-2026</t>
        </is>
      </c>
      <c r="B1550" s="1" t="n">
        <v>46178.47809027778</v>
      </c>
      <c r="C1550" s="1" t="n">
        <v>46179</v>
      </c>
      <c r="D1550" t="inlineStr">
        <is>
          <t>GÄVLEBORGS LÄN</t>
        </is>
      </c>
      <c r="E1550" t="inlineStr">
        <is>
          <t>OVANÅKER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18319-2026</t>
        </is>
      </c>
      <c r="B1551" s="1" t="n">
        <v>46126</v>
      </c>
      <c r="C1551" s="1" t="n">
        <v>46179</v>
      </c>
      <c r="D1551" t="inlineStr">
        <is>
          <t>GÄVLEBORGS LÄN</t>
        </is>
      </c>
      <c r="E1551" t="inlineStr">
        <is>
          <t>OVANÅKER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19826-2026</t>
        </is>
      </c>
      <c r="B1552" s="1" t="n">
        <v>46135</v>
      </c>
      <c r="C1552" s="1" t="n">
        <v>46179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19090-2026</t>
        </is>
      </c>
      <c r="B1553" s="1" t="n">
        <v>46132</v>
      </c>
      <c r="C1553" s="1" t="n">
        <v>46179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2870-2026</t>
        </is>
      </c>
      <c r="B1554" s="1" t="n">
        <v>46038.50555555556</v>
      </c>
      <c r="C1554" s="1" t="n">
        <v>46179</v>
      </c>
      <c r="D1554" t="inlineStr">
        <is>
          <t>GÄVLEBORGS LÄN</t>
        </is>
      </c>
      <c r="E1554" t="inlineStr">
        <is>
          <t>OVANÅKER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10530-2026</t>
        </is>
      </c>
      <c r="B1555" s="1" t="n">
        <v>46077</v>
      </c>
      <c r="C1555" s="1" t="n">
        <v>46179</v>
      </c>
      <c r="D1555" t="inlineStr">
        <is>
          <t>GÄVLEBORGS LÄN</t>
        </is>
      </c>
      <c r="E1555" t="inlineStr">
        <is>
          <t>OVANÅKER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939-2026</t>
        </is>
      </c>
      <c r="B1556" s="1" t="n">
        <v>46030</v>
      </c>
      <c r="C1556" s="1" t="n">
        <v>46179</v>
      </c>
      <c r="D1556" t="inlineStr">
        <is>
          <t>GÄVLEBORGS LÄN</t>
        </is>
      </c>
      <c r="E1556" t="inlineStr">
        <is>
          <t>OVANÅKER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1912-2026</t>
        </is>
      </c>
      <c r="B1557" s="1" t="n">
        <v>46035</v>
      </c>
      <c r="C1557" s="1" t="n">
        <v>46179</v>
      </c>
      <c r="D1557" t="inlineStr">
        <is>
          <t>GÄVLEBORGS LÄN</t>
        </is>
      </c>
      <c r="E1557" t="inlineStr">
        <is>
          <t>OVANÅKER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9391-2026</t>
        </is>
      </c>
      <c r="B1558" s="1" t="n">
        <v>46071</v>
      </c>
      <c r="C1558" s="1" t="n">
        <v>46179</v>
      </c>
      <c r="D1558" t="inlineStr">
        <is>
          <t>GÄVLEBORGS LÄN</t>
        </is>
      </c>
      <c r="E1558" t="inlineStr">
        <is>
          <t>OVANÅKER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27521-2025</t>
        </is>
      </c>
      <c r="B1559" s="1" t="n">
        <v>45813.44327546296</v>
      </c>
      <c r="C1559" s="1" t="n">
        <v>46179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väst AB</t>
        </is>
      </c>
      <c r="G1559" t="n">
        <v>11.2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19856-2026</t>
        </is>
      </c>
      <c r="B1560" s="1" t="n">
        <v>46135</v>
      </c>
      <c r="C1560" s="1" t="n">
        <v>46179</v>
      </c>
      <c r="D1560" t="inlineStr">
        <is>
          <t>GÄVLEBORGS LÄN</t>
        </is>
      </c>
      <c r="E1560" t="inlineStr">
        <is>
          <t>OVANÅKER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17685-2026</t>
        </is>
      </c>
      <c r="B1561" s="1" t="n">
        <v>46121</v>
      </c>
      <c r="C1561" s="1" t="n">
        <v>46179</v>
      </c>
      <c r="D1561" t="inlineStr">
        <is>
          <t>GÄVLEBORGS LÄN</t>
        </is>
      </c>
      <c r="E1561" t="inlineStr">
        <is>
          <t>OVANÅKER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16204-2025</t>
        </is>
      </c>
      <c r="B1562" s="1" t="n">
        <v>45750.62034722222</v>
      </c>
      <c r="C1562" s="1" t="n">
        <v>46179</v>
      </c>
      <c r="D1562" t="inlineStr">
        <is>
          <t>GÄVLEBORGS LÄN</t>
        </is>
      </c>
      <c r="E1562" t="inlineStr">
        <is>
          <t>OVANÅKER</t>
        </is>
      </c>
      <c r="G1562" t="n">
        <v>16.7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980-2026</t>
        </is>
      </c>
      <c r="B1563" s="1" t="n">
        <v>46030.57630787037</v>
      </c>
      <c r="C1563" s="1" t="n">
        <v>46179</v>
      </c>
      <c r="D1563" t="inlineStr">
        <is>
          <t>GÄVLEBORGS LÄN</t>
        </is>
      </c>
      <c r="E1563" t="inlineStr">
        <is>
          <t>OVANÅKER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25108-2025</t>
        </is>
      </c>
      <c r="B1564" s="1" t="n">
        <v>45800.3503125</v>
      </c>
      <c r="C1564" s="1" t="n">
        <v>46179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25345-2024</t>
        </is>
      </c>
      <c r="B1565" s="1" t="n">
        <v>45462.92701388889</v>
      </c>
      <c r="C1565" s="1" t="n">
        <v>46179</v>
      </c>
      <c r="D1565" t="inlineStr">
        <is>
          <t>GÄVLEBORGS LÄN</t>
        </is>
      </c>
      <c r="E1565" t="inlineStr">
        <is>
          <t>OVANÅKER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19778-2026</t>
        </is>
      </c>
      <c r="B1566" s="1" t="n">
        <v>46135</v>
      </c>
      <c r="C1566" s="1" t="n">
        <v>46179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väst AB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2529-2026</t>
        </is>
      </c>
      <c r="B1567" s="1" t="n">
        <v>46037</v>
      </c>
      <c r="C1567" s="1" t="n">
        <v>46179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väst AB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4450-2026</t>
        </is>
      </c>
      <c r="B1568" s="1" t="n">
        <v>46045</v>
      </c>
      <c r="C1568" s="1" t="n">
        <v>46179</v>
      </c>
      <c r="D1568" t="inlineStr">
        <is>
          <t>GÄVLEBORGS LÄN</t>
        </is>
      </c>
      <c r="E1568" t="inlineStr">
        <is>
          <t>OVANÅKER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2400-2026</t>
        </is>
      </c>
      <c r="B1569" s="1" t="n">
        <v>46036</v>
      </c>
      <c r="C1569" s="1" t="n">
        <v>46179</v>
      </c>
      <c r="D1569" t="inlineStr">
        <is>
          <t>GÄVLEBORGS LÄN</t>
        </is>
      </c>
      <c r="E1569" t="inlineStr">
        <is>
          <t>OVANÅKER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5106-2026</t>
        </is>
      </c>
      <c r="B1570" s="1" t="n">
        <v>46049.57185185186</v>
      </c>
      <c r="C1570" s="1" t="n">
        <v>46179</v>
      </c>
      <c r="D1570" t="inlineStr">
        <is>
          <t>GÄVLEBORGS LÄN</t>
        </is>
      </c>
      <c r="E1570" t="inlineStr">
        <is>
          <t>OVANÅKER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23135-2025</t>
        </is>
      </c>
      <c r="B1571" s="1" t="n">
        <v>45791.38993055555</v>
      </c>
      <c r="C1571" s="1" t="n">
        <v>46179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17757-2026</t>
        </is>
      </c>
      <c r="B1572" s="1" t="n">
        <v>46122</v>
      </c>
      <c r="C1572" s="1" t="n">
        <v>46179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öst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412-2026</t>
        </is>
      </c>
      <c r="B1573" s="1" t="n">
        <v>46028.74957175926</v>
      </c>
      <c r="C1573" s="1" t="n">
        <v>46179</v>
      </c>
      <c r="D1573" t="inlineStr">
        <is>
          <t>GÄVLEBORGS LÄN</t>
        </is>
      </c>
      <c r="E1573" t="inlineStr">
        <is>
          <t>OVANÅKER</t>
        </is>
      </c>
      <c r="G1573" t="n">
        <v>13.8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4385-2026</t>
        </is>
      </c>
      <c r="B1574" s="1" t="n">
        <v>46045.56439814815</v>
      </c>
      <c r="C1574" s="1" t="n">
        <v>46179</v>
      </c>
      <c r="D1574" t="inlineStr">
        <is>
          <t>GÄVLEBORGS LÄN</t>
        </is>
      </c>
      <c r="E1574" t="inlineStr">
        <is>
          <t>OVANÅKER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10532-2026</t>
        </is>
      </c>
      <c r="B1575" s="1" t="n">
        <v>46077</v>
      </c>
      <c r="C1575" s="1" t="n">
        <v>46179</v>
      </c>
      <c r="D1575" t="inlineStr">
        <is>
          <t>GÄVLEBORGS LÄN</t>
        </is>
      </c>
      <c r="E1575" t="inlineStr">
        <is>
          <t>OVANÅKER</t>
        </is>
      </c>
      <c r="G1575" t="n">
        <v>13.6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6434-2026</t>
        </is>
      </c>
      <c r="B1576" s="1" t="n">
        <v>46055</v>
      </c>
      <c r="C1576" s="1" t="n">
        <v>46179</v>
      </c>
      <c r="D1576" t="inlineStr">
        <is>
          <t>GÄVLEBORGS LÄN</t>
        </is>
      </c>
      <c r="E1576" t="inlineStr">
        <is>
          <t>OVANÅKER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64064-2025</t>
        </is>
      </c>
      <c r="B1577" s="1" t="n">
        <v>46021</v>
      </c>
      <c r="C1577" s="1" t="n">
        <v>46179</v>
      </c>
      <c r="D1577" t="inlineStr">
        <is>
          <t>GÄVLEBORGS LÄN</t>
        </is>
      </c>
      <c r="E1577" t="inlineStr">
        <is>
          <t>OVANÅKER</t>
        </is>
      </c>
      <c r="G1577" t="n">
        <v>14.6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15822-2026</t>
        </is>
      </c>
      <c r="B1578" s="1" t="n">
        <v>46107</v>
      </c>
      <c r="C1578" s="1" t="n">
        <v>46179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7287-2026</t>
        </is>
      </c>
      <c r="B1579" s="1" t="n">
        <v>46058.63787037037</v>
      </c>
      <c r="C1579" s="1" t="n">
        <v>46179</v>
      </c>
      <c r="D1579" t="inlineStr">
        <is>
          <t>GÄVLEBORGS LÄN</t>
        </is>
      </c>
      <c r="E1579" t="inlineStr">
        <is>
          <t>OVANÅKER</t>
        </is>
      </c>
      <c r="G1579" t="n">
        <v>24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15539-2026</t>
        </is>
      </c>
      <c r="B1580" s="1" t="n">
        <v>46106</v>
      </c>
      <c r="C1580" s="1" t="n">
        <v>46179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öst AB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7604-2026</t>
        </is>
      </c>
      <c r="B1581" s="1" t="n">
        <v>46062.29543981481</v>
      </c>
      <c r="C1581" s="1" t="n">
        <v>46179</v>
      </c>
      <c r="D1581" t="inlineStr">
        <is>
          <t>GÄVLEBORGS LÄN</t>
        </is>
      </c>
      <c r="E1581" t="inlineStr">
        <is>
          <t>OVANÅKER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2120-2026</t>
        </is>
      </c>
      <c r="B1582" s="1" t="n">
        <v>46036</v>
      </c>
      <c r="C1582" s="1" t="n">
        <v>46179</v>
      </c>
      <c r="D1582" t="inlineStr">
        <is>
          <t>GÄVLEBORGS LÄN</t>
        </is>
      </c>
      <c r="E1582" t="inlineStr">
        <is>
          <t>OVANÅKER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22973-2026</t>
        </is>
      </c>
      <c r="B1583" s="1" t="n">
        <v>46160</v>
      </c>
      <c r="C1583" s="1" t="n">
        <v>46179</v>
      </c>
      <c r="D1583" t="inlineStr">
        <is>
          <t>GÄVLEBORGS LÄN</t>
        </is>
      </c>
      <c r="E1583" t="inlineStr">
        <is>
          <t>OVANÅKER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19868-2026</t>
        </is>
      </c>
      <c r="B1584" s="1" t="n">
        <v>46135</v>
      </c>
      <c r="C1584" s="1" t="n">
        <v>46179</v>
      </c>
      <c r="D1584" t="inlineStr">
        <is>
          <t>GÄVLEBORGS LÄN</t>
        </is>
      </c>
      <c r="E1584" t="inlineStr">
        <is>
          <t>OVANÅKER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52803-2025</t>
        </is>
      </c>
      <c r="B1585" s="1" t="n">
        <v>45957.44484953704</v>
      </c>
      <c r="C1585" s="1" t="n">
        <v>46179</v>
      </c>
      <c r="D1585" t="inlineStr">
        <is>
          <t>GÄVLEBORGS LÄN</t>
        </is>
      </c>
      <c r="E1585" t="inlineStr">
        <is>
          <t>OVANÅKER</t>
        </is>
      </c>
      <c r="G1585" t="n">
        <v>6.7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59353-2024</t>
        </is>
      </c>
      <c r="B1586" s="1" t="n">
        <v>45638.30491898148</v>
      </c>
      <c r="C1586" s="1" t="n">
        <v>46179</v>
      </c>
      <c r="D1586" t="inlineStr">
        <is>
          <t>GÄVLEBORGS LÄN</t>
        </is>
      </c>
      <c r="E1586" t="inlineStr">
        <is>
          <t>OVANÅKER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4165-2026</t>
        </is>
      </c>
      <c r="B1587" s="1" t="n">
        <v>46044</v>
      </c>
      <c r="C1587" s="1" t="n">
        <v>46179</v>
      </c>
      <c r="D1587" t="inlineStr">
        <is>
          <t>GÄVLEBORGS LÄN</t>
        </is>
      </c>
      <c r="E1587" t="inlineStr">
        <is>
          <t>OVANÅKER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3984-2026</t>
        </is>
      </c>
      <c r="B1588" s="1" t="n">
        <v>46044</v>
      </c>
      <c r="C1588" s="1" t="n">
        <v>46179</v>
      </c>
      <c r="D1588" t="inlineStr">
        <is>
          <t>GÄVLEBORGS LÄN</t>
        </is>
      </c>
      <c r="E1588" t="inlineStr">
        <is>
          <t>OVANÅKER</t>
        </is>
      </c>
      <c r="G1588" t="n">
        <v>22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54146-2024</t>
        </is>
      </c>
      <c r="B1589" s="1" t="n">
        <v>45616.59899305556</v>
      </c>
      <c r="C1589" s="1" t="n">
        <v>46179</v>
      </c>
      <c r="D1589" t="inlineStr">
        <is>
          <t>GÄVLEBORGS LÄN</t>
        </is>
      </c>
      <c r="E1589" t="inlineStr">
        <is>
          <t>OVANÅKER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20099-2026</t>
        </is>
      </c>
      <c r="B1590" s="1" t="n">
        <v>46136.63266203704</v>
      </c>
      <c r="C1590" s="1" t="n">
        <v>46179</v>
      </c>
      <c r="D1590" t="inlineStr">
        <is>
          <t>GÄVLEBORGS LÄN</t>
        </is>
      </c>
      <c r="E1590" t="inlineStr">
        <is>
          <t>OVANÅKER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2026-06-06T10:32:29Z</dcterms:created>
  <dcterms:modified xmlns:dcterms="http://purl.org/dc/terms/" xmlns:xsi="http://www.w3.org/2001/XMLSchema-instance" xsi:type="dcterms:W3CDTF">2026-06-06T10:32:30Z</dcterms:modified>
</cp:coreProperties>
</file>