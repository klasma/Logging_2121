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571-2022</t>
        </is>
      </c>
      <c r="B2" t="inlineStr">
        <is>
          <t>samrådsanmälan</t>
        </is>
      </c>
      <c r="C2" t="inlineStr">
        <is>
          <t>Annan skogsbruksåtgärd</t>
        </is>
      </c>
      <c r="D2" s="1" t="n">
        <v>44592</v>
      </c>
      <c r="E2" s="1" t="n">
        <v>46222</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2">
        <f>HYPERLINK("https://klasma.github.io/Logging_2121/artfynd/S 571-2022 artfynd.xlsx", "S 571-2022")</f>
        <v/>
      </c>
      <c r="W2">
        <f>HYPERLINK("https://klasma.github.io/Logging_2121/kartor/S 571-2022 karta.png", "S 571-2022")</f>
        <v/>
      </c>
      <c r="X2">
        <f>HYPERLINK("https://klasma.github.io/Logging_2121/knärot/S 571-2022 karta knärot.png", "S 571-2022")</f>
        <v/>
      </c>
      <c r="Y2">
        <f>HYPERLINK("https://klasma.github.io/Logging_2121/klagomål/S 571-2022 FSC-klagomål.docx", "S 571-2022")</f>
        <v/>
      </c>
      <c r="Z2">
        <f>HYPERLINK("https://klasma.github.io/Logging_2121/klagomålsmail/S 571-2022 FSC-klagomål mail.docx", "S 571-2022")</f>
        <v/>
      </c>
      <c r="AA2">
        <f>HYPERLINK("https://klasma.github.io/Logging_2121/tillsyn/S 571-2022 tillsynsbegäran.docx", "S 571-2022")</f>
        <v/>
      </c>
      <c r="AB2">
        <f>HYPERLINK("https://klasma.github.io/Logging_2121/tillsynsmail/S 571-2022 tillsynsbegäran mail.docx", "S 571-2022")</f>
        <v/>
      </c>
      <c r="AC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46222</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s="2" t="inlineStr">
        <is>
          <t>Garnlav
Knärot
Kolflarnlav
Lunglav
Mörk kolflarnlav
Talltita
Ullticka
Vedskivlav
Korallrot
Spindelblomster
Fläcknycklar</t>
        </is>
      </c>
      <c r="V3">
        <f>HYPERLINK("https://klasma.github.io/Logging_2121/artfynd/S 1278-2025 artfynd.xlsx", "S 1278-2025")</f>
        <v/>
      </c>
      <c r="W3">
        <f>HYPERLINK("https://klasma.github.io/Logging_2121/kartor/S 1278-2025 karta.png", "S 1278-2025")</f>
        <v/>
      </c>
      <c r="X3">
        <f>HYPERLINK("https://klasma.github.io/Logging_2121/knärot/S 1278-2025 karta knärot.png", "S 1278-2025")</f>
        <v/>
      </c>
      <c r="Y3">
        <f>HYPERLINK("https://klasma.github.io/Logging_2121/klagomål/S 1278-2025 FSC-klagomål.docx", "S 1278-2025")</f>
        <v/>
      </c>
      <c r="Z3">
        <f>HYPERLINK("https://klasma.github.io/Logging_2121/klagomålsmail/S 1278-2025 FSC-klagomål mail.docx", "S 1278-2025")</f>
        <v/>
      </c>
      <c r="AA3">
        <f>HYPERLINK("https://klasma.github.io/Logging_2121/tillsyn/S 1278-2025 tillsynsbegäran.docx", "S 1278-2025")</f>
        <v/>
      </c>
      <c r="AB3">
        <f>HYPERLINK("https://klasma.github.io/Logging_2121/tillsynsmail/S 1278-2025 tillsynsbegäran mail.docx", "S 1278-2025")</f>
        <v/>
      </c>
      <c r="AC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46222</v>
      </c>
      <c r="F4" t="inlineStr">
        <is>
          <t>GÄVLEBORGS LÄN</t>
        </is>
      </c>
      <c r="G4" t="inlineStr">
        <is>
          <t>OVANÅKER</t>
        </is>
      </c>
      <c r="I4" t="n">
        <v>3.5</v>
      </c>
      <c r="J4" t="n">
        <v>6</v>
      </c>
      <c r="K4" t="n">
        <v>4</v>
      </c>
      <c r="L4" t="n">
        <v>2</v>
      </c>
      <c r="M4" t="n">
        <v>0</v>
      </c>
      <c r="N4" t="n">
        <v>0</v>
      </c>
      <c r="O4" t="n">
        <v>0</v>
      </c>
      <c r="P4" t="n">
        <v>0</v>
      </c>
      <c r="Q4" t="n">
        <v>2</v>
      </c>
      <c r="R4" t="n">
        <v>0</v>
      </c>
      <c r="S4" t="n">
        <v>9</v>
      </c>
      <c r="T4" t="n">
        <v>9</v>
      </c>
      <c r="U4" s="2" t="inlineStr">
        <is>
          <t>Månlåsbräken
Turkos blåvinge
Grönkulla
Plattlummer
Spindelblomster
Ögonpyrola
Fläcknycklar
Nattviol
Revlummer</t>
        </is>
      </c>
      <c r="V4">
        <f>HYPERLINK("https://klasma.github.io/Logging_2121/artfynd/A 39905-2022 artfynd.xlsx", "A 39905-2022")</f>
        <v/>
      </c>
      <c r="W4">
        <f>HYPERLINK("https://klasma.github.io/Logging_2121/kartor/A 39905-2022 karta.png", "A 39905-2022")</f>
        <v/>
      </c>
      <c r="Y4">
        <f>HYPERLINK("https://klasma.github.io/Logging_2121/klagomål/A 39905-2022 FSC-klagomål.docx", "A 39905-2022")</f>
        <v/>
      </c>
      <c r="Z4">
        <f>HYPERLINK("https://klasma.github.io/Logging_2121/klagomålsmail/A 39905-2022 FSC-klagomål mail.docx", "A 39905-2022")</f>
        <v/>
      </c>
      <c r="AA4">
        <f>HYPERLINK("https://klasma.github.io/Logging_2121/tillsyn/A 39905-2022 tillsynsbegäran.docx", "A 39905-2022")</f>
        <v/>
      </c>
      <c r="AB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46222</v>
      </c>
      <c r="F5" t="inlineStr">
        <is>
          <t>GÄVLEBORGS LÄN</t>
        </is>
      </c>
      <c r="G5" t="inlineStr">
        <is>
          <t>OVANÅKER</t>
        </is>
      </c>
      <c r="I5" t="n">
        <v>9.4</v>
      </c>
      <c r="J5" t="n">
        <v>4</v>
      </c>
      <c r="K5" t="n">
        <v>4</v>
      </c>
      <c r="L5" t="n">
        <v>2</v>
      </c>
      <c r="M5" t="n">
        <v>2</v>
      </c>
      <c r="N5" t="n">
        <v>0</v>
      </c>
      <c r="O5" t="n">
        <v>0</v>
      </c>
      <c r="P5" t="n">
        <v>0</v>
      </c>
      <c r="Q5" t="n">
        <v>4</v>
      </c>
      <c r="R5" t="n">
        <v>2</v>
      </c>
      <c r="S5" t="n">
        <v>9</v>
      </c>
      <c r="T5" t="n">
        <v>14</v>
      </c>
      <c r="U5" s="2" t="inlineStr">
        <is>
          <t>Garnlav
Tornseglare
Violettgrå tagellav
Vitgrynig nållav
Korallrot
Nästlav
Spindelblomster
Vågbandad barkbock
Fläcknycklar</t>
        </is>
      </c>
      <c r="V5">
        <f>HYPERLINK("https://klasma.github.io/Logging_2121/artfynd/A 19656-2024 artfynd.xlsx", "A 19656-2024")</f>
        <v/>
      </c>
      <c r="W5">
        <f>HYPERLINK("https://klasma.github.io/Logging_2121/kartor/A 19656-2024 karta.png", "A 19656-2024")</f>
        <v/>
      </c>
      <c r="Y5">
        <f>HYPERLINK("https://klasma.github.io/Logging_2121/klagomål/A 19656-2024 FSC-klagomål.docx", "A 19656-2024")</f>
        <v/>
      </c>
      <c r="Z5">
        <f>HYPERLINK("https://klasma.github.io/Logging_2121/klagomålsmail/A 19656-2024 FSC-klagomål mail.docx", "A 19656-2024")</f>
        <v/>
      </c>
      <c r="AA5">
        <f>HYPERLINK("https://klasma.github.io/Logging_2121/tillsyn/A 19656-2024 tillsynsbegäran.docx", "A 19656-2024")</f>
        <v/>
      </c>
      <c r="AB5">
        <f>HYPERLINK("https://klasma.github.io/Logging_2121/tillsynsmail/A 19656-2024 tillsynsbegäran mail.docx", "A 19656-2024")</f>
        <v/>
      </c>
      <c r="AC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46222</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s="2" t="inlineStr">
        <is>
          <t>Skrovlig taggsvamp
Spadskinn
Dvärgbägarlav
Motaggsvamp
Skarp dropptaggsvamp
Tallfingersvamp
Grönsiska</t>
        </is>
      </c>
      <c r="V6">
        <f>HYPERLINK("https://klasma.github.io/Logging_2121/artfynd/A 51514-2025 artfynd.xlsx", "A 51514-2025")</f>
        <v/>
      </c>
      <c r="W6">
        <f>HYPERLINK("https://klasma.github.io/Logging_2121/kartor/A 51514-2025 karta.png", "A 51514-2025")</f>
        <v/>
      </c>
      <c r="Y6">
        <f>HYPERLINK("https://klasma.github.io/Logging_2121/klagomål/A 51514-2025 FSC-klagomål.docx", "A 51514-2025")</f>
        <v/>
      </c>
      <c r="Z6">
        <f>HYPERLINK("https://klasma.github.io/Logging_2121/klagomålsmail/A 51514-2025 FSC-klagomål mail.docx", "A 51514-2025")</f>
        <v/>
      </c>
      <c r="AA6">
        <f>HYPERLINK("https://klasma.github.io/Logging_2121/tillsyn/A 51514-2025 tillsynsbegäran.docx", "A 51514-2025")</f>
        <v/>
      </c>
      <c r="AB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46222</v>
      </c>
      <c r="F7" t="inlineStr">
        <is>
          <t>GÄVLEBORGS LÄN</t>
        </is>
      </c>
      <c r="G7" t="inlineStr">
        <is>
          <t>OVANÅKER</t>
        </is>
      </c>
      <c r="I7" t="n">
        <v>6.6</v>
      </c>
      <c r="J7" t="n">
        <v>6</v>
      </c>
      <c r="K7" t="n">
        <v>4</v>
      </c>
      <c r="L7" t="n">
        <v>0</v>
      </c>
      <c r="M7" t="n">
        <v>0</v>
      </c>
      <c r="N7" t="n">
        <v>0</v>
      </c>
      <c r="O7" t="n">
        <v>0</v>
      </c>
      <c r="P7" t="n">
        <v>0</v>
      </c>
      <c r="Q7" t="n">
        <v>0</v>
      </c>
      <c r="R7" t="n">
        <v>0</v>
      </c>
      <c r="S7" t="n">
        <v>7</v>
      </c>
      <c r="T7" t="n">
        <v>7</v>
      </c>
      <c r="U7" s="2" t="inlineStr">
        <is>
          <t>Gräsull
Korallrot
Spindelblomster
Tvåblad
Fläcknycklar
Lopplummer (aggregat)
Revlummer</t>
        </is>
      </c>
      <c r="V7">
        <f>HYPERLINK("https://klasma.github.io/Logging_2121/artfynd/A 24085-2024 artfynd.xlsx", "A 24085-2024")</f>
        <v/>
      </c>
      <c r="W7">
        <f>HYPERLINK("https://klasma.github.io/Logging_2121/kartor/A 24085-2024 karta.png", "A 24085-2024")</f>
        <v/>
      </c>
      <c r="Y7">
        <f>HYPERLINK("https://klasma.github.io/Logging_2121/klagomål/A 24085-2024 FSC-klagomål.docx", "A 24085-2024")</f>
        <v/>
      </c>
      <c r="Z7">
        <f>HYPERLINK("https://klasma.github.io/Logging_2121/klagomålsmail/A 24085-2024 FSC-klagomål mail.docx", "A 24085-2024")</f>
        <v/>
      </c>
      <c r="AA7">
        <f>HYPERLINK("https://klasma.github.io/Logging_2121/tillsyn/A 24085-2024 tillsynsbegäran.docx", "A 24085-2024")</f>
        <v/>
      </c>
      <c r="AB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46222</v>
      </c>
      <c r="F8" t="inlineStr">
        <is>
          <t>GÄVLEBORGS LÄN</t>
        </is>
      </c>
      <c r="G8" t="inlineStr">
        <is>
          <t>OVANÅKER</t>
        </is>
      </c>
      <c r="I8" t="n">
        <v>7.9</v>
      </c>
      <c r="J8" t="n">
        <v>0</v>
      </c>
      <c r="K8" t="n">
        <v>0</v>
      </c>
      <c r="L8" t="n">
        <v>4</v>
      </c>
      <c r="M8" t="n">
        <v>2</v>
      </c>
      <c r="N8" t="n">
        <v>0</v>
      </c>
      <c r="O8" t="n">
        <v>0</v>
      </c>
      <c r="P8" t="n">
        <v>0</v>
      </c>
      <c r="Q8" t="n">
        <v>6</v>
      </c>
      <c r="R8" t="n">
        <v>2</v>
      </c>
      <c r="S8" t="n">
        <v>6</v>
      </c>
      <c r="T8" t="n">
        <v>8</v>
      </c>
      <c r="U8" s="2" t="inlineStr">
        <is>
          <t>Garnlav
Gräddporing
Dropptaggsvamp
Dvärgbägarlav
Kolflarnlav
Mörk kolflarnlav</t>
        </is>
      </c>
      <c r="V8">
        <f>HYPERLINK("https://klasma.github.io/Logging_2121/artfynd/A 55473-2022 artfynd.xlsx", "A 55473-2022")</f>
        <v/>
      </c>
      <c r="W8">
        <f>HYPERLINK("https://klasma.github.io/Logging_2121/kartor/A 55473-2022 karta.png", "A 55473-2022")</f>
        <v/>
      </c>
      <c r="Y8">
        <f>HYPERLINK("https://klasma.github.io/Logging_2121/klagomål/A 55473-2022 FSC-klagomål.docx", "A 55473-2022")</f>
        <v/>
      </c>
      <c r="Z8">
        <f>HYPERLINK("https://klasma.github.io/Logging_2121/klagomålsmail/A 55473-2022 FSC-klagomål mail.docx", "A 55473-2022")</f>
        <v/>
      </c>
      <c r="AA8">
        <f>HYPERLINK("https://klasma.github.io/Logging_2121/tillsyn/A 55473-2022 tillsynsbegäran.docx", "A 55473-2022")</f>
        <v/>
      </c>
      <c r="AB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46222</v>
      </c>
      <c r="F9" t="inlineStr">
        <is>
          <t>GÄVLEBORGS LÄN</t>
        </is>
      </c>
      <c r="G9" t="inlineStr">
        <is>
          <t>OVANÅKER</t>
        </is>
      </c>
      <c r="I9" t="n">
        <v>4.1</v>
      </c>
      <c r="J9" t="n">
        <v>1</v>
      </c>
      <c r="K9" t="n">
        <v>0</v>
      </c>
      <c r="L9" t="n">
        <v>5</v>
      </c>
      <c r="M9" t="n">
        <v>0</v>
      </c>
      <c r="N9" t="n">
        <v>0</v>
      </c>
      <c r="O9" t="n">
        <v>0</v>
      </c>
      <c r="P9" t="n">
        <v>0</v>
      </c>
      <c r="Q9" t="n">
        <v>5</v>
      </c>
      <c r="R9" t="n">
        <v>0</v>
      </c>
      <c r="S9" t="n">
        <v>6</v>
      </c>
      <c r="T9" t="n">
        <v>7</v>
      </c>
      <c r="U9" s="2" t="inlineStr">
        <is>
          <t>Gammelgransskål
Kattfotslav
Kolflarnlav
Ullticka
Vedskivlav
Fläcknycklar</t>
        </is>
      </c>
      <c r="V9">
        <f>HYPERLINK("https://klasma.github.io/Logging_2121/artfynd/A 19180-2024 artfynd.xlsx", "A 19180-2024")</f>
        <v/>
      </c>
      <c r="W9">
        <f>HYPERLINK("https://klasma.github.io/Logging_2121/kartor/A 19180-2024 karta.png", "A 19180-2024")</f>
        <v/>
      </c>
      <c r="Y9">
        <f>HYPERLINK("https://klasma.github.io/Logging_2121/klagomål/A 19180-2024 FSC-klagomål.docx", "A 19180-2024")</f>
        <v/>
      </c>
      <c r="Z9">
        <f>HYPERLINK("https://klasma.github.io/Logging_2121/klagomålsmail/A 19180-2024 FSC-klagomål mail.docx", "A 19180-2024")</f>
        <v/>
      </c>
      <c r="AA9">
        <f>HYPERLINK("https://klasma.github.io/Logging_2121/tillsyn/A 19180-2024 tillsynsbegäran.docx", "A 19180-2024")</f>
        <v/>
      </c>
      <c r="AB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46222</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s="2" t="inlineStr">
        <is>
          <t>Knärot
Mörk kolflarnlav
Korallrot
Stuplav
Spillkråka
Nattviol</t>
        </is>
      </c>
      <c r="V10">
        <f>HYPERLINK("https://klasma.github.io/Logging_2121/artfynd/A 23581-2024 artfynd.xlsx", "A 23581-2024")</f>
        <v/>
      </c>
      <c r="W10">
        <f>HYPERLINK("https://klasma.github.io/Logging_2121/kartor/A 23581-2024 karta.png", "A 23581-2024")</f>
        <v/>
      </c>
      <c r="X10">
        <f>HYPERLINK("https://klasma.github.io/Logging_2121/knärot/A 23581-2024 karta knärot.png", "A 23581-2024")</f>
        <v/>
      </c>
      <c r="Y10">
        <f>HYPERLINK("https://klasma.github.io/Logging_2121/klagomål/A 23581-2024 FSC-klagomål.docx", "A 23581-2024")</f>
        <v/>
      </c>
      <c r="Z10">
        <f>HYPERLINK("https://klasma.github.io/Logging_2121/klagomålsmail/A 23581-2024 FSC-klagomål mail.docx", "A 23581-2024")</f>
        <v/>
      </c>
      <c r="AA10">
        <f>HYPERLINK("https://klasma.github.io/Logging_2121/tillsyn/A 23581-2024 tillsynsbegäran.docx", "A 23581-2024")</f>
        <v/>
      </c>
      <c r="AB10">
        <f>HYPERLINK("https://klasma.github.io/Logging_2121/tillsynsmail/A 23581-2024 tillsynsbegäran mail.docx", "A 23581-2024")</f>
        <v/>
      </c>
      <c r="AC10">
        <f>HYPERLINK("https://klasma.github.io/Logging_2121/fåglar/A 23581-2024 prioriterade fågelarter.docx", "A 23581-2024")</f>
        <v/>
      </c>
    </row>
    <row r="11" ht="15" customHeight="1">
      <c r="A11" t="inlineStr">
        <is>
          <t>A 30156-2025</t>
        </is>
      </c>
      <c r="B11" t="inlineStr">
        <is>
          <t>avverkningsanmälan</t>
        </is>
      </c>
      <c r="C11" t="inlineStr">
        <is>
          <t>Föryngringsavverkning</t>
        </is>
      </c>
      <c r="D11" s="1" t="n">
        <v>45827</v>
      </c>
      <c r="E11" s="1" t="n">
        <v>46222</v>
      </c>
      <c r="F11" t="inlineStr">
        <is>
          <t>GÄVLEBORGS LÄN</t>
        </is>
      </c>
      <c r="G11" t="inlineStr">
        <is>
          <t>OVANÅKER</t>
        </is>
      </c>
      <c r="H11" t="inlineStr">
        <is>
          <t>Holmen skog AB</t>
        </is>
      </c>
      <c r="I11" t="n">
        <v>29.1</v>
      </c>
      <c r="J11" t="n">
        <v>2</v>
      </c>
      <c r="K11" t="n">
        <v>2</v>
      </c>
      <c r="L11" t="n">
        <v>1</v>
      </c>
      <c r="M11" t="n">
        <v>2</v>
      </c>
      <c r="N11" t="n">
        <v>0</v>
      </c>
      <c r="O11" t="n">
        <v>0</v>
      </c>
      <c r="P11" t="n">
        <v>0</v>
      </c>
      <c r="Q11" t="n">
        <v>3</v>
      </c>
      <c r="R11" t="n">
        <v>2</v>
      </c>
      <c r="S11" t="n">
        <v>5</v>
      </c>
      <c r="T11" t="n">
        <v>8</v>
      </c>
      <c r="U11" s="2" t="inlineStr">
        <is>
          <t>Garnlav
Knärot
Ullticka
Spindelblomster
Vedticka</t>
        </is>
      </c>
      <c r="V11">
        <f>HYPERLINK("https://klasma.github.io/Logging_2121/artfynd/A 30156-2025 artfynd.xlsx", "A 30156-2025")</f>
        <v/>
      </c>
      <c r="W11">
        <f>HYPERLINK("https://klasma.github.io/Logging_2121/kartor/A 30156-2025 karta.png", "A 30156-2025")</f>
        <v/>
      </c>
      <c r="X11">
        <f>HYPERLINK("https://klasma.github.io/Logging_2121/knärot/A 30156-2025 karta knärot.png", "A 30156-2025")</f>
        <v/>
      </c>
      <c r="Y11">
        <f>HYPERLINK("https://klasma.github.io/Logging_2121/klagomål/A 30156-2025 FSC-klagomål.docx", "A 30156-2025")</f>
        <v/>
      </c>
      <c r="Z11">
        <f>HYPERLINK("https://klasma.github.io/Logging_2121/klagomålsmail/A 30156-2025 FSC-klagomål mail.docx", "A 30156-2025")</f>
        <v/>
      </c>
      <c r="AA11">
        <f>HYPERLINK("https://klasma.github.io/Logging_2121/tillsyn/A 30156-2025 tillsynsbegäran.docx", "A 30156-2025")</f>
        <v/>
      </c>
      <c r="AB11">
        <f>HYPERLINK("https://klasma.github.io/Logging_2121/tillsynsmail/A 30156-2025 tillsynsbegäran mail.docx", "A 30156-2025")</f>
        <v/>
      </c>
    </row>
    <row r="12" ht="15" customHeight="1">
      <c r="A12" t="inlineStr">
        <is>
          <t>A 60287-2022</t>
        </is>
      </c>
      <c r="B12" t="inlineStr">
        <is>
          <t>avverkningsanmälan</t>
        </is>
      </c>
      <c r="C12" t="inlineStr">
        <is>
          <t>Avverkning för att bevara och utveckla /försöksver</t>
        </is>
      </c>
      <c r="D12" s="1" t="n">
        <v>44910</v>
      </c>
      <c r="E12" s="1" t="n">
        <v>46222</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s="2" t="inlineStr">
        <is>
          <t>Skogshare
Talltita
Kungsfågel
Törnskata
Kopparödla</t>
        </is>
      </c>
      <c r="V12">
        <f>HYPERLINK("https://klasma.github.io/Logging_2121/artfynd/A 60287-2022 artfynd.xlsx", "A 60287-2022")</f>
        <v/>
      </c>
      <c r="W12">
        <f>HYPERLINK("https://klasma.github.io/Logging_2121/kartor/A 60287-2022 karta.png", "A 60287-2022")</f>
        <v/>
      </c>
      <c r="Y12">
        <f>HYPERLINK("https://klasma.github.io/Logging_2121/klagomål/A 60287-2022 FSC-klagomål.docx", "A 60287-2022")</f>
        <v/>
      </c>
      <c r="Z12">
        <f>HYPERLINK("https://klasma.github.io/Logging_2121/klagomålsmail/A 60287-2022 FSC-klagomål mail.docx", "A 60287-2022")</f>
        <v/>
      </c>
      <c r="AA12">
        <f>HYPERLINK("https://klasma.github.io/Logging_2121/tillsyn/A 60287-2022 tillsynsbegäran.docx", "A 60287-2022")</f>
        <v/>
      </c>
      <c r="AB12">
        <f>HYPERLINK("https://klasma.github.io/Logging_2121/tillsynsmail/A 60287-2022 tillsynsbegäran mail.docx", "A 60287-2022")</f>
        <v/>
      </c>
      <c r="AC12">
        <f>HYPERLINK("https://klasma.github.io/Logging_2121/fåglar/A 60287-2022 prioriterade fågelarter.docx", "A 60287-2022")</f>
        <v/>
      </c>
    </row>
    <row r="13" ht="15" customHeight="1">
      <c r="A13" t="inlineStr">
        <is>
          <t>A 15559-2026</t>
        </is>
      </c>
      <c r="B13" t="inlineStr">
        <is>
          <t>avverkningsanmälan</t>
        </is>
      </c>
      <c r="C13" t="inlineStr">
        <is>
          <t>Föryngringsavverkning</t>
        </is>
      </c>
      <c r="D13" s="1" t="n">
        <v>46106</v>
      </c>
      <c r="E13" s="1" t="n">
        <v>46222</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s="2" t="inlineStr">
        <is>
          <t>Hussvala
Varglav
Vedflamlav
Sotlav
Fiskgjuse</t>
        </is>
      </c>
      <c r="V13">
        <f>HYPERLINK("https://klasma.github.io/Logging_2121/artfynd/A 15559-2026 artfynd.xlsx", "A 15559-2026")</f>
        <v/>
      </c>
      <c r="W13">
        <f>HYPERLINK("https://klasma.github.io/Logging_2121/kartor/A 15559-2026 karta.png", "A 15559-2026")</f>
        <v/>
      </c>
      <c r="Y13">
        <f>HYPERLINK("https://klasma.github.io/Logging_2121/klagomål/A 15559-2026 FSC-klagomål.docx", "A 15559-2026")</f>
        <v/>
      </c>
      <c r="Z13">
        <f>HYPERLINK("https://klasma.github.io/Logging_2121/klagomålsmail/A 15559-2026 FSC-klagomål mail.docx", "A 15559-2026")</f>
        <v/>
      </c>
      <c r="AA13">
        <f>HYPERLINK("https://klasma.github.io/Logging_2121/tillsyn/A 15559-2026 tillsynsbegäran.docx", "A 15559-2026")</f>
        <v/>
      </c>
      <c r="AB13">
        <f>HYPERLINK("https://klasma.github.io/Logging_2121/tillsynsmail/A 15559-2026 tillsynsbegäran mail.docx", "A 15559-2026")</f>
        <v/>
      </c>
      <c r="AC13">
        <f>HYPERLINK("https://klasma.github.io/Logging_2121/fåglar/A 15559-2026 prioriterade fågelarter.docx", "A 15559-2026")</f>
        <v/>
      </c>
    </row>
    <row r="14" ht="15" customHeight="1">
      <c r="A14" t="inlineStr">
        <is>
          <t>A 60449-2022</t>
        </is>
      </c>
      <c r="B14" t="inlineStr">
        <is>
          <t>avverkningsanmälan</t>
        </is>
      </c>
      <c r="C14" t="inlineStr">
        <is>
          <t>Avverkning för att bevara och utveckla /försöksver</t>
        </is>
      </c>
      <c r="D14" s="1" t="n">
        <v>44911</v>
      </c>
      <c r="E14" s="1" t="n">
        <v>46222</v>
      </c>
      <c r="F14" t="inlineStr">
        <is>
          <t>GÄVLEBORGS LÄN</t>
        </is>
      </c>
      <c r="G14" t="inlineStr">
        <is>
          <t>OVANÅKER</t>
        </is>
      </c>
      <c r="H14" t="inlineStr">
        <is>
          <t>Sveaskog</t>
        </is>
      </c>
      <c r="I14" t="n">
        <v>2.7</v>
      </c>
      <c r="J14" t="n">
        <v>2</v>
      </c>
      <c r="K14" t="n">
        <v>0</v>
      </c>
      <c r="L14" t="n">
        <v>1</v>
      </c>
      <c r="M14" t="n">
        <v>0</v>
      </c>
      <c r="N14" t="n">
        <v>0</v>
      </c>
      <c r="O14" t="n">
        <v>0</v>
      </c>
      <c r="P14" t="n">
        <v>0</v>
      </c>
      <c r="Q14" t="n">
        <v>1</v>
      </c>
      <c r="R14" t="n">
        <v>0</v>
      </c>
      <c r="S14" t="n">
        <v>3</v>
      </c>
      <c r="T14" t="n">
        <v>4</v>
      </c>
      <c r="U14" s="2" t="inlineStr">
        <is>
          <t>Dropptaggsvamp
Fläcknycklar
Nattviol</t>
        </is>
      </c>
      <c r="V14">
        <f>HYPERLINK("https://klasma.github.io/Logging_2121/artfynd/A 60449-2022 artfynd.xlsx", "A 60449-2022")</f>
        <v/>
      </c>
      <c r="W14">
        <f>HYPERLINK("https://klasma.github.io/Logging_2121/kartor/A 60449-2022 karta.png", "A 60449-2022")</f>
        <v/>
      </c>
      <c r="Y14">
        <f>HYPERLINK("https://klasma.github.io/Logging_2121/klagomål/A 60449-2022 FSC-klagomål.docx", "A 60449-2022")</f>
        <v/>
      </c>
      <c r="Z14">
        <f>HYPERLINK("https://klasma.github.io/Logging_2121/klagomålsmail/A 60449-2022 FSC-klagomål mail.docx", "A 60449-2022")</f>
        <v/>
      </c>
      <c r="AA14">
        <f>HYPERLINK("https://klasma.github.io/Logging_2121/tillsyn/A 60449-2022 tillsynsbegäran.docx", "A 60449-2022")</f>
        <v/>
      </c>
      <c r="AB14">
        <f>HYPERLINK("https://klasma.github.io/Logging_2121/tillsynsmail/A 60449-2022 tillsynsbegäran mail.docx", "A 60449-2022")</f>
        <v/>
      </c>
    </row>
    <row r="15" ht="15" customHeight="1">
      <c r="A15" t="inlineStr">
        <is>
          <t>A 59253-2023</t>
        </is>
      </c>
      <c r="B15" t="inlineStr">
        <is>
          <t>avverkningsanmälan</t>
        </is>
      </c>
      <c r="C15" t="inlineStr">
        <is>
          <t>Föryngringsavverkning</t>
        </is>
      </c>
      <c r="D15" s="1" t="n">
        <v>45253</v>
      </c>
      <c r="E15" s="1" t="n">
        <v>46222</v>
      </c>
      <c r="F15" t="inlineStr">
        <is>
          <t>GÄVLEBORGS LÄN</t>
        </is>
      </c>
      <c r="G15" t="inlineStr">
        <is>
          <t>OVANÅKER</t>
        </is>
      </c>
      <c r="I15" t="n">
        <v>1.7</v>
      </c>
      <c r="J15" t="n">
        <v>0</v>
      </c>
      <c r="K15" t="n">
        <v>0</v>
      </c>
      <c r="L15" t="n">
        <v>3</v>
      </c>
      <c r="M15" t="n">
        <v>0</v>
      </c>
      <c r="N15" t="n">
        <v>0</v>
      </c>
      <c r="O15" t="n">
        <v>0</v>
      </c>
      <c r="P15" t="n">
        <v>0</v>
      </c>
      <c r="Q15" t="n">
        <v>3</v>
      </c>
      <c r="R15" t="n">
        <v>0</v>
      </c>
      <c r="S15" t="n">
        <v>3</v>
      </c>
      <c r="T15" t="n">
        <v>3</v>
      </c>
      <c r="U15" s="2" t="inlineStr">
        <is>
          <t>Balclutha boica
Månlåsbräken
Vårstarr</t>
        </is>
      </c>
      <c r="V15">
        <f>HYPERLINK("https://klasma.github.io/Logging_2121/artfynd/A 59253-2023 artfynd.xlsx", "A 59253-2023")</f>
        <v/>
      </c>
      <c r="W15">
        <f>HYPERLINK("https://klasma.github.io/Logging_2121/kartor/A 59253-2023 karta.png", "A 59253-2023")</f>
        <v/>
      </c>
      <c r="Y15">
        <f>HYPERLINK("https://klasma.github.io/Logging_2121/klagomål/A 59253-2023 FSC-klagomål.docx", "A 59253-2023")</f>
        <v/>
      </c>
      <c r="Z15">
        <f>HYPERLINK("https://klasma.github.io/Logging_2121/klagomålsmail/A 59253-2023 FSC-klagomål mail.docx", "A 59253-2023")</f>
        <v/>
      </c>
      <c r="AA15">
        <f>HYPERLINK("https://klasma.github.io/Logging_2121/tillsyn/A 59253-2023 tillsynsbegäran.docx", "A 59253-2023")</f>
        <v/>
      </c>
      <c r="AB15">
        <f>HYPERLINK("https://klasma.github.io/Logging_2121/tillsynsmail/A 59253-2023 tillsynsbegäran mail.docx", "A 59253-2023")</f>
        <v/>
      </c>
    </row>
    <row r="16" ht="15" customHeight="1">
      <c r="A16" t="inlineStr">
        <is>
          <t>A 7064-2026</t>
        </is>
      </c>
      <c r="B16" t="inlineStr">
        <is>
          <t>avverkningsanmälan</t>
        </is>
      </c>
      <c r="C16" t="inlineStr">
        <is>
          <t>Föryngringsavverkning</t>
        </is>
      </c>
      <c r="D16" s="1" t="n">
        <v>46058</v>
      </c>
      <c r="E16" s="1" t="n">
        <v>46222</v>
      </c>
      <c r="F16" t="inlineStr">
        <is>
          <t>GÄVLEBORGS LÄN</t>
        </is>
      </c>
      <c r="G16" t="inlineStr">
        <is>
          <t>OVANÅKER</t>
        </is>
      </c>
      <c r="I16" t="n">
        <v>3.3</v>
      </c>
      <c r="J16" t="n">
        <v>0</v>
      </c>
      <c r="K16" t="n">
        <v>1</v>
      </c>
      <c r="L16" t="n">
        <v>2</v>
      </c>
      <c r="M16" t="n">
        <v>0</v>
      </c>
      <c r="N16" t="n">
        <v>0</v>
      </c>
      <c r="O16" t="n">
        <v>0</v>
      </c>
      <c r="P16" t="n">
        <v>0</v>
      </c>
      <c r="Q16" t="n">
        <v>2</v>
      </c>
      <c r="R16" t="n">
        <v>0</v>
      </c>
      <c r="S16" t="n">
        <v>3</v>
      </c>
      <c r="T16" t="n">
        <v>3</v>
      </c>
      <c r="U16" s="2" t="inlineStr">
        <is>
          <t>Ljus ängsfingersvamp
Rökfingersvamp
Opalfingersvamp</t>
        </is>
      </c>
      <c r="V16">
        <f>HYPERLINK("https://klasma.github.io/Logging_2121/artfynd/A 7064-2026 artfynd.xlsx", "A 7064-2026")</f>
        <v/>
      </c>
      <c r="W16">
        <f>HYPERLINK("https://klasma.github.io/Logging_2121/kartor/A 7064-2026 karta.png", "A 7064-2026")</f>
        <v/>
      </c>
      <c r="Y16">
        <f>HYPERLINK("https://klasma.github.io/Logging_2121/klagomål/A 7064-2026 FSC-klagomål.docx", "A 7064-2026")</f>
        <v/>
      </c>
      <c r="Z16">
        <f>HYPERLINK("https://klasma.github.io/Logging_2121/klagomålsmail/A 7064-2026 FSC-klagomål mail.docx", "A 7064-2026")</f>
        <v/>
      </c>
      <c r="AA16">
        <f>HYPERLINK("https://klasma.github.io/Logging_2121/tillsyn/A 7064-2026 tillsynsbegäran.docx", "A 7064-2026")</f>
        <v/>
      </c>
      <c r="AB16">
        <f>HYPERLINK("https://klasma.github.io/Logging_2121/tillsynsmail/A 7064-2026 tillsynsbegäran mail.docx", "A 7064-2026")</f>
        <v/>
      </c>
    </row>
    <row r="17" ht="15" customHeight="1">
      <c r="A17" t="inlineStr">
        <is>
          <t>A 16804-2026</t>
        </is>
      </c>
      <c r="B17" t="inlineStr">
        <is>
          <t>avverkningsanmälan</t>
        </is>
      </c>
      <c r="C17" t="inlineStr">
        <is>
          <t>Föryngringsavverkning</t>
        </is>
      </c>
      <c r="D17" s="1" t="n">
        <v>46113</v>
      </c>
      <c r="E17" s="1" t="n">
        <v>46222</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s="2" t="inlineStr">
        <is>
          <t>Balclutha boica
Spindelblomster
Revlummer</t>
        </is>
      </c>
      <c r="V17">
        <f>HYPERLINK("https://klasma.github.io/Logging_2121/artfynd/A 16804-2026 artfynd.xlsx", "A 16804-2026")</f>
        <v/>
      </c>
      <c r="W17">
        <f>HYPERLINK("https://klasma.github.io/Logging_2121/kartor/A 16804-2026 karta.png", "A 16804-2026")</f>
        <v/>
      </c>
      <c r="Y17">
        <f>HYPERLINK("https://klasma.github.io/Logging_2121/klagomål/A 16804-2026 FSC-klagomål.docx", "A 16804-2026")</f>
        <v/>
      </c>
      <c r="Z17">
        <f>HYPERLINK("https://klasma.github.io/Logging_2121/klagomålsmail/A 16804-2026 FSC-klagomål mail.docx", "A 16804-2026")</f>
        <v/>
      </c>
      <c r="AA17">
        <f>HYPERLINK("https://klasma.github.io/Logging_2121/tillsyn/A 16804-2026 tillsynsbegäran.docx", "A 16804-2026")</f>
        <v/>
      </c>
      <c r="AB17">
        <f>HYPERLINK("https://klasma.github.io/Logging_2121/tillsynsmail/A 16804-2026 tillsynsbegäran mail.docx", "A 16804-2026")</f>
        <v/>
      </c>
    </row>
    <row r="18" ht="15" customHeight="1">
      <c r="A18" t="inlineStr">
        <is>
          <t>A 42056-2023</t>
        </is>
      </c>
      <c r="B18" t="inlineStr">
        <is>
          <t>avverkningsanmälan</t>
        </is>
      </c>
      <c r="C18" t="inlineStr">
        <is>
          <t>Föryngringsavverkning</t>
        </is>
      </c>
      <c r="D18" s="1" t="n">
        <v>45177</v>
      </c>
      <c r="E18" s="1" t="n">
        <v>46222</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s="2" t="inlineStr">
        <is>
          <t>Lunglav
Korallblylav
Vanlig groda</t>
        </is>
      </c>
      <c r="V18">
        <f>HYPERLINK("https://klasma.github.io/Logging_2121/artfynd/A 42056-2023 artfynd.xlsx", "A 42056-2023")</f>
        <v/>
      </c>
      <c r="W18">
        <f>HYPERLINK("https://klasma.github.io/Logging_2121/kartor/A 42056-2023 karta.png", "A 42056-2023")</f>
        <v/>
      </c>
      <c r="Y18">
        <f>HYPERLINK("https://klasma.github.io/Logging_2121/klagomål/A 42056-2023 FSC-klagomål.docx", "A 42056-2023")</f>
        <v/>
      </c>
      <c r="Z18">
        <f>HYPERLINK("https://klasma.github.io/Logging_2121/klagomålsmail/A 42056-2023 FSC-klagomål mail.docx", "A 42056-2023")</f>
        <v/>
      </c>
      <c r="AA18">
        <f>HYPERLINK("https://klasma.github.io/Logging_2121/tillsyn/A 42056-2023 tillsynsbegäran.docx", "A 42056-2023")</f>
        <v/>
      </c>
      <c r="AB18">
        <f>HYPERLINK("https://klasma.github.io/Logging_2121/tillsynsmail/A 42056-2023 tillsynsbegäran mail.docx", "A 42056-2023")</f>
        <v/>
      </c>
    </row>
    <row r="19" ht="15" customHeight="1">
      <c r="A19" t="inlineStr">
        <is>
          <t>A 19780-2026</t>
        </is>
      </c>
      <c r="B19" t="inlineStr">
        <is>
          <t>avverkningsanmälan</t>
        </is>
      </c>
      <c r="C19" t="inlineStr">
        <is>
          <t>Föryngringsavverkning</t>
        </is>
      </c>
      <c r="D19" s="1" t="n">
        <v>46135</v>
      </c>
      <c r="E19" s="1" t="n">
        <v>46222</v>
      </c>
      <c r="F19" t="inlineStr">
        <is>
          <t>GÄVLEBORGS LÄN</t>
        </is>
      </c>
      <c r="G19" t="inlineStr">
        <is>
          <t>OVANÅKER</t>
        </is>
      </c>
      <c r="H19" t="inlineStr">
        <is>
          <t>Bergvik skog öst AB</t>
        </is>
      </c>
      <c r="I19" t="n">
        <v>3.8</v>
      </c>
      <c r="J19" t="n">
        <v>2</v>
      </c>
      <c r="K19" t="n">
        <v>0</v>
      </c>
      <c r="L19" t="n">
        <v>1</v>
      </c>
      <c r="M19" t="n">
        <v>1</v>
      </c>
      <c r="N19" t="n">
        <v>0</v>
      </c>
      <c r="O19" t="n">
        <v>0</v>
      </c>
      <c r="P19" t="n">
        <v>0</v>
      </c>
      <c r="Q19" t="n">
        <v>2</v>
      </c>
      <c r="R19" t="n">
        <v>1</v>
      </c>
      <c r="S19" t="n">
        <v>3</v>
      </c>
      <c r="T19" t="n">
        <v>3</v>
      </c>
      <c r="U19" s="2" t="inlineStr">
        <is>
          <t>Garnlav
Varglav
Spillkråka</t>
        </is>
      </c>
      <c r="V19">
        <f>HYPERLINK("https://klasma.github.io/Logging_2121/artfynd/A 19780-2026 artfynd.xlsx", "A 19780-2026")</f>
        <v/>
      </c>
      <c r="W19">
        <f>HYPERLINK("https://klasma.github.io/Logging_2121/kartor/A 19780-2026 karta.png", "A 19780-2026")</f>
        <v/>
      </c>
      <c r="Y19">
        <f>HYPERLINK("https://klasma.github.io/Logging_2121/klagomål/A 19780-2026 FSC-klagomål.docx", "A 19780-2026")</f>
        <v/>
      </c>
      <c r="Z19">
        <f>HYPERLINK("https://klasma.github.io/Logging_2121/klagomålsmail/A 19780-2026 FSC-klagomål mail.docx", "A 19780-2026")</f>
        <v/>
      </c>
      <c r="AA19">
        <f>HYPERLINK("https://klasma.github.io/Logging_2121/tillsyn/A 19780-2026 tillsynsbegäran.docx", "A 19780-2026")</f>
        <v/>
      </c>
      <c r="AB19">
        <f>HYPERLINK("https://klasma.github.io/Logging_2121/tillsynsmail/A 19780-2026 tillsynsbegäran mail.docx", "A 19780-2026")</f>
        <v/>
      </c>
      <c r="AC19">
        <f>HYPERLINK("https://klasma.github.io/Logging_2121/fåglar/A 19780-2026 prioriterade fågelarter.docx", "A 19780-2026")</f>
        <v/>
      </c>
    </row>
    <row r="20" ht="15" customHeight="1">
      <c r="A20" t="inlineStr">
        <is>
          <t>A 20931-2025</t>
        </is>
      </c>
      <c r="B20" t="inlineStr">
        <is>
          <t>avverkningsanmälan</t>
        </is>
      </c>
      <c r="C20" t="inlineStr">
        <is>
          <t>Föryngringsavverkning</t>
        </is>
      </c>
      <c r="D20" s="1" t="n">
        <v>45777</v>
      </c>
      <c r="E20" s="1" t="n">
        <v>46222</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s="2" t="inlineStr">
        <is>
          <t>Garnlav
Lunglav
Nattviol</t>
        </is>
      </c>
      <c r="V20">
        <f>HYPERLINK("https://klasma.github.io/Logging_2121/artfynd/A 20931-2025 artfynd.xlsx", "A 20931-2025")</f>
        <v/>
      </c>
      <c r="W20">
        <f>HYPERLINK("https://klasma.github.io/Logging_2121/kartor/A 20931-2025 karta.png", "A 20931-2025")</f>
        <v/>
      </c>
      <c r="Y20">
        <f>HYPERLINK("https://klasma.github.io/Logging_2121/klagomål/A 20931-2025 FSC-klagomål.docx", "A 20931-2025")</f>
        <v/>
      </c>
      <c r="Z20">
        <f>HYPERLINK("https://klasma.github.io/Logging_2121/klagomålsmail/A 20931-2025 FSC-klagomål mail.docx", "A 20931-2025")</f>
        <v/>
      </c>
      <c r="AA20">
        <f>HYPERLINK("https://klasma.github.io/Logging_2121/tillsyn/A 20931-2025 tillsynsbegäran.docx", "A 20931-2025")</f>
        <v/>
      </c>
      <c r="AB20">
        <f>HYPERLINK("https://klasma.github.io/Logging_2121/tillsynsmail/A 20931-2025 tillsynsbegäran mail.docx", "A 20931-2025")</f>
        <v/>
      </c>
    </row>
    <row r="21" ht="15" customHeight="1">
      <c r="A21" t="inlineStr">
        <is>
          <t>S 3408-2025</t>
        </is>
      </c>
      <c r="B21" t="inlineStr">
        <is>
          <t>samrådsanmälan</t>
        </is>
      </c>
      <c r="C21" t="inlineStr">
        <is>
          <t>Skogsgödsling</t>
        </is>
      </c>
      <c r="D21" s="1" t="n">
        <v>45994</v>
      </c>
      <c r="E21" s="1" t="n">
        <v>46222</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s="2" t="inlineStr">
        <is>
          <t>Garnlav
Knärot
Vedticka</t>
        </is>
      </c>
      <c r="V21">
        <f>HYPERLINK("https://klasma.github.io/Logging_2121/artfynd/S 3408-2025 artfynd.xlsx", "S 3408-2025")</f>
        <v/>
      </c>
      <c r="W21">
        <f>HYPERLINK("https://klasma.github.io/Logging_2121/kartor/S 3408-2025 karta.png", "S 3408-2025")</f>
        <v/>
      </c>
      <c r="X21">
        <f>HYPERLINK("https://klasma.github.io/Logging_2121/knärot/S 3408-2025 karta knärot.png", "S 3408-2025")</f>
        <v/>
      </c>
      <c r="Y21">
        <f>HYPERLINK("https://klasma.github.io/Logging_2121/klagomål/S 3408-2025 FSC-klagomål.docx", "S 3408-2025")</f>
        <v/>
      </c>
      <c r="Z21">
        <f>HYPERLINK("https://klasma.github.io/Logging_2121/klagomålsmail/S 3408-2025 FSC-klagomål mail.docx", "S 3408-2025")</f>
        <v/>
      </c>
      <c r="AA21">
        <f>HYPERLINK("https://klasma.github.io/Logging_2121/tillsyn/S 3408-2025 tillsynsbegäran.docx", "S 3408-2025")</f>
        <v/>
      </c>
      <c r="AB21">
        <f>HYPERLINK("https://klasma.github.io/Logging_2121/tillsynsmail/S 3408-2025 tillsynsbegäran mail.docx", "S 3408-2025")</f>
        <v/>
      </c>
    </row>
    <row r="22" ht="15" customHeight="1">
      <c r="A22" t="inlineStr">
        <is>
          <t>A 4081-2024</t>
        </is>
      </c>
      <c r="B22" t="inlineStr">
        <is>
          <t>avverkningsanmälan</t>
        </is>
      </c>
      <c r="C22" t="inlineStr">
        <is>
          <t>Föryngringsavverkning</t>
        </is>
      </c>
      <c r="D22" s="1" t="n">
        <v>45323</v>
      </c>
      <c r="E22" s="1" t="n">
        <v>46222</v>
      </c>
      <c r="F22" t="inlineStr">
        <is>
          <t>GÄVLEBORGS LÄN</t>
        </is>
      </c>
      <c r="G22" t="inlineStr">
        <is>
          <t>OVANÅKER</t>
        </is>
      </c>
      <c r="I22" t="n">
        <v>3.3</v>
      </c>
      <c r="J22" t="n">
        <v>0</v>
      </c>
      <c r="K22" t="n">
        <v>0</v>
      </c>
      <c r="L22" t="n">
        <v>2</v>
      </c>
      <c r="M22" t="n">
        <v>0</v>
      </c>
      <c r="N22" t="n">
        <v>0</v>
      </c>
      <c r="O22" t="n">
        <v>0</v>
      </c>
      <c r="P22" t="n">
        <v>0</v>
      </c>
      <c r="Q22" t="n">
        <v>2</v>
      </c>
      <c r="R22" t="n">
        <v>0</v>
      </c>
      <c r="S22" t="n">
        <v>2</v>
      </c>
      <c r="T22" t="n">
        <v>4</v>
      </c>
      <c r="U22" s="2" t="inlineStr">
        <is>
          <t>Rosenticka
Ullticka</t>
        </is>
      </c>
      <c r="V22">
        <f>HYPERLINK("https://klasma.github.io/Logging_2121/artfynd/A 4081-2024 artfynd.xlsx", "A 4081-2024")</f>
        <v/>
      </c>
      <c r="W22">
        <f>HYPERLINK("https://klasma.github.io/Logging_2121/kartor/A 4081-2024 karta.png", "A 4081-2024")</f>
        <v/>
      </c>
      <c r="Y22">
        <f>HYPERLINK("https://klasma.github.io/Logging_2121/klagomål/A 4081-2024 FSC-klagomål.docx", "A 4081-2024")</f>
        <v/>
      </c>
      <c r="Z22">
        <f>HYPERLINK("https://klasma.github.io/Logging_2121/klagomålsmail/A 4081-2024 FSC-klagomål mail.docx", "A 4081-2024")</f>
        <v/>
      </c>
      <c r="AA22">
        <f>HYPERLINK("https://klasma.github.io/Logging_2121/tillsyn/A 4081-2024 tillsynsbegäran.docx", "A 4081-2024")</f>
        <v/>
      </c>
      <c r="AB22">
        <f>HYPERLINK("https://klasma.github.io/Logging_2121/tillsynsmail/A 4081-2024 tillsynsbegäran mail.docx", "A 4081-2024")</f>
        <v/>
      </c>
    </row>
    <row r="23" ht="15" customHeight="1">
      <c r="A23" t="inlineStr">
        <is>
          <t>A 35350-2024</t>
        </is>
      </c>
      <c r="B23" t="inlineStr">
        <is>
          <t>avverkningsanmälan</t>
        </is>
      </c>
      <c r="C23" t="inlineStr">
        <is>
          <t>Avverkning för att bevara och utveckla /försöksver</t>
        </is>
      </c>
      <c r="D23" s="1" t="n">
        <v>45531</v>
      </c>
      <c r="E23" s="1" t="n">
        <v>46222</v>
      </c>
      <c r="F23" t="inlineStr">
        <is>
          <t>GÄVLEBORGS LÄN</t>
        </is>
      </c>
      <c r="G23" t="inlineStr">
        <is>
          <t>OVANÅKER</t>
        </is>
      </c>
      <c r="H23" t="inlineStr">
        <is>
          <t>Sveaskog</t>
        </is>
      </c>
      <c r="I23" t="n">
        <v>3.3</v>
      </c>
      <c r="J23" t="n">
        <v>0</v>
      </c>
      <c r="K23" t="n">
        <v>0</v>
      </c>
      <c r="L23" t="n">
        <v>2</v>
      </c>
      <c r="M23" t="n">
        <v>0</v>
      </c>
      <c r="N23" t="n">
        <v>0</v>
      </c>
      <c r="O23" t="n">
        <v>0</v>
      </c>
      <c r="P23" t="n">
        <v>0</v>
      </c>
      <c r="Q23" t="n">
        <v>2</v>
      </c>
      <c r="R23" t="n">
        <v>0</v>
      </c>
      <c r="S23" t="n">
        <v>2</v>
      </c>
      <c r="T23" t="n">
        <v>2</v>
      </c>
      <c r="U23" s="2" t="inlineStr">
        <is>
          <t>Lunglav
Skrovellav</t>
        </is>
      </c>
      <c r="V23">
        <f>HYPERLINK("https://klasma.github.io/Logging_2121/artfynd/A 35350-2024 artfynd.xlsx", "A 35350-2024")</f>
        <v/>
      </c>
      <c r="W23">
        <f>HYPERLINK("https://klasma.github.io/Logging_2121/kartor/A 35350-2024 karta.png", "A 35350-2024")</f>
        <v/>
      </c>
      <c r="Y23">
        <f>HYPERLINK("https://klasma.github.io/Logging_2121/klagomål/A 35350-2024 FSC-klagomål.docx", "A 35350-2024")</f>
        <v/>
      </c>
      <c r="Z23">
        <f>HYPERLINK("https://klasma.github.io/Logging_2121/klagomålsmail/A 35350-2024 FSC-klagomål mail.docx", "A 35350-2024")</f>
        <v/>
      </c>
      <c r="AA23">
        <f>HYPERLINK("https://klasma.github.io/Logging_2121/tillsyn/A 35350-2024 tillsynsbegäran.docx", "A 35350-2024")</f>
        <v/>
      </c>
      <c r="AB23">
        <f>HYPERLINK("https://klasma.github.io/Logging_2121/tillsynsmail/A 35350-2024 tillsynsbegäran mail.docx", "A 35350-2024")</f>
        <v/>
      </c>
    </row>
    <row r="24" ht="15" customHeight="1">
      <c r="A24" t="inlineStr">
        <is>
          <t>A 36759-2025</t>
        </is>
      </c>
      <c r="B24" t="inlineStr">
        <is>
          <t>avverkningsanmälan</t>
        </is>
      </c>
      <c r="C24" t="inlineStr">
        <is>
          <t>Föryngringsavverkning</t>
        </is>
      </c>
      <c r="D24" s="1" t="n">
        <v>45873</v>
      </c>
      <c r="E24" s="1" t="n">
        <v>46222</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s="2" t="inlineStr">
        <is>
          <t>Spillkråka
Slaguggla</t>
        </is>
      </c>
      <c r="V24">
        <f>HYPERLINK("https://klasma.github.io/Logging_2121/artfynd/A 36759-2025 artfynd.xlsx", "A 36759-2025")</f>
        <v/>
      </c>
      <c r="W24">
        <f>HYPERLINK("https://klasma.github.io/Logging_2121/kartor/A 36759-2025 karta.png", "A 36759-2025")</f>
        <v/>
      </c>
      <c r="Y24">
        <f>HYPERLINK("https://klasma.github.io/Logging_2121/klagomål/A 36759-2025 FSC-klagomål.docx", "A 36759-2025")</f>
        <v/>
      </c>
      <c r="Z24">
        <f>HYPERLINK("https://klasma.github.io/Logging_2121/klagomålsmail/A 36759-2025 FSC-klagomål mail.docx", "A 36759-2025")</f>
        <v/>
      </c>
      <c r="AA24">
        <f>HYPERLINK("https://klasma.github.io/Logging_2121/tillsyn/A 36759-2025 tillsynsbegäran.docx", "A 36759-2025")</f>
        <v/>
      </c>
      <c r="AB24">
        <f>HYPERLINK("https://klasma.github.io/Logging_2121/tillsynsmail/A 36759-2025 tillsynsbegäran mail.docx", "A 36759-2025")</f>
        <v/>
      </c>
      <c r="AC24">
        <f>HYPERLINK("https://klasma.github.io/Logging_2121/fåglar/A 36759-2025 prioriterade fågelarter.docx", "A 36759-2025")</f>
        <v/>
      </c>
    </row>
    <row r="25" ht="15" customHeight="1">
      <c r="A25" t="inlineStr">
        <is>
          <t>A 30941-2024</t>
        </is>
      </c>
      <c r="B25" t="inlineStr">
        <is>
          <t>avverkningsanmälan</t>
        </is>
      </c>
      <c r="C25" t="inlineStr">
        <is>
          <t>Avverkning för att bevara och utveckla /försöksver</t>
        </is>
      </c>
      <c r="D25" s="1" t="n">
        <v>45499</v>
      </c>
      <c r="E25" s="1" t="n">
        <v>46222</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s="2" t="inlineStr">
        <is>
          <t>Lunglav
Skrovellav</t>
        </is>
      </c>
      <c r="V25">
        <f>HYPERLINK("https://klasma.github.io/Logging_2121/artfynd/A 30941-2024 artfynd.xlsx", "A 30941-2024")</f>
        <v/>
      </c>
      <c r="W25">
        <f>HYPERLINK("https://klasma.github.io/Logging_2121/kartor/A 30941-2024 karta.png", "A 30941-2024")</f>
        <v/>
      </c>
      <c r="Y25">
        <f>HYPERLINK("https://klasma.github.io/Logging_2121/klagomål/A 30941-2024 FSC-klagomål.docx", "A 30941-2024")</f>
        <v/>
      </c>
      <c r="Z25">
        <f>HYPERLINK("https://klasma.github.io/Logging_2121/klagomålsmail/A 30941-2024 FSC-klagomål mail.docx", "A 30941-2024")</f>
        <v/>
      </c>
      <c r="AA25">
        <f>HYPERLINK("https://klasma.github.io/Logging_2121/tillsyn/A 30941-2024 tillsynsbegäran.docx", "A 30941-2024")</f>
        <v/>
      </c>
      <c r="AB25">
        <f>HYPERLINK("https://klasma.github.io/Logging_2121/tillsynsmail/A 30941-2024 tillsynsbegäran mail.docx", "A 30941-2024")</f>
        <v/>
      </c>
    </row>
    <row r="26" ht="15" customHeight="1">
      <c r="A26" t="inlineStr">
        <is>
          <t>A 10855-2026</t>
        </is>
      </c>
      <c r="B26" t="inlineStr">
        <is>
          <t>avverkningsanmälan</t>
        </is>
      </c>
      <c r="C26" t="inlineStr">
        <is>
          <t>Föryngringsavverkning</t>
        </is>
      </c>
      <c r="D26" s="1" t="n">
        <v>46078</v>
      </c>
      <c r="E26" s="1" t="n">
        <v>46222</v>
      </c>
      <c r="F26" t="inlineStr">
        <is>
          <t>GÄVLEBORGS LÄN</t>
        </is>
      </c>
      <c r="G26" t="inlineStr">
        <is>
          <t>OVANÅKER</t>
        </is>
      </c>
      <c r="I26" t="n">
        <v>6.6</v>
      </c>
      <c r="J26" t="n">
        <v>0</v>
      </c>
      <c r="K26" t="n">
        <v>0</v>
      </c>
      <c r="L26" t="n">
        <v>1</v>
      </c>
      <c r="M26" t="n">
        <v>1</v>
      </c>
      <c r="N26" t="n">
        <v>0</v>
      </c>
      <c r="O26" t="n">
        <v>0</v>
      </c>
      <c r="P26" t="n">
        <v>0</v>
      </c>
      <c r="Q26" t="n">
        <v>2</v>
      </c>
      <c r="R26" t="n">
        <v>1</v>
      </c>
      <c r="S26" t="n">
        <v>2</v>
      </c>
      <c r="T26" t="n">
        <v>3</v>
      </c>
      <c r="U26" s="2" t="inlineStr">
        <is>
          <t>Garnlav
Kolflarnlav</t>
        </is>
      </c>
      <c r="V26">
        <f>HYPERLINK("https://klasma.github.io/Logging_2121/artfynd/A 10855-2026 artfynd.xlsx", "A 10855-2026")</f>
        <v/>
      </c>
      <c r="W26">
        <f>HYPERLINK("https://klasma.github.io/Logging_2121/kartor/A 10855-2026 karta.png", "A 10855-2026")</f>
        <v/>
      </c>
      <c r="Y26">
        <f>HYPERLINK("https://klasma.github.io/Logging_2121/klagomål/A 10855-2026 FSC-klagomål.docx", "A 10855-2026")</f>
        <v/>
      </c>
      <c r="Z26">
        <f>HYPERLINK("https://klasma.github.io/Logging_2121/klagomålsmail/A 10855-2026 FSC-klagomål mail.docx", "A 10855-2026")</f>
        <v/>
      </c>
      <c r="AA26">
        <f>HYPERLINK("https://klasma.github.io/Logging_2121/tillsyn/A 10855-2026 tillsynsbegäran.docx", "A 10855-2026")</f>
        <v/>
      </c>
      <c r="AB26">
        <f>HYPERLINK("https://klasma.github.io/Logging_2121/tillsynsmail/A 10855-2026 tillsynsbegäran mail.docx", "A 10855-2026")</f>
        <v/>
      </c>
    </row>
    <row r="27" ht="15" customHeight="1">
      <c r="A27" t="inlineStr">
        <is>
          <t>A 62298-2025</t>
        </is>
      </c>
      <c r="B27" t="inlineStr">
        <is>
          <t>avverkningsanmälan</t>
        </is>
      </c>
      <c r="C27" t="inlineStr">
        <is>
          <t>Föryngringsavverkning</t>
        </is>
      </c>
      <c r="D27" s="1" t="n">
        <v>46006</v>
      </c>
      <c r="E27" s="1" t="n">
        <v>46222</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s="2" t="inlineStr">
        <is>
          <t>Mindre hackspett
Talltita</t>
        </is>
      </c>
      <c r="V27">
        <f>HYPERLINK("https://klasma.github.io/Logging_2121/artfynd/A 62298-2025 artfynd.xlsx", "A 62298-2025")</f>
        <v/>
      </c>
      <c r="W27">
        <f>HYPERLINK("https://klasma.github.io/Logging_2121/kartor/A 62298-2025 karta.png", "A 62298-2025")</f>
        <v/>
      </c>
      <c r="Y27">
        <f>HYPERLINK("https://klasma.github.io/Logging_2121/klagomål/A 62298-2025 FSC-klagomål.docx", "A 62298-2025")</f>
        <v/>
      </c>
      <c r="Z27">
        <f>HYPERLINK("https://klasma.github.io/Logging_2121/klagomålsmail/A 62298-2025 FSC-klagomål mail.docx", "A 62298-2025")</f>
        <v/>
      </c>
      <c r="AA27">
        <f>HYPERLINK("https://klasma.github.io/Logging_2121/tillsyn/A 62298-2025 tillsynsbegäran.docx", "A 62298-2025")</f>
        <v/>
      </c>
      <c r="AB27">
        <f>HYPERLINK("https://klasma.github.io/Logging_2121/tillsynsmail/A 62298-2025 tillsynsbegäran mail.docx", "A 62298-2025")</f>
        <v/>
      </c>
      <c r="AC27">
        <f>HYPERLINK("https://klasma.github.io/Logging_2121/fåglar/A 62298-2025 prioriterade fågelarter.docx", "A 62298-2025")</f>
        <v/>
      </c>
    </row>
    <row r="28" ht="15" customHeight="1">
      <c r="A28" t="inlineStr">
        <is>
          <t>A 62304-2025</t>
        </is>
      </c>
      <c r="B28" t="inlineStr">
        <is>
          <t>avverkningsanmälan</t>
        </is>
      </c>
      <c r="C28" t="inlineStr">
        <is>
          <t>Föryngringsavverkning</t>
        </is>
      </c>
      <c r="D28" s="1" t="n">
        <v>46006</v>
      </c>
      <c r="E28" s="1" t="n">
        <v>46222</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s="2" t="inlineStr">
        <is>
          <t>Rosenticka
Stjärtmes</t>
        </is>
      </c>
      <c r="V28">
        <f>HYPERLINK("https://klasma.github.io/Logging_2121/artfynd/A 62304-2025 artfynd.xlsx", "A 62304-2025")</f>
        <v/>
      </c>
      <c r="W28">
        <f>HYPERLINK("https://klasma.github.io/Logging_2121/kartor/A 62304-2025 karta.png", "A 62304-2025")</f>
        <v/>
      </c>
      <c r="Y28">
        <f>HYPERLINK("https://klasma.github.io/Logging_2121/klagomål/A 62304-2025 FSC-klagomål.docx", "A 62304-2025")</f>
        <v/>
      </c>
      <c r="Z28">
        <f>HYPERLINK("https://klasma.github.io/Logging_2121/klagomålsmail/A 62304-2025 FSC-klagomål mail.docx", "A 62304-2025")</f>
        <v/>
      </c>
      <c r="AA28">
        <f>HYPERLINK("https://klasma.github.io/Logging_2121/tillsyn/A 62304-2025 tillsynsbegäran.docx", "A 62304-2025")</f>
        <v/>
      </c>
      <c r="AB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46222</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s="2" t="inlineStr">
        <is>
          <t>Mindre hackspett
Talltita</t>
        </is>
      </c>
      <c r="V29">
        <f>HYPERLINK("https://klasma.github.io/Logging_2121/artfynd/A 62260-2025 artfynd.xlsx", "A 62260-2025")</f>
        <v/>
      </c>
      <c r="W29">
        <f>HYPERLINK("https://klasma.github.io/Logging_2121/kartor/A 62260-2025 karta.png", "A 62260-2025")</f>
        <v/>
      </c>
      <c r="Y29">
        <f>HYPERLINK("https://klasma.github.io/Logging_2121/klagomål/A 62260-2025 FSC-klagomål.docx", "A 62260-2025")</f>
        <v/>
      </c>
      <c r="Z29">
        <f>HYPERLINK("https://klasma.github.io/Logging_2121/klagomålsmail/A 62260-2025 FSC-klagomål mail.docx", "A 62260-2025")</f>
        <v/>
      </c>
      <c r="AA29">
        <f>HYPERLINK("https://klasma.github.io/Logging_2121/tillsyn/A 62260-2025 tillsynsbegäran.docx", "A 62260-2025")</f>
        <v/>
      </c>
      <c r="AB29">
        <f>HYPERLINK("https://klasma.github.io/Logging_2121/tillsynsmail/A 62260-2025 tillsynsbegäran mail.docx", "A 62260-2025")</f>
        <v/>
      </c>
      <c r="AC29">
        <f>HYPERLINK("https://klasma.github.io/Logging_2121/fåglar/A 62260-2025 prioriterade fågelarter.docx", "A 62260-2025")</f>
        <v/>
      </c>
    </row>
    <row r="30" ht="15" customHeight="1">
      <c r="A30" t="inlineStr">
        <is>
          <t>A 62667-2025</t>
        </is>
      </c>
      <c r="B30" t="inlineStr">
        <is>
          <t>avverkningsanmälan</t>
        </is>
      </c>
      <c r="C30" t="inlineStr">
        <is>
          <t>Avverkning för annat ändamål</t>
        </is>
      </c>
      <c r="D30" s="1" t="n">
        <v>46008</v>
      </c>
      <c r="E30" s="1" t="n">
        <v>46222</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s="2" t="inlineStr">
        <is>
          <t>Motaggsvamp
Vaddporing</t>
        </is>
      </c>
      <c r="V30">
        <f>HYPERLINK("https://klasma.github.io/Logging_2121/artfynd/A 62667-2025 artfynd.xlsx", "A 62667-2025")</f>
        <v/>
      </c>
      <c r="W30">
        <f>HYPERLINK("https://klasma.github.io/Logging_2121/kartor/A 62667-2025 karta.png", "A 62667-2025")</f>
        <v/>
      </c>
      <c r="Y30">
        <f>HYPERLINK("https://klasma.github.io/Logging_2121/klagomål/A 62667-2025 FSC-klagomål.docx", "A 62667-2025")</f>
        <v/>
      </c>
      <c r="Z30">
        <f>HYPERLINK("https://klasma.github.io/Logging_2121/klagomålsmail/A 62667-2025 FSC-klagomål mail.docx", "A 62667-2025")</f>
        <v/>
      </c>
      <c r="AA30">
        <f>HYPERLINK("https://klasma.github.io/Logging_2121/tillsyn/A 62667-2025 tillsynsbegäran.docx", "A 62667-2025")</f>
        <v/>
      </c>
      <c r="AB30">
        <f>HYPERLINK("https://klasma.github.io/Logging_2121/tillsynsmail/A 62667-2025 tillsynsbegäran mail.docx", "A 62667-2025")</f>
        <v/>
      </c>
    </row>
    <row r="31" ht="15" customHeight="1">
      <c r="A31" t="inlineStr">
        <is>
          <t>A 62350-2025</t>
        </is>
      </c>
      <c r="B31" t="inlineStr">
        <is>
          <t>avverkningsanmälan</t>
        </is>
      </c>
      <c r="C31" t="inlineStr">
        <is>
          <t>Föryngringsavverkning</t>
        </is>
      </c>
      <c r="D31" s="1" t="n">
        <v>46007</v>
      </c>
      <c r="E31" s="1" t="n">
        <v>46222</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s="2" t="inlineStr">
        <is>
          <t>Rosenticka
Stjärtmes</t>
        </is>
      </c>
      <c r="V31">
        <f>HYPERLINK("https://klasma.github.io/Logging_2121/artfynd/A 62350-2025 artfynd.xlsx", "A 62350-2025")</f>
        <v/>
      </c>
      <c r="W31">
        <f>HYPERLINK("https://klasma.github.io/Logging_2121/kartor/A 62350-2025 karta.png", "A 62350-2025")</f>
        <v/>
      </c>
      <c r="Y31">
        <f>HYPERLINK("https://klasma.github.io/Logging_2121/klagomål/A 62350-2025 FSC-klagomål.docx", "A 62350-2025")</f>
        <v/>
      </c>
      <c r="Z31">
        <f>HYPERLINK("https://klasma.github.io/Logging_2121/klagomålsmail/A 62350-2025 FSC-klagomål mail.docx", "A 62350-2025")</f>
        <v/>
      </c>
      <c r="AA31">
        <f>HYPERLINK("https://klasma.github.io/Logging_2121/tillsyn/A 62350-2025 tillsynsbegäran.docx", "A 62350-2025")</f>
        <v/>
      </c>
      <c r="AB31">
        <f>HYPERLINK("https://klasma.github.io/Logging_2121/tillsynsmail/A 62350-2025 tillsynsbegäran mail.docx", "A 62350-2025")</f>
        <v/>
      </c>
    </row>
    <row r="32" ht="15" customHeight="1">
      <c r="A32" t="inlineStr">
        <is>
          <t>A 30364-2022</t>
        </is>
      </c>
      <c r="B32" t="inlineStr">
        <is>
          <t>avverkningsanmälan</t>
        </is>
      </c>
      <c r="C32" t="inlineStr">
        <is>
          <t>Föryngringsavverkning</t>
        </is>
      </c>
      <c r="D32" s="1" t="n">
        <v>44760</v>
      </c>
      <c r="E32" s="1" t="n">
        <v>46222</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s="2" t="inlineStr">
        <is>
          <t>Skinnlav
Blåsippa</t>
        </is>
      </c>
      <c r="V32">
        <f>HYPERLINK("https://klasma.github.io/Logging_2121/artfynd/A 30364-2022 artfynd.xlsx", "A 30364-2022")</f>
        <v/>
      </c>
      <c r="W32">
        <f>HYPERLINK("https://klasma.github.io/Logging_2121/kartor/A 30364-2022 karta.png", "A 30364-2022")</f>
        <v/>
      </c>
      <c r="Y32">
        <f>HYPERLINK("https://klasma.github.io/Logging_2121/klagomål/A 30364-2022 FSC-klagomål.docx", "A 30364-2022")</f>
        <v/>
      </c>
      <c r="Z32">
        <f>HYPERLINK("https://klasma.github.io/Logging_2121/klagomålsmail/A 30364-2022 FSC-klagomål mail.docx", "A 30364-2022")</f>
        <v/>
      </c>
      <c r="AA32">
        <f>HYPERLINK("https://klasma.github.io/Logging_2121/tillsyn/A 30364-2022 tillsynsbegäran.docx", "A 30364-2022")</f>
        <v/>
      </c>
      <c r="AB32">
        <f>HYPERLINK("https://klasma.github.io/Logging_2121/tillsynsmail/A 30364-2022 tillsynsbegäran mail.docx", "A 30364-2022")</f>
        <v/>
      </c>
    </row>
    <row r="33" ht="15" customHeight="1">
      <c r="A33" t="inlineStr">
        <is>
          <t>S 25-2024</t>
        </is>
      </c>
      <c r="B33" t="inlineStr">
        <is>
          <t>samrådsanmälan</t>
        </is>
      </c>
      <c r="C33" t="inlineStr">
        <is>
          <t>Skogsgödsling</t>
        </is>
      </c>
      <c r="D33" s="1" t="n">
        <v>45293</v>
      </c>
      <c r="E33" s="1" t="n">
        <v>46222</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s="2" t="inlineStr">
        <is>
          <t>Dvärghäxört
Svart trolldruva</t>
        </is>
      </c>
      <c r="V33">
        <f>HYPERLINK("https://klasma.github.io/Logging_2121/artfynd/S 25-2024 artfynd.xlsx", "S 25-2024")</f>
        <v/>
      </c>
      <c r="W33">
        <f>HYPERLINK("https://klasma.github.io/Logging_2121/kartor/S 25-2024 karta.png", "S 25-2024")</f>
        <v/>
      </c>
      <c r="Y33">
        <f>HYPERLINK("https://klasma.github.io/Logging_2121/klagomål/S 25-2024 FSC-klagomål.docx", "S 25-2024")</f>
        <v/>
      </c>
      <c r="Z33">
        <f>HYPERLINK("https://klasma.github.io/Logging_2121/klagomålsmail/S 25-2024 FSC-klagomål mail.docx", "S 25-2024")</f>
        <v/>
      </c>
      <c r="AA33">
        <f>HYPERLINK("https://klasma.github.io/Logging_2121/tillsyn/S 25-2024 tillsynsbegäran.docx", "S 25-2024")</f>
        <v/>
      </c>
      <c r="AB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46222</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s="2" t="inlineStr">
        <is>
          <t>Lunglav
Stuplav</t>
        </is>
      </c>
      <c r="V34">
        <f>HYPERLINK("https://klasma.github.io/Logging_2121/artfynd/S 26-2024 artfynd.xlsx", "S 26-2024")</f>
        <v/>
      </c>
      <c r="W34">
        <f>HYPERLINK("https://klasma.github.io/Logging_2121/kartor/S 26-2024 karta.png", "S 26-2024")</f>
        <v/>
      </c>
      <c r="Y34">
        <f>HYPERLINK("https://klasma.github.io/Logging_2121/klagomål/S 26-2024 FSC-klagomål.docx", "S 26-2024")</f>
        <v/>
      </c>
      <c r="Z34">
        <f>HYPERLINK("https://klasma.github.io/Logging_2121/klagomålsmail/S 26-2024 FSC-klagomål mail.docx", "S 26-2024")</f>
        <v/>
      </c>
      <c r="AA34">
        <f>HYPERLINK("https://klasma.github.io/Logging_2121/tillsyn/S 26-2024 tillsynsbegäran.docx", "S 26-2024")</f>
        <v/>
      </c>
      <c r="AB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46222</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s="2" t="inlineStr">
        <is>
          <t>Dropptaggsvamp</t>
        </is>
      </c>
      <c r="V35">
        <f>HYPERLINK("https://klasma.github.io/Logging_2121/artfynd/A 52166-2021 artfynd.xlsx", "A 52166-2021")</f>
        <v/>
      </c>
      <c r="W35">
        <f>HYPERLINK("https://klasma.github.io/Logging_2121/kartor/A 52166-2021 karta.png", "A 52166-2021")</f>
        <v/>
      </c>
      <c r="Y35">
        <f>HYPERLINK("https://klasma.github.io/Logging_2121/klagomål/A 52166-2021 FSC-klagomål.docx", "A 52166-2021")</f>
        <v/>
      </c>
      <c r="Z35">
        <f>HYPERLINK("https://klasma.github.io/Logging_2121/klagomålsmail/A 52166-2021 FSC-klagomål mail.docx", "A 52166-2021")</f>
        <v/>
      </c>
      <c r="AA35">
        <f>HYPERLINK("https://klasma.github.io/Logging_2121/tillsyn/A 52166-2021 tillsynsbegäran.docx", "A 52166-2021")</f>
        <v/>
      </c>
      <c r="AB35">
        <f>HYPERLINK("https://klasma.github.io/Logging_2121/tillsynsmail/A 52166-2021 tillsynsbegäran mail.docx", "A 52166-2021")</f>
        <v/>
      </c>
    </row>
    <row r="36" ht="15" customHeight="1">
      <c r="A36" t="inlineStr">
        <is>
          <t>A 35349-2024</t>
        </is>
      </c>
      <c r="B36" t="inlineStr">
        <is>
          <t>avverkningsanmälan</t>
        </is>
      </c>
      <c r="C36" t="inlineStr">
        <is>
          <t>Avverkning för att bevara och utveckla /försöksver</t>
        </is>
      </c>
      <c r="D36" s="1" t="n">
        <v>45531</v>
      </c>
      <c r="E36" s="1" t="n">
        <v>46222</v>
      </c>
      <c r="F36" t="inlineStr">
        <is>
          <t>GÄVLEBORGS LÄN</t>
        </is>
      </c>
      <c r="G36" t="inlineStr">
        <is>
          <t>OVANÅKER</t>
        </is>
      </c>
      <c r="H36" t="inlineStr">
        <is>
          <t>Sveaskog</t>
        </is>
      </c>
      <c r="I36" t="n">
        <v>10.4</v>
      </c>
      <c r="J36" t="n">
        <v>1</v>
      </c>
      <c r="K36" t="n">
        <v>0</v>
      </c>
      <c r="L36" t="n">
        <v>0</v>
      </c>
      <c r="M36" t="n">
        <v>0</v>
      </c>
      <c r="N36" t="n">
        <v>0</v>
      </c>
      <c r="O36" t="n">
        <v>0</v>
      </c>
      <c r="P36" t="n">
        <v>0</v>
      </c>
      <c r="Q36" t="n">
        <v>0</v>
      </c>
      <c r="R36" t="n">
        <v>0</v>
      </c>
      <c r="S36" t="n">
        <v>1</v>
      </c>
      <c r="T36" t="n">
        <v>1</v>
      </c>
      <c r="U36" s="2" t="inlineStr">
        <is>
          <t>Nattviol</t>
        </is>
      </c>
      <c r="V36">
        <f>HYPERLINK("https://klasma.github.io/Logging_2121/artfynd/A 35349-2024 artfynd.xlsx", "A 35349-2024")</f>
        <v/>
      </c>
      <c r="W36">
        <f>HYPERLINK("https://klasma.github.io/Logging_2121/kartor/A 35349-2024 karta.png", "A 35349-2024")</f>
        <v/>
      </c>
      <c r="Y36">
        <f>HYPERLINK("https://klasma.github.io/Logging_2121/klagomål/A 35349-2024 FSC-klagomål.docx", "A 35349-2024")</f>
        <v/>
      </c>
      <c r="Z36">
        <f>HYPERLINK("https://klasma.github.io/Logging_2121/klagomålsmail/A 35349-2024 FSC-klagomål mail.docx", "A 35349-2024")</f>
        <v/>
      </c>
      <c r="AA36">
        <f>HYPERLINK("https://klasma.github.io/Logging_2121/tillsyn/A 35349-2024 tillsynsbegäran.docx", "A 35349-2024")</f>
        <v/>
      </c>
      <c r="AB36">
        <f>HYPERLINK("https://klasma.github.io/Logging_2121/tillsynsmail/A 35349-2024 tillsynsbegäran mail.docx", "A 35349-2024")</f>
        <v/>
      </c>
    </row>
    <row r="37" ht="15" customHeight="1">
      <c r="A37" t="inlineStr">
        <is>
          <t>A 60275-2022</t>
        </is>
      </c>
      <c r="B37" t="inlineStr">
        <is>
          <t>avverkningsanmälan</t>
        </is>
      </c>
      <c r="C37" t="inlineStr">
        <is>
          <t>Avverkning för att bevara och utveckla /försöksver</t>
        </is>
      </c>
      <c r="D37" s="1" t="n">
        <v>44910</v>
      </c>
      <c r="E37" s="1" t="n">
        <v>46222</v>
      </c>
      <c r="F37" t="inlineStr">
        <is>
          <t>GÄVLEBORGS LÄN</t>
        </is>
      </c>
      <c r="G37" t="inlineStr">
        <is>
          <t>OVANÅKER</t>
        </is>
      </c>
      <c r="H37" t="inlineStr">
        <is>
          <t>Sveaskog</t>
        </is>
      </c>
      <c r="I37" t="n">
        <v>1</v>
      </c>
      <c r="J37" t="n">
        <v>1</v>
      </c>
      <c r="K37" t="n">
        <v>0</v>
      </c>
      <c r="L37" t="n">
        <v>0</v>
      </c>
      <c r="M37" t="n">
        <v>0</v>
      </c>
      <c r="N37" t="n">
        <v>0</v>
      </c>
      <c r="O37" t="n">
        <v>0</v>
      </c>
      <c r="P37" t="n">
        <v>0</v>
      </c>
      <c r="Q37" t="n">
        <v>0</v>
      </c>
      <c r="R37" t="n">
        <v>0</v>
      </c>
      <c r="S37" t="n">
        <v>1</v>
      </c>
      <c r="T37" t="n">
        <v>1</v>
      </c>
      <c r="U37" s="2" t="inlineStr">
        <is>
          <t>Orre</t>
        </is>
      </c>
      <c r="V37">
        <f>HYPERLINK("https://klasma.github.io/Logging_2121/artfynd/A 60275-2022 artfynd.xlsx", "A 60275-2022")</f>
        <v/>
      </c>
      <c r="W37">
        <f>HYPERLINK("https://klasma.github.io/Logging_2121/kartor/A 60275-2022 karta.png", "A 60275-2022")</f>
        <v/>
      </c>
      <c r="Y37">
        <f>HYPERLINK("https://klasma.github.io/Logging_2121/klagomål/A 60275-2022 FSC-klagomål.docx", "A 60275-2022")</f>
        <v/>
      </c>
      <c r="Z37">
        <f>HYPERLINK("https://klasma.github.io/Logging_2121/klagomålsmail/A 60275-2022 FSC-klagomål mail.docx", "A 60275-2022")</f>
        <v/>
      </c>
      <c r="AA37">
        <f>HYPERLINK("https://klasma.github.io/Logging_2121/tillsyn/A 60275-2022 tillsynsbegäran.docx", "A 60275-2022")</f>
        <v/>
      </c>
      <c r="AB37">
        <f>HYPERLINK("https://klasma.github.io/Logging_2121/tillsynsmail/A 60275-2022 tillsynsbegäran mail.docx", "A 60275-2022")</f>
        <v/>
      </c>
      <c r="AC37">
        <f>HYPERLINK("https://klasma.github.io/Logging_2121/fåglar/A 60275-2022 prioriterade fågelarter.docx", "A 60275-2022")</f>
        <v/>
      </c>
    </row>
    <row r="38" ht="15" customHeight="1">
      <c r="A38" t="inlineStr">
        <is>
          <t>A 3628-2026</t>
        </is>
      </c>
      <c r="B38" t="inlineStr">
        <is>
          <t>avverkningsanmälan</t>
        </is>
      </c>
      <c r="C38" t="inlineStr">
        <is>
          <t>Föryngringsavverkning</t>
        </is>
      </c>
      <c r="D38" s="1" t="n">
        <v>46043</v>
      </c>
      <c r="E38" s="1" t="n">
        <v>46222</v>
      </c>
      <c r="F38" t="inlineStr">
        <is>
          <t>GÄVLEBORGS LÄN</t>
        </is>
      </c>
      <c r="G38" t="inlineStr">
        <is>
          <t>OVANÅKER</t>
        </is>
      </c>
      <c r="I38" t="n">
        <v>20.4</v>
      </c>
      <c r="J38" t="n">
        <v>1</v>
      </c>
      <c r="K38" t="n">
        <v>0</v>
      </c>
      <c r="L38" t="n">
        <v>0</v>
      </c>
      <c r="M38" t="n">
        <v>0</v>
      </c>
      <c r="N38" t="n">
        <v>0</v>
      </c>
      <c r="O38" t="n">
        <v>0</v>
      </c>
      <c r="P38" t="n">
        <v>0</v>
      </c>
      <c r="Q38" t="n">
        <v>0</v>
      </c>
      <c r="R38" t="n">
        <v>0</v>
      </c>
      <c r="S38" t="n">
        <v>1</v>
      </c>
      <c r="T38" t="n">
        <v>1</v>
      </c>
      <c r="U38" s="2" t="inlineStr">
        <is>
          <t>Blåsippa</t>
        </is>
      </c>
      <c r="V38">
        <f>HYPERLINK("https://klasma.github.io/Logging_2121/artfynd/A 3628-2026 artfynd.xlsx", "A 3628-2026")</f>
        <v/>
      </c>
      <c r="W38">
        <f>HYPERLINK("https://klasma.github.io/Logging_2121/kartor/A 3628-2026 karta.png", "A 3628-2026")</f>
        <v/>
      </c>
      <c r="Y38">
        <f>HYPERLINK("https://klasma.github.io/Logging_2121/klagomål/A 3628-2026 FSC-klagomål.docx", "A 3628-2026")</f>
        <v/>
      </c>
      <c r="Z38">
        <f>HYPERLINK("https://klasma.github.io/Logging_2121/klagomålsmail/A 3628-2026 FSC-klagomål mail.docx", "A 3628-2026")</f>
        <v/>
      </c>
      <c r="AA38">
        <f>HYPERLINK("https://klasma.github.io/Logging_2121/tillsyn/A 3628-2026 tillsynsbegäran.docx", "A 3628-2026")</f>
        <v/>
      </c>
      <c r="AB38">
        <f>HYPERLINK("https://klasma.github.io/Logging_2121/tillsynsmail/A 3628-2026 tillsynsbegäran mail.docx", "A 3628-2026")</f>
        <v/>
      </c>
    </row>
    <row r="39" ht="15" customHeight="1">
      <c r="A39" t="inlineStr">
        <is>
          <t>A 4713-2026</t>
        </is>
      </c>
      <c r="B39" t="inlineStr">
        <is>
          <t>avverkningsanmälan</t>
        </is>
      </c>
      <c r="C39" t="inlineStr">
        <is>
          <t>Föryngringsavverkning</t>
        </is>
      </c>
      <c r="D39" s="1" t="n">
        <v>46048</v>
      </c>
      <c r="E39" s="1" t="n">
        <v>46222</v>
      </c>
      <c r="F39" t="inlineStr">
        <is>
          <t>GÄVLEBORGS LÄN</t>
        </is>
      </c>
      <c r="G39" t="inlineStr">
        <is>
          <t>OVANÅKER</t>
        </is>
      </c>
      <c r="I39" t="n">
        <v>4.1</v>
      </c>
      <c r="J39" t="n">
        <v>1</v>
      </c>
      <c r="K39" t="n">
        <v>0</v>
      </c>
      <c r="L39" t="n">
        <v>0</v>
      </c>
      <c r="M39" t="n">
        <v>0</v>
      </c>
      <c r="N39" t="n">
        <v>0</v>
      </c>
      <c r="O39" t="n">
        <v>0</v>
      </c>
      <c r="P39" t="n">
        <v>0</v>
      </c>
      <c r="Q39" t="n">
        <v>0</v>
      </c>
      <c r="R39" t="n">
        <v>0</v>
      </c>
      <c r="S39" t="n">
        <v>1</v>
      </c>
      <c r="T39" t="n">
        <v>1</v>
      </c>
      <c r="U39" s="2" t="inlineStr">
        <is>
          <t>Kungsfågel</t>
        </is>
      </c>
      <c r="V39">
        <f>HYPERLINK("https://klasma.github.io/Logging_2121/artfynd/A 4713-2026 artfynd.xlsx", "A 4713-2026")</f>
        <v/>
      </c>
      <c r="W39">
        <f>HYPERLINK("https://klasma.github.io/Logging_2121/kartor/A 4713-2026 karta.png", "A 4713-2026")</f>
        <v/>
      </c>
      <c r="Y39">
        <f>HYPERLINK("https://klasma.github.io/Logging_2121/klagomål/A 4713-2026 FSC-klagomål.docx", "A 4713-2026")</f>
        <v/>
      </c>
      <c r="Z39">
        <f>HYPERLINK("https://klasma.github.io/Logging_2121/klagomålsmail/A 4713-2026 FSC-klagomål mail.docx", "A 4713-2026")</f>
        <v/>
      </c>
      <c r="AA39">
        <f>HYPERLINK("https://klasma.github.io/Logging_2121/tillsyn/A 4713-2026 tillsynsbegäran.docx", "A 4713-2026")</f>
        <v/>
      </c>
      <c r="AB39">
        <f>HYPERLINK("https://klasma.github.io/Logging_2121/tillsynsmail/A 4713-2026 tillsynsbegäran mail.docx", "A 4713-2026")</f>
        <v/>
      </c>
    </row>
    <row r="40" ht="15" customHeight="1">
      <c r="A40" t="inlineStr">
        <is>
          <t>A 3587-2025</t>
        </is>
      </c>
      <c r="B40" t="inlineStr">
        <is>
          <t>avverkningsanmälan</t>
        </is>
      </c>
      <c r="C40" t="inlineStr">
        <is>
          <t>Föryngringsavverkning</t>
        </is>
      </c>
      <c r="D40" s="1" t="n">
        <v>45680</v>
      </c>
      <c r="E40" s="1" t="n">
        <v>46222</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s="2" t="inlineStr">
        <is>
          <t>Järpe</t>
        </is>
      </c>
      <c r="V40">
        <f>HYPERLINK("https://klasma.github.io/Logging_2121/artfynd/A 3587-2025 artfynd.xlsx", "A 3587-2025")</f>
        <v/>
      </c>
      <c r="W40">
        <f>HYPERLINK("https://klasma.github.io/Logging_2121/kartor/A 3587-2025 karta.png", "A 3587-2025")</f>
        <v/>
      </c>
      <c r="Y40">
        <f>HYPERLINK("https://klasma.github.io/Logging_2121/klagomål/A 3587-2025 FSC-klagomål.docx", "A 3587-2025")</f>
        <v/>
      </c>
      <c r="Z40">
        <f>HYPERLINK("https://klasma.github.io/Logging_2121/klagomålsmail/A 3587-2025 FSC-klagomål mail.docx", "A 3587-2025")</f>
        <v/>
      </c>
      <c r="AA40">
        <f>HYPERLINK("https://klasma.github.io/Logging_2121/tillsyn/A 3587-2025 tillsynsbegäran.docx", "A 3587-2025")</f>
        <v/>
      </c>
      <c r="AB40">
        <f>HYPERLINK("https://klasma.github.io/Logging_2121/tillsynsmail/A 3587-2025 tillsynsbegäran mail.docx", "A 3587-2025")</f>
        <v/>
      </c>
      <c r="AC40">
        <f>HYPERLINK("https://klasma.github.io/Logging_2121/fåglar/A 3587-2025 prioriterade fågelarter.docx", "A 3587-2025")</f>
        <v/>
      </c>
    </row>
    <row r="41" ht="15" customHeight="1">
      <c r="A41" t="inlineStr">
        <is>
          <t>A 47738-2025</t>
        </is>
      </c>
      <c r="B41" t="inlineStr">
        <is>
          <t>avverkningsanmälan</t>
        </is>
      </c>
      <c r="C41" t="inlineStr">
        <is>
          <t>Föryngringsavverkning</t>
        </is>
      </c>
      <c r="D41" s="1" t="n">
        <v>45931</v>
      </c>
      <c r="E41" s="1" t="n">
        <v>46222</v>
      </c>
      <c r="F41" t="inlineStr">
        <is>
          <t>GÄVLEBORGS LÄN</t>
        </is>
      </c>
      <c r="G41" t="inlineStr">
        <is>
          <t>OVANÅKER</t>
        </is>
      </c>
      <c r="I41" t="n">
        <v>0.6</v>
      </c>
      <c r="J41" t="n">
        <v>0</v>
      </c>
      <c r="K41" t="n">
        <v>0</v>
      </c>
      <c r="L41" t="n">
        <v>1</v>
      </c>
      <c r="M41" t="n">
        <v>0</v>
      </c>
      <c r="N41" t="n">
        <v>0</v>
      </c>
      <c r="O41" t="n">
        <v>0</v>
      </c>
      <c r="P41" t="n">
        <v>0</v>
      </c>
      <c r="Q41" t="n">
        <v>1</v>
      </c>
      <c r="R41" t="n">
        <v>0</v>
      </c>
      <c r="S41" t="n">
        <v>1</v>
      </c>
      <c r="T41" t="n">
        <v>1</v>
      </c>
      <c r="U41" s="2" t="inlineStr">
        <is>
          <t>Myskmåra</t>
        </is>
      </c>
      <c r="V41">
        <f>HYPERLINK("https://klasma.github.io/Logging_2121/artfynd/A 47738-2025 artfynd.xlsx", "A 47738-2025")</f>
        <v/>
      </c>
      <c r="W41">
        <f>HYPERLINK("https://klasma.github.io/Logging_2121/kartor/A 47738-2025 karta.png", "A 47738-2025")</f>
        <v/>
      </c>
      <c r="Y41">
        <f>HYPERLINK("https://klasma.github.io/Logging_2121/klagomål/A 47738-2025 FSC-klagomål.docx", "A 47738-2025")</f>
        <v/>
      </c>
      <c r="Z41">
        <f>HYPERLINK("https://klasma.github.io/Logging_2121/klagomålsmail/A 47738-2025 FSC-klagomål mail.docx", "A 47738-2025")</f>
        <v/>
      </c>
      <c r="AA41">
        <f>HYPERLINK("https://klasma.github.io/Logging_2121/tillsyn/A 47738-2025 tillsynsbegäran.docx", "A 47738-2025")</f>
        <v/>
      </c>
      <c r="AB41">
        <f>HYPERLINK("https://klasma.github.io/Logging_2121/tillsynsmail/A 47738-2025 tillsynsbegäran mail.docx", "A 47738-2025")</f>
        <v/>
      </c>
    </row>
    <row r="42" ht="15" customHeight="1">
      <c r="A42" t="inlineStr">
        <is>
          <t>A 62351-2025</t>
        </is>
      </c>
      <c r="B42" t="inlineStr">
        <is>
          <t>avverkningsanmälan</t>
        </is>
      </c>
      <c r="C42" t="inlineStr">
        <is>
          <t>Föryngringsavverkning</t>
        </is>
      </c>
      <c r="D42" s="1" t="n">
        <v>46007</v>
      </c>
      <c r="E42" s="1" t="n">
        <v>46222</v>
      </c>
      <c r="F42" t="inlineStr">
        <is>
          <t>GÄVLEBORGS LÄN</t>
        </is>
      </c>
      <c r="G42" t="inlineStr">
        <is>
          <t>OVANÅKER</t>
        </is>
      </c>
      <c r="I42" t="n">
        <v>0.9</v>
      </c>
      <c r="J42" t="n">
        <v>1</v>
      </c>
      <c r="K42" t="n">
        <v>0</v>
      </c>
      <c r="L42" t="n">
        <v>0</v>
      </c>
      <c r="M42" t="n">
        <v>0</v>
      </c>
      <c r="N42" t="n">
        <v>0</v>
      </c>
      <c r="O42" t="n">
        <v>0</v>
      </c>
      <c r="P42" t="n">
        <v>0</v>
      </c>
      <c r="Q42" t="n">
        <v>0</v>
      </c>
      <c r="R42" t="n">
        <v>0</v>
      </c>
      <c r="S42" t="n">
        <v>1</v>
      </c>
      <c r="T42" t="n">
        <v>1</v>
      </c>
      <c r="U42" s="2" t="inlineStr">
        <is>
          <t>Stjärtmes</t>
        </is>
      </c>
      <c r="V42">
        <f>HYPERLINK("https://klasma.github.io/Logging_2121/artfynd/A 62351-2025 artfynd.xlsx", "A 62351-2025")</f>
        <v/>
      </c>
      <c r="W42">
        <f>HYPERLINK("https://klasma.github.io/Logging_2121/kartor/A 62351-2025 karta.png", "A 62351-2025")</f>
        <v/>
      </c>
      <c r="Y42">
        <f>HYPERLINK("https://klasma.github.io/Logging_2121/klagomål/A 62351-2025 FSC-klagomål.docx", "A 62351-2025")</f>
        <v/>
      </c>
      <c r="Z42">
        <f>HYPERLINK("https://klasma.github.io/Logging_2121/klagomålsmail/A 62351-2025 FSC-klagomål mail.docx", "A 62351-2025")</f>
        <v/>
      </c>
      <c r="AA42">
        <f>HYPERLINK("https://klasma.github.io/Logging_2121/tillsyn/A 62351-2025 tillsynsbegäran.docx", "A 62351-2025")</f>
        <v/>
      </c>
      <c r="AB42">
        <f>HYPERLINK("https://klasma.github.io/Logging_2121/tillsynsmail/A 62351-2025 tillsynsbegäran mail.docx", "A 62351-2025")</f>
        <v/>
      </c>
    </row>
    <row r="43" ht="15" customHeight="1">
      <c r="A43" t="inlineStr">
        <is>
          <t>A 35373-2024</t>
        </is>
      </c>
      <c r="B43" t="inlineStr">
        <is>
          <t>avverkningsanmälan</t>
        </is>
      </c>
      <c r="C43" t="inlineStr">
        <is>
          <t>Avverkning för att bevara och utveckla /försöksver</t>
        </is>
      </c>
      <c r="D43" s="1" t="n">
        <v>45531</v>
      </c>
      <c r="E43" s="1" t="n">
        <v>46222</v>
      </c>
      <c r="F43" t="inlineStr">
        <is>
          <t>GÄVLEBORGS LÄN</t>
        </is>
      </c>
      <c r="G43" t="inlineStr">
        <is>
          <t>OVANÅKER</t>
        </is>
      </c>
      <c r="H43" t="inlineStr">
        <is>
          <t>Sveaskog</t>
        </is>
      </c>
      <c r="I43" t="n">
        <v>2.3</v>
      </c>
      <c r="J43" t="n">
        <v>0</v>
      </c>
      <c r="K43" t="n">
        <v>0</v>
      </c>
      <c r="L43" t="n">
        <v>1</v>
      </c>
      <c r="M43" t="n">
        <v>0</v>
      </c>
      <c r="N43" t="n">
        <v>0</v>
      </c>
      <c r="O43" t="n">
        <v>0</v>
      </c>
      <c r="P43" t="n">
        <v>0</v>
      </c>
      <c r="Q43" t="n">
        <v>1</v>
      </c>
      <c r="R43" t="n">
        <v>0</v>
      </c>
      <c r="S43" t="n">
        <v>1</v>
      </c>
      <c r="T43" t="n">
        <v>1</v>
      </c>
      <c r="U43" s="2" t="inlineStr">
        <is>
          <t>Vedtrappmossa</t>
        </is>
      </c>
      <c r="V43">
        <f>HYPERLINK("https://klasma.github.io/Logging_2121/artfynd/A 35373-2024 artfynd.xlsx", "A 35373-2024")</f>
        <v/>
      </c>
      <c r="W43">
        <f>HYPERLINK("https://klasma.github.io/Logging_2121/kartor/A 35373-2024 karta.png", "A 35373-2024")</f>
        <v/>
      </c>
      <c r="Y43">
        <f>HYPERLINK("https://klasma.github.io/Logging_2121/klagomål/A 35373-2024 FSC-klagomål.docx", "A 35373-2024")</f>
        <v/>
      </c>
      <c r="Z43">
        <f>HYPERLINK("https://klasma.github.io/Logging_2121/klagomålsmail/A 35373-2024 FSC-klagomål mail.docx", "A 35373-2024")</f>
        <v/>
      </c>
      <c r="AA43">
        <f>HYPERLINK("https://klasma.github.io/Logging_2121/tillsyn/A 35373-2024 tillsynsbegäran.docx", "A 35373-2024")</f>
        <v/>
      </c>
      <c r="AB43">
        <f>HYPERLINK("https://klasma.github.io/Logging_2121/tillsynsmail/A 35373-2024 tillsynsbegäran mail.docx", "A 35373-2024")</f>
        <v/>
      </c>
    </row>
    <row r="44" ht="15" customHeight="1">
      <c r="A44" t="inlineStr">
        <is>
          <t>A 2871-2026</t>
        </is>
      </c>
      <c r="B44" t="inlineStr">
        <is>
          <t>avverkningsanmälan</t>
        </is>
      </c>
      <c r="C44" t="inlineStr">
        <is>
          <t>Föryngringsavverkning</t>
        </is>
      </c>
      <c r="D44" s="1" t="n">
        <v>46038</v>
      </c>
      <c r="E44" s="1" t="n">
        <v>46222</v>
      </c>
      <c r="F44" t="inlineStr">
        <is>
          <t>GÄVLEBORGS LÄN</t>
        </is>
      </c>
      <c r="G44" t="inlineStr">
        <is>
          <t>OVANÅKER</t>
        </is>
      </c>
      <c r="I44" t="n">
        <v>1.8</v>
      </c>
      <c r="J44" t="n">
        <v>1</v>
      </c>
      <c r="K44" t="n">
        <v>0</v>
      </c>
      <c r="L44" t="n">
        <v>0</v>
      </c>
      <c r="M44" t="n">
        <v>1</v>
      </c>
      <c r="N44" t="n">
        <v>0</v>
      </c>
      <c r="O44" t="n">
        <v>0</v>
      </c>
      <c r="P44" t="n">
        <v>0</v>
      </c>
      <c r="Q44" t="n">
        <v>1</v>
      </c>
      <c r="R44" t="n">
        <v>1</v>
      </c>
      <c r="S44" t="n">
        <v>1</v>
      </c>
      <c r="T44" t="n">
        <v>1</v>
      </c>
      <c r="U44" s="2" t="inlineStr">
        <is>
          <t>Knärot</t>
        </is>
      </c>
      <c r="V44">
        <f>HYPERLINK("https://klasma.github.io/Logging_2121/artfynd/A 2871-2026 artfynd.xlsx", "A 2871-2026")</f>
        <v/>
      </c>
      <c r="W44">
        <f>HYPERLINK("https://klasma.github.io/Logging_2121/kartor/A 2871-2026 karta.png", "A 2871-2026")</f>
        <v/>
      </c>
      <c r="X44">
        <f>HYPERLINK("https://klasma.github.io/Logging_2121/knärot/A 2871-2026 karta knärot.png", "A 2871-2026")</f>
        <v/>
      </c>
      <c r="Y44">
        <f>HYPERLINK("https://klasma.github.io/Logging_2121/klagomål/A 2871-2026 FSC-klagomål.docx", "A 2871-2026")</f>
        <v/>
      </c>
      <c r="Z44">
        <f>HYPERLINK("https://klasma.github.io/Logging_2121/klagomålsmail/A 2871-2026 FSC-klagomål mail.docx", "A 2871-2026")</f>
        <v/>
      </c>
      <c r="AA44">
        <f>HYPERLINK("https://klasma.github.io/Logging_2121/tillsyn/A 2871-2026 tillsynsbegäran.docx", "A 2871-2026")</f>
        <v/>
      </c>
      <c r="AB44">
        <f>HYPERLINK("https://klasma.github.io/Logging_2121/tillsynsmail/A 2871-2026 tillsynsbegäran mail.docx", "A 2871-2026")</f>
        <v/>
      </c>
    </row>
    <row r="45" ht="15" customHeight="1">
      <c r="A45" t="inlineStr">
        <is>
          <t>A 16309-2026</t>
        </is>
      </c>
      <c r="B45" t="inlineStr">
        <is>
          <t>avverkningsanmälan</t>
        </is>
      </c>
      <c r="C45" t="inlineStr">
        <is>
          <t>Föryngringsavverkning</t>
        </is>
      </c>
      <c r="D45" s="1" t="n">
        <v>46111</v>
      </c>
      <c r="E45" s="1" t="n">
        <v>46222</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s="2" t="inlineStr">
        <is>
          <t>Vedticka</t>
        </is>
      </c>
      <c r="V45">
        <f>HYPERLINK("https://klasma.github.io/Logging_2121/artfynd/A 16309-2026 artfynd.xlsx", "A 16309-2026")</f>
        <v/>
      </c>
      <c r="W45">
        <f>HYPERLINK("https://klasma.github.io/Logging_2121/kartor/A 16309-2026 karta.png", "A 16309-2026")</f>
        <v/>
      </c>
      <c r="Y45">
        <f>HYPERLINK("https://klasma.github.io/Logging_2121/klagomål/A 16309-2026 FSC-klagomål.docx", "A 16309-2026")</f>
        <v/>
      </c>
      <c r="Z45">
        <f>HYPERLINK("https://klasma.github.io/Logging_2121/klagomålsmail/A 16309-2026 FSC-klagomål mail.docx", "A 16309-2026")</f>
        <v/>
      </c>
      <c r="AA45">
        <f>HYPERLINK("https://klasma.github.io/Logging_2121/tillsyn/A 16309-2026 tillsynsbegäran.docx", "A 16309-2026")</f>
        <v/>
      </c>
      <c r="AB45">
        <f>HYPERLINK("https://klasma.github.io/Logging_2121/tillsynsmail/A 16309-2026 tillsynsbegäran mail.docx", "A 16309-2026")</f>
        <v/>
      </c>
    </row>
    <row r="46" ht="15" customHeight="1">
      <c r="A46" t="inlineStr">
        <is>
          <t>A 42076-2023</t>
        </is>
      </c>
      <c r="B46" t="inlineStr">
        <is>
          <t>avverkningsanmälan</t>
        </is>
      </c>
      <c r="C46" t="inlineStr">
        <is>
          <t>Föryngringsavverkning</t>
        </is>
      </c>
      <c r="D46" s="1" t="n">
        <v>45177</v>
      </c>
      <c r="E46" s="1" t="n">
        <v>46222</v>
      </c>
      <c r="F46" t="inlineStr">
        <is>
          <t>GÄVLEBORGS LÄN</t>
        </is>
      </c>
      <c r="G46" t="inlineStr">
        <is>
          <t>OVANÅKER</t>
        </is>
      </c>
      <c r="I46" t="n">
        <v>3.6</v>
      </c>
      <c r="J46" t="n">
        <v>0</v>
      </c>
      <c r="K46" t="n">
        <v>0</v>
      </c>
      <c r="L46" t="n">
        <v>1</v>
      </c>
      <c r="M46" t="n">
        <v>0</v>
      </c>
      <c r="N46" t="n">
        <v>0</v>
      </c>
      <c r="O46" t="n">
        <v>0</v>
      </c>
      <c r="P46" t="n">
        <v>0</v>
      </c>
      <c r="Q46" t="n">
        <v>1</v>
      </c>
      <c r="R46" t="n">
        <v>0</v>
      </c>
      <c r="S46" t="n">
        <v>1</v>
      </c>
      <c r="T46" t="n">
        <v>1</v>
      </c>
      <c r="U46" s="2" t="inlineStr">
        <is>
          <t>Ullticka</t>
        </is>
      </c>
      <c r="V46">
        <f>HYPERLINK("https://klasma.github.io/Logging_2121/artfynd/A 42076-2023 artfynd.xlsx", "A 42076-2023")</f>
        <v/>
      </c>
      <c r="W46">
        <f>HYPERLINK("https://klasma.github.io/Logging_2121/kartor/A 42076-2023 karta.png", "A 42076-2023")</f>
        <v/>
      </c>
      <c r="Y46">
        <f>HYPERLINK("https://klasma.github.io/Logging_2121/klagomål/A 42076-2023 FSC-klagomål.docx", "A 42076-2023")</f>
        <v/>
      </c>
      <c r="Z46">
        <f>HYPERLINK("https://klasma.github.io/Logging_2121/klagomålsmail/A 42076-2023 FSC-klagomål mail.docx", "A 42076-2023")</f>
        <v/>
      </c>
      <c r="AA46">
        <f>HYPERLINK("https://klasma.github.io/Logging_2121/tillsyn/A 42076-2023 tillsynsbegäran.docx", "A 42076-2023")</f>
        <v/>
      </c>
      <c r="AB46">
        <f>HYPERLINK("https://klasma.github.io/Logging_2121/tillsynsmail/A 42076-2023 tillsynsbegäran mail.docx", "A 42076-2023")</f>
        <v/>
      </c>
    </row>
    <row r="47" ht="15" customHeight="1">
      <c r="A47" t="inlineStr">
        <is>
          <t>A 5078-2026</t>
        </is>
      </c>
      <c r="B47" t="inlineStr">
        <is>
          <t>avverkningsanmälan</t>
        </is>
      </c>
      <c r="C47" t="inlineStr">
        <is>
          <t>Föryngringsavverkning</t>
        </is>
      </c>
      <c r="D47" s="1" t="n">
        <v>46049</v>
      </c>
      <c r="E47" s="1" t="n">
        <v>46222</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s="2" t="inlineStr">
        <is>
          <t>Knärot</t>
        </is>
      </c>
      <c r="V47">
        <f>HYPERLINK("https://klasma.github.io/Logging_2121/artfynd/A 5078-2026 artfynd.xlsx", "A 5078-2026")</f>
        <v/>
      </c>
      <c r="W47">
        <f>HYPERLINK("https://klasma.github.io/Logging_2121/kartor/A 5078-2026 karta.png", "A 5078-2026")</f>
        <v/>
      </c>
      <c r="X47">
        <f>HYPERLINK("https://klasma.github.io/Logging_2121/knärot/A 5078-2026 karta knärot.png", "A 5078-2026")</f>
        <v/>
      </c>
      <c r="Y47">
        <f>HYPERLINK("https://klasma.github.io/Logging_2121/klagomål/A 5078-2026 FSC-klagomål.docx", "A 5078-2026")</f>
        <v/>
      </c>
      <c r="Z47">
        <f>HYPERLINK("https://klasma.github.io/Logging_2121/klagomålsmail/A 5078-2026 FSC-klagomål mail.docx", "A 5078-2026")</f>
        <v/>
      </c>
      <c r="AA47">
        <f>HYPERLINK("https://klasma.github.io/Logging_2121/tillsyn/A 5078-2026 tillsynsbegäran.docx", "A 5078-2026")</f>
        <v/>
      </c>
      <c r="AB47">
        <f>HYPERLINK("https://klasma.github.io/Logging_2121/tillsynsmail/A 5078-2026 tillsynsbegäran mail.docx", "A 5078-2026")</f>
        <v/>
      </c>
    </row>
    <row r="48" ht="15" customHeight="1">
      <c r="A48" t="inlineStr">
        <is>
          <t>A 13658-2026</t>
        </is>
      </c>
      <c r="B48" t="inlineStr">
        <is>
          <t>avverkningsanmälan</t>
        </is>
      </c>
      <c r="C48" t="inlineStr">
        <is>
          <t>Föryngringsavverkning</t>
        </is>
      </c>
      <c r="D48" s="1" t="n">
        <v>46097</v>
      </c>
      <c r="E48" s="1" t="n">
        <v>46222</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s="2" t="inlineStr">
        <is>
          <t>Brunklöver</t>
        </is>
      </c>
      <c r="V48">
        <f>HYPERLINK("https://klasma.github.io/Logging_2121/artfynd/A 13658-2026 artfynd.xlsx", "A 13658-2026")</f>
        <v/>
      </c>
      <c r="W48">
        <f>HYPERLINK("https://klasma.github.io/Logging_2121/kartor/A 13658-2026 karta.png", "A 13658-2026")</f>
        <v/>
      </c>
      <c r="Y48">
        <f>HYPERLINK("https://klasma.github.io/Logging_2121/klagomål/A 13658-2026 FSC-klagomål.docx", "A 13658-2026")</f>
        <v/>
      </c>
      <c r="Z48">
        <f>HYPERLINK("https://klasma.github.io/Logging_2121/klagomålsmail/A 13658-2026 FSC-klagomål mail.docx", "A 13658-2026")</f>
        <v/>
      </c>
      <c r="AA48">
        <f>HYPERLINK("https://klasma.github.io/Logging_2121/tillsyn/A 13658-2026 tillsynsbegäran.docx", "A 13658-2026")</f>
        <v/>
      </c>
      <c r="AB48">
        <f>HYPERLINK("https://klasma.github.io/Logging_2121/tillsynsmail/A 13658-2026 tillsynsbegäran mail.docx", "A 13658-2026")</f>
        <v/>
      </c>
    </row>
    <row r="49" ht="15" customHeight="1">
      <c r="A49" t="inlineStr">
        <is>
          <t>A 6111-2026</t>
        </is>
      </c>
      <c r="B49" t="inlineStr">
        <is>
          <t>avverkningsanmälan</t>
        </is>
      </c>
      <c r="C49" t="inlineStr">
        <is>
          <t>Föryngringsavverkning</t>
        </is>
      </c>
      <c r="D49" s="1" t="n">
        <v>46053</v>
      </c>
      <c r="E49" s="1" t="n">
        <v>46222</v>
      </c>
      <c r="F49" t="inlineStr">
        <is>
          <t>GÄVLEBORGS LÄN</t>
        </is>
      </c>
      <c r="G49" t="inlineStr">
        <is>
          <t>OVANÅKER</t>
        </is>
      </c>
      <c r="I49" t="n">
        <v>1.1</v>
      </c>
      <c r="J49" t="n">
        <v>1</v>
      </c>
      <c r="K49" t="n">
        <v>0</v>
      </c>
      <c r="L49" t="n">
        <v>0</v>
      </c>
      <c r="M49" t="n">
        <v>1</v>
      </c>
      <c r="N49" t="n">
        <v>0</v>
      </c>
      <c r="O49" t="n">
        <v>0</v>
      </c>
      <c r="P49" t="n">
        <v>0</v>
      </c>
      <c r="Q49" t="n">
        <v>1</v>
      </c>
      <c r="R49" t="n">
        <v>1</v>
      </c>
      <c r="S49" t="n">
        <v>1</v>
      </c>
      <c r="T49" t="n">
        <v>1</v>
      </c>
      <c r="U49" s="2" t="inlineStr">
        <is>
          <t>Knärot</t>
        </is>
      </c>
      <c r="V49">
        <f>HYPERLINK("https://klasma.github.io/Logging_2121/artfynd/A 6111-2026 artfynd.xlsx", "A 6111-2026")</f>
        <v/>
      </c>
      <c r="W49">
        <f>HYPERLINK("https://klasma.github.io/Logging_2121/kartor/A 6111-2026 karta.png", "A 6111-2026")</f>
        <v/>
      </c>
      <c r="X49">
        <f>HYPERLINK("https://klasma.github.io/Logging_2121/knärot/A 6111-2026 karta knärot.png", "A 6111-2026")</f>
        <v/>
      </c>
      <c r="Y49">
        <f>HYPERLINK("https://klasma.github.io/Logging_2121/klagomål/A 6111-2026 FSC-klagomål.docx", "A 6111-2026")</f>
        <v/>
      </c>
      <c r="Z49">
        <f>HYPERLINK("https://klasma.github.io/Logging_2121/klagomålsmail/A 6111-2026 FSC-klagomål mail.docx", "A 6111-2026")</f>
        <v/>
      </c>
      <c r="AA49">
        <f>HYPERLINK("https://klasma.github.io/Logging_2121/tillsyn/A 6111-2026 tillsynsbegäran.docx", "A 6111-2026")</f>
        <v/>
      </c>
      <c r="AB49">
        <f>HYPERLINK("https://klasma.github.io/Logging_2121/tillsynsmail/A 6111-2026 tillsynsbegäran mail.docx", "A 6111-2026")</f>
        <v/>
      </c>
    </row>
    <row r="50" ht="15" customHeight="1">
      <c r="A50" t="inlineStr">
        <is>
          <t>A 31023-2023</t>
        </is>
      </c>
      <c r="B50" t="inlineStr">
        <is>
          <t>avverkningsanmälan</t>
        </is>
      </c>
      <c r="C50" t="inlineStr">
        <is>
          <t>Föryngringsavverkning</t>
        </is>
      </c>
      <c r="D50" s="1" t="n">
        <v>45113</v>
      </c>
      <c r="E50" s="1" t="n">
        <v>46222</v>
      </c>
      <c r="F50" t="inlineStr">
        <is>
          <t>GÄVLEBORGS LÄN</t>
        </is>
      </c>
      <c r="G50" t="inlineStr">
        <is>
          <t>OVANÅKER</t>
        </is>
      </c>
      <c r="I50" t="n">
        <v>2.3</v>
      </c>
      <c r="J50" t="n">
        <v>1</v>
      </c>
      <c r="K50" t="n">
        <v>0</v>
      </c>
      <c r="L50" t="n">
        <v>0</v>
      </c>
      <c r="M50" t="n">
        <v>0</v>
      </c>
      <c r="N50" t="n">
        <v>0</v>
      </c>
      <c r="O50" t="n">
        <v>0</v>
      </c>
      <c r="P50" t="n">
        <v>0</v>
      </c>
      <c r="Q50" t="n">
        <v>0</v>
      </c>
      <c r="R50" t="n">
        <v>0</v>
      </c>
      <c r="S50" t="n">
        <v>1</v>
      </c>
      <c r="T50" t="n">
        <v>1</v>
      </c>
      <c r="U50" s="2" t="inlineStr">
        <is>
          <t>Spillkråka</t>
        </is>
      </c>
      <c r="V50">
        <f>HYPERLINK("https://klasma.github.io/Logging_2121/artfynd/A 31023-2023 artfynd.xlsx", "A 31023-2023")</f>
        <v/>
      </c>
      <c r="W50">
        <f>HYPERLINK("https://klasma.github.io/Logging_2121/kartor/A 31023-2023 karta.png", "A 31023-2023")</f>
        <v/>
      </c>
      <c r="Y50">
        <f>HYPERLINK("https://klasma.github.io/Logging_2121/klagomål/A 31023-2023 FSC-klagomål.docx", "A 31023-2023")</f>
        <v/>
      </c>
      <c r="Z50">
        <f>HYPERLINK("https://klasma.github.io/Logging_2121/klagomålsmail/A 31023-2023 FSC-klagomål mail.docx", "A 31023-2023")</f>
        <v/>
      </c>
      <c r="AA50">
        <f>HYPERLINK("https://klasma.github.io/Logging_2121/tillsyn/A 31023-2023 tillsynsbegäran.docx", "A 31023-2023")</f>
        <v/>
      </c>
      <c r="AB50">
        <f>HYPERLINK("https://klasma.github.io/Logging_2121/tillsynsmail/A 31023-2023 tillsynsbegäran mail.docx", "A 31023-2023")</f>
        <v/>
      </c>
      <c r="AC50">
        <f>HYPERLINK("https://klasma.github.io/Logging_2121/fåglar/A 31023-2023 prioriterade fågelarter.docx", "A 31023-2023")</f>
        <v/>
      </c>
    </row>
    <row r="51" ht="15" customHeight="1">
      <c r="A51" t="inlineStr">
        <is>
          <t>A 20659-2026</t>
        </is>
      </c>
      <c r="B51" t="inlineStr">
        <is>
          <t>avverkningsanmälan</t>
        </is>
      </c>
      <c r="C51" t="inlineStr">
        <is>
          <t>Föryngringsavverkning</t>
        </is>
      </c>
      <c r="D51" s="1" t="n">
        <v>46141</v>
      </c>
      <c r="E51" s="1" t="n">
        <v>46222</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s="2" t="inlineStr">
        <is>
          <t>Skogsduva</t>
        </is>
      </c>
      <c r="V51">
        <f>HYPERLINK("https://klasma.github.io/Logging_2121/artfynd/A 20659-2026 artfynd.xlsx", "A 20659-2026")</f>
        <v/>
      </c>
      <c r="W51">
        <f>HYPERLINK("https://klasma.github.io/Logging_2121/kartor/A 20659-2026 karta.png", "A 20659-2026")</f>
        <v/>
      </c>
      <c r="Y51">
        <f>HYPERLINK("https://klasma.github.io/Logging_2121/klagomål/A 20659-2026 FSC-klagomål.docx", "A 20659-2026")</f>
        <v/>
      </c>
      <c r="Z51">
        <f>HYPERLINK("https://klasma.github.io/Logging_2121/klagomålsmail/A 20659-2026 FSC-klagomål mail.docx", "A 20659-2026")</f>
        <v/>
      </c>
      <c r="AA51">
        <f>HYPERLINK("https://klasma.github.io/Logging_2121/tillsyn/A 20659-2026 tillsynsbegäran.docx", "A 20659-2026")</f>
        <v/>
      </c>
      <c r="AB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46222</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s="2" t="inlineStr">
        <is>
          <t>Varglav</t>
        </is>
      </c>
      <c r="V52">
        <f>HYPERLINK("https://klasma.github.io/Logging_2121/artfynd/A 17924-2026 artfynd.xlsx", "A 17924-2026")</f>
        <v/>
      </c>
      <c r="W52">
        <f>HYPERLINK("https://klasma.github.io/Logging_2121/kartor/A 17924-2026 karta.png", "A 17924-2026")</f>
        <v/>
      </c>
      <c r="Y52">
        <f>HYPERLINK("https://klasma.github.io/Logging_2121/klagomål/A 17924-2026 FSC-klagomål.docx", "A 17924-2026")</f>
        <v/>
      </c>
      <c r="Z52">
        <f>HYPERLINK("https://klasma.github.io/Logging_2121/klagomålsmail/A 17924-2026 FSC-klagomål mail.docx", "A 17924-2026")</f>
        <v/>
      </c>
      <c r="AA52">
        <f>HYPERLINK("https://klasma.github.io/Logging_2121/tillsyn/A 17924-2026 tillsynsbegäran.docx", "A 17924-2026")</f>
        <v/>
      </c>
      <c r="AB52">
        <f>HYPERLINK("https://klasma.github.io/Logging_2121/tillsynsmail/A 17924-2026 tillsynsbegäran mail.docx", "A 17924-2026")</f>
        <v/>
      </c>
    </row>
    <row r="53" ht="15" customHeight="1">
      <c r="A53" t="inlineStr">
        <is>
          <t>A 1214-2024</t>
        </is>
      </c>
      <c r="B53" t="inlineStr">
        <is>
          <t>avverkningsanmälan</t>
        </is>
      </c>
      <c r="C53" t="inlineStr">
        <is>
          <t>Föryngringsavverkning</t>
        </is>
      </c>
      <c r="D53" s="1" t="n">
        <v>45302</v>
      </c>
      <c r="E53" s="1" t="n">
        <v>46222</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s="2" t="inlineStr">
        <is>
          <t>Fläcknycklar</t>
        </is>
      </c>
      <c r="V53">
        <f>HYPERLINK("https://klasma.github.io/Logging_2121/artfynd/A 1214-2024 artfynd.xlsx", "A 1214-2024")</f>
        <v/>
      </c>
      <c r="W53">
        <f>HYPERLINK("https://klasma.github.io/Logging_2121/kartor/A 1214-2024 karta.png", "A 1214-2024")</f>
        <v/>
      </c>
      <c r="Y53">
        <f>HYPERLINK("https://klasma.github.io/Logging_2121/klagomål/A 1214-2024 FSC-klagomål.docx", "A 1214-2024")</f>
        <v/>
      </c>
      <c r="Z53">
        <f>HYPERLINK("https://klasma.github.io/Logging_2121/klagomålsmail/A 1214-2024 FSC-klagomål mail.docx", "A 1214-2024")</f>
        <v/>
      </c>
      <c r="AA53">
        <f>HYPERLINK("https://klasma.github.io/Logging_2121/tillsyn/A 1214-2024 tillsynsbegäran.docx", "A 1214-2024")</f>
        <v/>
      </c>
      <c r="AB53">
        <f>HYPERLINK("https://klasma.github.io/Logging_2121/tillsynsmail/A 1214-2024 tillsynsbegäran mail.docx", "A 1214-2024")</f>
        <v/>
      </c>
    </row>
    <row r="54" ht="15" customHeight="1">
      <c r="A54" t="inlineStr">
        <is>
          <t>A 58307-2022</t>
        </is>
      </c>
      <c r="B54" t="inlineStr">
        <is>
          <t>avverkningsanmälan</t>
        </is>
      </c>
      <c r="C54" t="inlineStr">
        <is>
          <t>Föryngringsavverkning</t>
        </is>
      </c>
      <c r="D54" s="1" t="n">
        <v>44901</v>
      </c>
      <c r="E54" s="1" t="n">
        <v>46222</v>
      </c>
      <c r="F54" t="inlineStr">
        <is>
          <t>GÄVLEBORGS LÄN</t>
        </is>
      </c>
      <c r="G54" t="inlineStr">
        <is>
          <t>OVANÅKER</t>
        </is>
      </c>
      <c r="I54" t="n">
        <v>3.2</v>
      </c>
      <c r="J54" t="n">
        <v>0</v>
      </c>
      <c r="K54" t="n">
        <v>1</v>
      </c>
      <c r="L54" t="n">
        <v>0</v>
      </c>
      <c r="M54" t="n">
        <v>0</v>
      </c>
      <c r="N54" t="n">
        <v>0</v>
      </c>
      <c r="O54" t="n">
        <v>0</v>
      </c>
      <c r="P54" t="n">
        <v>0</v>
      </c>
      <c r="Q54" t="n">
        <v>0</v>
      </c>
      <c r="R54" t="n">
        <v>0</v>
      </c>
      <c r="S54" t="n">
        <v>1</v>
      </c>
      <c r="T54" t="n">
        <v>1</v>
      </c>
      <c r="U54" s="2" t="inlineStr">
        <is>
          <t>Aprikosfingersvamp</t>
        </is>
      </c>
      <c r="V54">
        <f>HYPERLINK("https://klasma.github.io/Logging_2121/artfynd/A 58307-2022 artfynd.xlsx", "A 58307-2022")</f>
        <v/>
      </c>
      <c r="W54">
        <f>HYPERLINK("https://klasma.github.io/Logging_2121/kartor/A 58307-2022 karta.png", "A 58307-2022")</f>
        <v/>
      </c>
      <c r="Y54">
        <f>HYPERLINK("https://klasma.github.io/Logging_2121/klagomål/A 58307-2022 FSC-klagomål.docx", "A 58307-2022")</f>
        <v/>
      </c>
      <c r="Z54">
        <f>HYPERLINK("https://klasma.github.io/Logging_2121/klagomålsmail/A 58307-2022 FSC-klagomål mail.docx", "A 58307-2022")</f>
        <v/>
      </c>
      <c r="AA54">
        <f>HYPERLINK("https://klasma.github.io/Logging_2121/tillsyn/A 58307-2022 tillsynsbegäran.docx", "A 58307-2022")</f>
        <v/>
      </c>
      <c r="AB54">
        <f>HYPERLINK("https://klasma.github.io/Logging_2121/tillsynsmail/A 58307-2022 tillsynsbegäran mail.docx", "A 58307-2022")</f>
        <v/>
      </c>
    </row>
    <row r="55" ht="15" customHeight="1">
      <c r="A55" t="inlineStr">
        <is>
          <t>A 30161-2026</t>
        </is>
      </c>
      <c r="B55" t="inlineStr">
        <is>
          <t>avverkningsanmälan</t>
        </is>
      </c>
      <c r="C55" t="inlineStr">
        <is>
          <t>Föryngringsavverkning</t>
        </is>
      </c>
      <c r="D55" s="1" t="n">
        <v>46206</v>
      </c>
      <c r="E55" s="1" t="n">
        <v>46222</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s="2" t="inlineStr">
        <is>
          <t>Nattviol</t>
        </is>
      </c>
      <c r="V55">
        <f>HYPERLINK("https://klasma.github.io/Logging_2121/artfynd/A 30161-2026 artfynd.xlsx", "A 30161-2026")</f>
        <v/>
      </c>
      <c r="W55">
        <f>HYPERLINK("https://klasma.github.io/Logging_2121/kartor/A 30161-2026 karta.png", "A 30161-2026")</f>
        <v/>
      </c>
      <c r="Y55">
        <f>HYPERLINK("https://klasma.github.io/Logging_2121/klagomål/A 30161-2026 FSC-klagomål.docx", "A 30161-2026")</f>
        <v/>
      </c>
      <c r="Z55">
        <f>HYPERLINK("https://klasma.github.io/Logging_2121/klagomålsmail/A 30161-2026 FSC-klagomål mail.docx", "A 30161-2026")</f>
        <v/>
      </c>
      <c r="AA55">
        <f>HYPERLINK("https://klasma.github.io/Logging_2121/tillsyn/A 30161-2026 tillsynsbegäran.docx", "A 30161-2026")</f>
        <v/>
      </c>
      <c r="AB55">
        <f>HYPERLINK("https://klasma.github.io/Logging_2121/tillsynsmail/A 30161-2026 tillsynsbegäran mail.docx", "A 30161-2026")</f>
        <v/>
      </c>
    </row>
    <row r="56" ht="15" customHeight="1">
      <c r="A56" t="inlineStr">
        <is>
          <t>S 3580-2022</t>
        </is>
      </c>
      <c r="B56" t="inlineStr">
        <is>
          <t>samrådsanmälan</t>
        </is>
      </c>
      <c r="C56" t="inlineStr">
        <is>
          <t>Annan skogsbruksåtgärd</t>
        </is>
      </c>
      <c r="D56" s="1" t="n">
        <v>44738</v>
      </c>
      <c r="E56" s="1" t="n">
        <v>46222</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s="2" t="inlineStr">
        <is>
          <t>Dvärgbägarlav</t>
        </is>
      </c>
      <c r="V56">
        <f>HYPERLINK("https://klasma.github.io/Logging_2121/artfynd/S 3580-2022 artfynd.xlsx", "S 3580-2022")</f>
        <v/>
      </c>
      <c r="W56">
        <f>HYPERLINK("https://klasma.github.io/Logging_2121/kartor/S 3580-2022 karta.png", "S 3580-2022")</f>
        <v/>
      </c>
      <c r="Y56">
        <f>HYPERLINK("https://klasma.github.io/Logging_2121/klagomål/S 3580-2022 FSC-klagomål.docx", "S 3580-2022")</f>
        <v/>
      </c>
      <c r="Z56">
        <f>HYPERLINK("https://klasma.github.io/Logging_2121/klagomålsmail/S 3580-2022 FSC-klagomål mail.docx", "S 3580-2022")</f>
        <v/>
      </c>
      <c r="AA56">
        <f>HYPERLINK("https://klasma.github.io/Logging_2121/tillsyn/S 3580-2022 tillsynsbegäran.docx", "S 3580-2022")</f>
        <v/>
      </c>
      <c r="AB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46222</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s="2" t="inlineStr">
        <is>
          <t>Garnlav</t>
        </is>
      </c>
      <c r="V57">
        <f>HYPERLINK("https://klasma.github.io/Logging_2121/artfynd/S 41-2025 artfynd.xlsx", "S 41-2025")</f>
        <v/>
      </c>
      <c r="W57">
        <f>HYPERLINK("https://klasma.github.io/Logging_2121/kartor/S 41-2025 karta.png", "S 41-2025")</f>
        <v/>
      </c>
      <c r="Y57">
        <f>HYPERLINK("https://klasma.github.io/Logging_2121/klagomål/S 41-2025 FSC-klagomål.docx", "S 41-2025")</f>
        <v/>
      </c>
      <c r="Z57">
        <f>HYPERLINK("https://klasma.github.io/Logging_2121/klagomålsmail/S 41-2025 FSC-klagomål mail.docx", "S 41-2025")</f>
        <v/>
      </c>
      <c r="AA57">
        <f>HYPERLINK("https://klasma.github.io/Logging_2121/tillsyn/S 41-2025 tillsynsbegäran.docx", "S 41-2025")</f>
        <v/>
      </c>
      <c r="AB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46222</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s="2" t="inlineStr">
        <is>
          <t>Berglärka</t>
        </is>
      </c>
      <c r="V58">
        <f>HYPERLINK("https://klasma.github.io/Logging_2121/artfynd/S 405-2025 artfynd.xlsx", "S 405-2025")</f>
        <v/>
      </c>
      <c r="W58">
        <f>HYPERLINK("https://klasma.github.io/Logging_2121/kartor/S 405-2025 karta.png", "S 405-2025")</f>
        <v/>
      </c>
      <c r="Y58">
        <f>HYPERLINK("https://klasma.github.io/Logging_2121/klagomål/S 405-2025 FSC-klagomål.docx", "S 405-2025")</f>
        <v/>
      </c>
      <c r="Z58">
        <f>HYPERLINK("https://klasma.github.io/Logging_2121/klagomålsmail/S 405-2025 FSC-klagomål mail.docx", "S 405-2025")</f>
        <v/>
      </c>
      <c r="AA58">
        <f>HYPERLINK("https://klasma.github.io/Logging_2121/tillsyn/S 405-2025 tillsynsbegäran.docx", "S 405-2025")</f>
        <v/>
      </c>
      <c r="AB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46222</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s="2" t="inlineStr">
        <is>
          <t>Kolflarnlav</t>
        </is>
      </c>
      <c r="V59">
        <f>HYPERLINK("https://klasma.github.io/Logging_2121/artfynd/S 641-2025 artfynd.xlsx", "S 641-2025")</f>
        <v/>
      </c>
      <c r="W59">
        <f>HYPERLINK("https://klasma.github.io/Logging_2121/kartor/S 641-2025 karta.png", "S 641-2025")</f>
        <v/>
      </c>
      <c r="Y59">
        <f>HYPERLINK("https://klasma.github.io/Logging_2121/klagomål/S 641-2025 FSC-klagomål.docx", "S 641-2025")</f>
        <v/>
      </c>
      <c r="Z59">
        <f>HYPERLINK("https://klasma.github.io/Logging_2121/klagomålsmail/S 641-2025 FSC-klagomål mail.docx", "S 641-2025")</f>
        <v/>
      </c>
      <c r="AA59">
        <f>HYPERLINK("https://klasma.github.io/Logging_2121/tillsyn/S 641-2025 tillsynsbegäran.docx", "S 641-2025")</f>
        <v/>
      </c>
      <c r="AB59">
        <f>HYPERLINK("https://klasma.github.io/Logging_2121/tillsynsmail/S 641-2025 tillsynsbegäran mail.docx", "S 641-2025")</f>
        <v/>
      </c>
    </row>
    <row r="60" ht="15" customHeight="1">
      <c r="A60" t="inlineStr">
        <is>
          <t>A 25394-2022</t>
        </is>
      </c>
      <c r="B60" t="inlineStr">
        <is>
          <t>avverkningsanmälan</t>
        </is>
      </c>
      <c r="C60" t="inlineStr">
        <is>
          <t>Föryngringsavverkning</t>
        </is>
      </c>
      <c r="D60" s="1" t="n">
        <v>44732</v>
      </c>
      <c r="E60" s="1" t="n">
        <v>46222</v>
      </c>
      <c r="F60" t="inlineStr">
        <is>
          <t>GÄVLEBORGS LÄN</t>
        </is>
      </c>
      <c r="G60" t="inlineStr">
        <is>
          <t>OVANÅKER</t>
        </is>
      </c>
      <c r="I60" t="n">
        <v>0.3</v>
      </c>
      <c r="J60" t="n">
        <v>0</v>
      </c>
      <c r="K60" t="n">
        <v>0</v>
      </c>
      <c r="L60" t="n">
        <v>0</v>
      </c>
      <c r="M60" t="n">
        <v>0</v>
      </c>
      <c r="N60" t="n">
        <v>0</v>
      </c>
      <c r="O60" t="n">
        <v>0</v>
      </c>
      <c r="P60" t="n">
        <v>0</v>
      </c>
      <c r="Q60" t="n">
        <v>0</v>
      </c>
      <c r="R60" t="n">
        <v>0</v>
      </c>
      <c r="S60" t="n">
        <v>0</v>
      </c>
      <c r="T60" t="n">
        <v>0</v>
      </c>
      <c r="U60" s="2" t="inlineStr"/>
    </row>
    <row r="61" ht="15" customHeight="1">
      <c r="A61" t="inlineStr">
        <is>
          <t>A 51237-2022</t>
        </is>
      </c>
      <c r="B61" t="inlineStr">
        <is>
          <t>avverkningsanmälan</t>
        </is>
      </c>
      <c r="C61" t="inlineStr">
        <is>
          <t>Föryngringsavverkning</t>
        </is>
      </c>
      <c r="D61" s="1" t="n">
        <v>44868</v>
      </c>
      <c r="E61" s="1" t="n">
        <v>46222</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s="2" t="inlineStr"/>
    </row>
    <row r="62" ht="15" customHeight="1">
      <c r="A62" t="inlineStr">
        <is>
          <t>A 1588-2022</t>
        </is>
      </c>
      <c r="B62" t="inlineStr">
        <is>
          <t>avverkningsanmälan</t>
        </is>
      </c>
      <c r="C62" t="inlineStr">
        <is>
          <t>Föryngringsavverkning</t>
        </is>
      </c>
      <c r="D62" s="1" t="n">
        <v>44573</v>
      </c>
      <c r="E62" s="1" t="n">
        <v>46222</v>
      </c>
      <c r="F62" t="inlineStr">
        <is>
          <t>GÄVLEBORGS LÄN</t>
        </is>
      </c>
      <c r="G62" t="inlineStr">
        <is>
          <t>OVANÅKER</t>
        </is>
      </c>
      <c r="I62" t="n">
        <v>0.4</v>
      </c>
      <c r="J62" t="n">
        <v>0</v>
      </c>
      <c r="K62" t="n">
        <v>0</v>
      </c>
      <c r="L62" t="n">
        <v>0</v>
      </c>
      <c r="M62" t="n">
        <v>0</v>
      </c>
      <c r="N62" t="n">
        <v>0</v>
      </c>
      <c r="O62" t="n">
        <v>0</v>
      </c>
      <c r="P62" t="n">
        <v>0</v>
      </c>
      <c r="Q62" t="n">
        <v>0</v>
      </c>
      <c r="R62" t="n">
        <v>0</v>
      </c>
      <c r="S62" t="n">
        <v>0</v>
      </c>
      <c r="T62" t="n">
        <v>0</v>
      </c>
      <c r="U62" s="2" t="inlineStr"/>
    </row>
    <row r="63" ht="15" customHeight="1">
      <c r="A63" t="inlineStr">
        <is>
          <t>A 1594-2022</t>
        </is>
      </c>
      <c r="B63" t="inlineStr">
        <is>
          <t>avverkningsanmälan</t>
        </is>
      </c>
      <c r="C63" t="inlineStr">
        <is>
          <t>Föryngringsavverkning</t>
        </is>
      </c>
      <c r="D63" s="1" t="n">
        <v>44573</v>
      </c>
      <c r="E63" s="1" t="n">
        <v>46222</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s="2" t="inlineStr"/>
    </row>
    <row r="64" ht="15" customHeight="1">
      <c r="A64" t="inlineStr">
        <is>
          <t>A 54013-2021</t>
        </is>
      </c>
      <c r="B64" t="inlineStr">
        <is>
          <t>avverkningsanmälan</t>
        </is>
      </c>
      <c r="C64" t="inlineStr">
        <is>
          <t>Föryngringsavverkning</t>
        </is>
      </c>
      <c r="D64" s="1" t="n">
        <v>44470</v>
      </c>
      <c r="E64" s="1" t="n">
        <v>46222</v>
      </c>
      <c r="F64" t="inlineStr">
        <is>
          <t>GÄVLEBORGS LÄN</t>
        </is>
      </c>
      <c r="G64" t="inlineStr">
        <is>
          <t>OVANÅKER</t>
        </is>
      </c>
      <c r="I64" t="n">
        <v>2.5</v>
      </c>
      <c r="J64" t="n">
        <v>0</v>
      </c>
      <c r="K64" t="n">
        <v>0</v>
      </c>
      <c r="L64" t="n">
        <v>0</v>
      </c>
      <c r="M64" t="n">
        <v>0</v>
      </c>
      <c r="N64" t="n">
        <v>0</v>
      </c>
      <c r="O64" t="n">
        <v>0</v>
      </c>
      <c r="P64" t="n">
        <v>0</v>
      </c>
      <c r="Q64" t="n">
        <v>0</v>
      </c>
      <c r="R64" t="n">
        <v>0</v>
      </c>
      <c r="S64" t="n">
        <v>0</v>
      </c>
      <c r="T64" t="n">
        <v>0</v>
      </c>
      <c r="U64" s="2" t="inlineStr"/>
    </row>
    <row r="65" ht="15" customHeight="1">
      <c r="A65" t="inlineStr">
        <is>
          <t>A 55241-2021</t>
        </is>
      </c>
      <c r="B65" t="inlineStr">
        <is>
          <t>avverkningsanmälan</t>
        </is>
      </c>
      <c r="C65" t="inlineStr">
        <is>
          <t>Föryngringsavverkning</t>
        </is>
      </c>
      <c r="D65" s="1" t="n">
        <v>44475</v>
      </c>
      <c r="E65" s="1" t="n">
        <v>46222</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s="2" t="inlineStr"/>
    </row>
    <row r="66" ht="15" customHeight="1">
      <c r="A66" t="inlineStr">
        <is>
          <t>A 55408-2021</t>
        </is>
      </c>
      <c r="B66" t="inlineStr">
        <is>
          <t>avverkningsanmälan</t>
        </is>
      </c>
      <c r="C66" t="inlineStr">
        <is>
          <t>Föryngringsavverkning</t>
        </is>
      </c>
      <c r="D66" s="1" t="n">
        <v>44475</v>
      </c>
      <c r="E66" s="1" t="n">
        <v>46222</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s="2" t="inlineStr"/>
    </row>
    <row r="67" ht="15" customHeight="1">
      <c r="A67" t="inlineStr">
        <is>
          <t>A 25409-2022</t>
        </is>
      </c>
      <c r="B67" t="inlineStr">
        <is>
          <t>avverkningsanmälan</t>
        </is>
      </c>
      <c r="C67" t="inlineStr">
        <is>
          <t>Föryngringsavverkning</t>
        </is>
      </c>
      <c r="D67" s="1" t="n">
        <v>44732</v>
      </c>
      <c r="E67" s="1" t="n">
        <v>46222</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s="2" t="inlineStr"/>
    </row>
    <row r="68" ht="15" customHeight="1">
      <c r="A68" t="inlineStr">
        <is>
          <t>A 29676-2022</t>
        </is>
      </c>
      <c r="B68" t="inlineStr">
        <is>
          <t>avverkningsanmälan</t>
        </is>
      </c>
      <c r="C68" t="inlineStr">
        <is>
          <t>Föryngringsavverkning</t>
        </is>
      </c>
      <c r="D68" s="1" t="n">
        <v>44754</v>
      </c>
      <c r="E68" s="1" t="n">
        <v>46222</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s="2" t="inlineStr"/>
    </row>
    <row r="69" ht="15" customHeight="1">
      <c r="A69" t="inlineStr">
        <is>
          <t>A 30168-2022</t>
        </is>
      </c>
      <c r="B69" t="inlineStr">
        <is>
          <t>avverkningsanmälan</t>
        </is>
      </c>
      <c r="C69" t="inlineStr">
        <is>
          <t>Föryngringsavverkning</t>
        </is>
      </c>
      <c r="D69" s="1" t="n">
        <v>44757</v>
      </c>
      <c r="E69" s="1" t="n">
        <v>46222</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s="2" t="inlineStr"/>
    </row>
    <row r="70" ht="15" customHeight="1">
      <c r="A70" t="inlineStr">
        <is>
          <t>A 55243-2021</t>
        </is>
      </c>
      <c r="B70" t="inlineStr">
        <is>
          <t>avverkningsanmälan</t>
        </is>
      </c>
      <c r="C70" t="inlineStr">
        <is>
          <t>Föryngringsavverkning</t>
        </is>
      </c>
      <c r="D70" s="1" t="n">
        <v>44475</v>
      </c>
      <c r="E70" s="1" t="n">
        <v>46222</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s="2" t="inlineStr"/>
    </row>
    <row r="71" ht="15" customHeight="1">
      <c r="A71" t="inlineStr">
        <is>
          <t>A 51252-2022</t>
        </is>
      </c>
      <c r="B71" t="inlineStr">
        <is>
          <t>avverkningsanmälan</t>
        </is>
      </c>
      <c r="C71" t="inlineStr">
        <is>
          <t>Föryngringsavverkning</t>
        </is>
      </c>
      <c r="D71" s="1" t="n">
        <v>44868</v>
      </c>
      <c r="E71" s="1" t="n">
        <v>46222</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s="2" t="inlineStr"/>
    </row>
    <row r="72" ht="15" customHeight="1">
      <c r="A72" t="inlineStr">
        <is>
          <t>A 67188-2021</t>
        </is>
      </c>
      <c r="B72" t="inlineStr">
        <is>
          <t>avverkningsanmälan</t>
        </is>
      </c>
      <c r="C72" t="inlineStr">
        <is>
          <t>Föryngringsavverkning</t>
        </is>
      </c>
      <c r="D72" s="1" t="n">
        <v>44523</v>
      </c>
      <c r="E72" s="1" t="n">
        <v>46222</v>
      </c>
      <c r="F72" t="inlineStr">
        <is>
          <t>GÄVLEBORGS LÄN</t>
        </is>
      </c>
      <c r="G72" t="inlineStr">
        <is>
          <t>OVANÅKER</t>
        </is>
      </c>
      <c r="I72" t="n">
        <v>2.3</v>
      </c>
      <c r="J72" t="n">
        <v>0</v>
      </c>
      <c r="K72" t="n">
        <v>0</v>
      </c>
      <c r="L72" t="n">
        <v>0</v>
      </c>
      <c r="M72" t="n">
        <v>0</v>
      </c>
      <c r="N72" t="n">
        <v>0</v>
      </c>
      <c r="O72" t="n">
        <v>0</v>
      </c>
      <c r="P72" t="n">
        <v>0</v>
      </c>
      <c r="Q72" t="n">
        <v>0</v>
      </c>
      <c r="R72" t="n">
        <v>0</v>
      </c>
      <c r="S72" t="n">
        <v>0</v>
      </c>
      <c r="T72" t="n">
        <v>0</v>
      </c>
      <c r="U72" s="2" t="inlineStr"/>
    </row>
    <row r="73" ht="15" customHeight="1">
      <c r="A73" t="inlineStr">
        <is>
          <t>A 23029-2022</t>
        </is>
      </c>
      <c r="B73" t="inlineStr">
        <is>
          <t>avverkningsanmälan</t>
        </is>
      </c>
      <c r="C73" t="inlineStr">
        <is>
          <t>Föryngringsavverkning</t>
        </is>
      </c>
      <c r="D73" s="1" t="n">
        <v>44719</v>
      </c>
      <c r="E73" s="1" t="n">
        <v>46222</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s="2" t="inlineStr"/>
    </row>
    <row r="74" ht="15" customHeight="1">
      <c r="A74" t="inlineStr">
        <is>
          <t>A 55065-2022</t>
        </is>
      </c>
      <c r="B74" t="inlineStr">
        <is>
          <t>avverkningsanmälan</t>
        </is>
      </c>
      <c r="C74" t="inlineStr">
        <is>
          <t>Föryngringsavverkning</t>
        </is>
      </c>
      <c r="D74" s="1" t="n">
        <v>44886</v>
      </c>
      <c r="E74" s="1" t="n">
        <v>46222</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s="2" t="inlineStr"/>
    </row>
    <row r="75" ht="15" customHeight="1">
      <c r="A75" t="inlineStr">
        <is>
          <t>A 72110-2021</t>
        </is>
      </c>
      <c r="B75" t="inlineStr">
        <is>
          <t>avverkningsanmälan</t>
        </is>
      </c>
      <c r="C75" t="inlineStr">
        <is>
          <t>Föryngringsavverkning</t>
        </is>
      </c>
      <c r="D75" s="1" t="n">
        <v>44544</v>
      </c>
      <c r="E75" s="1" t="n">
        <v>46222</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s="2" t="inlineStr"/>
    </row>
    <row r="76" ht="15" customHeight="1">
      <c r="A76" t="inlineStr">
        <is>
          <t>A 54660-2022</t>
        </is>
      </c>
      <c r="B76" t="inlineStr">
        <is>
          <t>avverkningsanmälan</t>
        </is>
      </c>
      <c r="C76" t="inlineStr">
        <is>
          <t>Föryngringsavverkning</t>
        </is>
      </c>
      <c r="D76" s="1" t="n">
        <v>44883</v>
      </c>
      <c r="E76" s="1" t="n">
        <v>46222</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s="2" t="inlineStr"/>
    </row>
    <row r="77" ht="15" customHeight="1">
      <c r="A77" t="inlineStr">
        <is>
          <t>A 39450-2022</t>
        </is>
      </c>
      <c r="B77" t="inlineStr">
        <is>
          <t>avverkningsanmälan</t>
        </is>
      </c>
      <c r="C77" t="inlineStr">
        <is>
          <t>Föryngringsavverkning</t>
        </is>
      </c>
      <c r="D77" s="1" t="n">
        <v>44818</v>
      </c>
      <c r="E77" s="1" t="n">
        <v>46222</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s="2" t="inlineStr"/>
    </row>
    <row r="78" ht="15" customHeight="1">
      <c r="A78" t="inlineStr">
        <is>
          <t>A 19741-2022</t>
        </is>
      </c>
      <c r="B78" t="inlineStr">
        <is>
          <t>avverkningsanmälan</t>
        </is>
      </c>
      <c r="C78" t="inlineStr">
        <is>
          <t>Föryngringsavverkning</t>
        </is>
      </c>
      <c r="D78" s="1" t="n">
        <v>44694</v>
      </c>
      <c r="E78" s="1" t="n">
        <v>46222</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s="2" t="inlineStr"/>
    </row>
    <row r="79" ht="15" customHeight="1">
      <c r="A79" t="inlineStr">
        <is>
          <t>A 68245-2021</t>
        </is>
      </c>
      <c r="B79" t="inlineStr">
        <is>
          <t>avverkningsanmälan</t>
        </is>
      </c>
      <c r="C79" t="inlineStr">
        <is>
          <t>Föryngringsavverkning</t>
        </is>
      </c>
      <c r="D79" s="1" t="n">
        <v>44526</v>
      </c>
      <c r="E79" s="1" t="n">
        <v>46222</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s="2" t="inlineStr"/>
    </row>
    <row r="80" ht="15" customHeight="1">
      <c r="A80" t="inlineStr">
        <is>
          <t>A 54731-2022</t>
        </is>
      </c>
      <c r="B80" t="inlineStr">
        <is>
          <t>avverkningsanmälan</t>
        </is>
      </c>
      <c r="C80" t="inlineStr">
        <is>
          <t>Föryngringsavverkning</t>
        </is>
      </c>
      <c r="D80" s="1" t="n">
        <v>44883</v>
      </c>
      <c r="E80" s="1" t="n">
        <v>46222</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s="2" t="inlineStr"/>
    </row>
    <row r="81" ht="15" customHeight="1">
      <c r="A81" t="inlineStr">
        <is>
          <t>A 64843-2021</t>
        </is>
      </c>
      <c r="B81" t="inlineStr">
        <is>
          <t>avverkningsanmälan</t>
        </is>
      </c>
      <c r="C81" t="inlineStr">
        <is>
          <t>Föryngringsavverkning</t>
        </is>
      </c>
      <c r="D81" s="1" t="n">
        <v>44512</v>
      </c>
      <c r="E81" s="1" t="n">
        <v>46222</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s="2" t="inlineStr"/>
    </row>
    <row r="82" ht="15" customHeight="1">
      <c r="A82" t="inlineStr">
        <is>
          <t>A 48811-2022</t>
        </is>
      </c>
      <c r="B82" t="inlineStr">
        <is>
          <t>avverkningsanmälan</t>
        </is>
      </c>
      <c r="C82" t="inlineStr">
        <is>
          <t>Föryngringsavverkning</t>
        </is>
      </c>
      <c r="D82" s="1" t="n">
        <v>44859</v>
      </c>
      <c r="E82" s="1" t="n">
        <v>46222</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s="2" t="inlineStr"/>
    </row>
    <row r="83" ht="15" customHeight="1">
      <c r="A83" t="inlineStr">
        <is>
          <t>A 44585-2021</t>
        </is>
      </c>
      <c r="B83" t="inlineStr">
        <is>
          <t>avverkningsanmälan</t>
        </is>
      </c>
      <c r="C83" t="inlineStr">
        <is>
          <t>Föryngringsavverkning</t>
        </is>
      </c>
      <c r="D83" s="1" t="n">
        <v>44435</v>
      </c>
      <c r="E83" s="1" t="n">
        <v>46222</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s="2" t="inlineStr"/>
    </row>
    <row r="84" ht="15" customHeight="1">
      <c r="A84" t="inlineStr">
        <is>
          <t>A 45273-2021</t>
        </is>
      </c>
      <c r="B84" t="inlineStr">
        <is>
          <t>avverkningsanmälan</t>
        </is>
      </c>
      <c r="C84" t="inlineStr">
        <is>
          <t>Föryngringsavverkning</t>
        </is>
      </c>
      <c r="D84" s="1" t="n">
        <v>44439</v>
      </c>
      <c r="E84" s="1" t="n">
        <v>46222</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s="2" t="inlineStr"/>
    </row>
    <row r="85" ht="15" customHeight="1">
      <c r="A85" t="inlineStr">
        <is>
          <t>A 70573-2021</t>
        </is>
      </c>
      <c r="B85" t="inlineStr">
        <is>
          <t>avverkningsanmälan</t>
        </is>
      </c>
      <c r="C85" t="inlineStr">
        <is>
          <t>Föryngringsavverkning</t>
        </is>
      </c>
      <c r="D85" s="1" t="n">
        <v>44537</v>
      </c>
      <c r="E85" s="1" t="n">
        <v>46222</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s="2" t="inlineStr"/>
    </row>
    <row r="86" ht="15" customHeight="1">
      <c r="A86" t="inlineStr">
        <is>
          <t>A 52614-2021</t>
        </is>
      </c>
      <c r="B86" t="inlineStr">
        <is>
          <t>avverkningsanmälan</t>
        </is>
      </c>
      <c r="C86" t="inlineStr">
        <is>
          <t>Föryngringsavverkning</t>
        </is>
      </c>
      <c r="D86" s="1" t="n">
        <v>44466</v>
      </c>
      <c r="E86" s="1" t="n">
        <v>46222</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s="2" t="inlineStr"/>
    </row>
    <row r="87" ht="15" customHeight="1">
      <c r="A87" t="inlineStr">
        <is>
          <t>A 55298-2021</t>
        </is>
      </c>
      <c r="B87" t="inlineStr">
        <is>
          <t>avverkningsanmälan</t>
        </is>
      </c>
      <c r="C87" t="inlineStr">
        <is>
          <t>Föryngringsavverkning</t>
        </is>
      </c>
      <c r="D87" s="1" t="n">
        <v>44475</v>
      </c>
      <c r="E87" s="1" t="n">
        <v>46222</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s="2" t="inlineStr"/>
    </row>
    <row r="88" ht="15" customHeight="1">
      <c r="A88" t="inlineStr">
        <is>
          <t>A 8769-2022</t>
        </is>
      </c>
      <c r="B88" t="inlineStr">
        <is>
          <t>avverkningsanmälan</t>
        </is>
      </c>
      <c r="C88" t="inlineStr">
        <is>
          <t>Föryngringsavverkning</t>
        </is>
      </c>
      <c r="D88" s="1" t="n">
        <v>44614</v>
      </c>
      <c r="E88" s="1" t="n">
        <v>46222</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s="2" t="inlineStr"/>
    </row>
    <row r="89" ht="15" customHeight="1">
      <c r="A89" t="inlineStr">
        <is>
          <t>A 19308-2022</t>
        </is>
      </c>
      <c r="B89" t="inlineStr">
        <is>
          <t>avverkningsanmälan</t>
        </is>
      </c>
      <c r="C89" t="inlineStr">
        <is>
          <t>Föryngringsavverkning</t>
        </is>
      </c>
      <c r="D89" s="1" t="n">
        <v>44692</v>
      </c>
      <c r="E89" s="1" t="n">
        <v>46222</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28231-2022</t>
        </is>
      </c>
      <c r="B90" t="inlineStr">
        <is>
          <t>avverkningsanmälan</t>
        </is>
      </c>
      <c r="C90" t="inlineStr">
        <is>
          <t>Föryngringsavverkning</t>
        </is>
      </c>
      <c r="D90" s="1" t="n">
        <v>44746</v>
      </c>
      <c r="E90" s="1" t="n">
        <v>46222</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s="2" t="inlineStr"/>
    </row>
    <row r="91" ht="15" customHeight="1">
      <c r="A91" t="inlineStr">
        <is>
          <t>A 1530-2022</t>
        </is>
      </c>
      <c r="B91" t="inlineStr">
        <is>
          <t>avverkningsanmälan</t>
        </is>
      </c>
      <c r="C91" t="inlineStr">
        <is>
          <t>Föryngringsavverkning</t>
        </is>
      </c>
      <c r="D91" s="1" t="n">
        <v>44573</v>
      </c>
      <c r="E91" s="1" t="n">
        <v>46222</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s="2" t="inlineStr"/>
    </row>
    <row r="92" ht="15" customHeight="1">
      <c r="A92" t="inlineStr">
        <is>
          <t>A 48151-2021</t>
        </is>
      </c>
      <c r="B92" t="inlineStr">
        <is>
          <t>avverkningsanmälan</t>
        </is>
      </c>
      <c r="C92" t="inlineStr">
        <is>
          <t>Avverkning för annat ändamål</t>
        </is>
      </c>
      <c r="D92" s="1" t="n">
        <v>44449</v>
      </c>
      <c r="E92" s="1" t="n">
        <v>46222</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s="2" t="inlineStr"/>
    </row>
    <row r="93" ht="15" customHeight="1">
      <c r="A93" t="inlineStr">
        <is>
          <t>A 9980-2022</t>
        </is>
      </c>
      <c r="B93" t="inlineStr">
        <is>
          <t>avverkningsanmälan</t>
        </is>
      </c>
      <c r="C93" t="inlineStr">
        <is>
          <t>Föryngringsavverkning</t>
        </is>
      </c>
      <c r="D93" s="1" t="n">
        <v>44621</v>
      </c>
      <c r="E93" s="1" t="n">
        <v>46222</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s="2" t="inlineStr"/>
    </row>
    <row r="94" ht="15" customHeight="1">
      <c r="A94" t="inlineStr">
        <is>
          <t>A 9635-2022</t>
        </is>
      </c>
      <c r="B94" t="inlineStr">
        <is>
          <t>avverkningsanmälan</t>
        </is>
      </c>
      <c r="C94" t="inlineStr">
        <is>
          <t>Föryngringsavverkning</t>
        </is>
      </c>
      <c r="D94" s="1" t="n">
        <v>44617</v>
      </c>
      <c r="E94" s="1" t="n">
        <v>46222</v>
      </c>
      <c r="F94" t="inlineStr">
        <is>
          <t>GÄVLEBORGS LÄN</t>
        </is>
      </c>
      <c r="G94" t="inlineStr">
        <is>
          <t>OVANÅKER</t>
        </is>
      </c>
      <c r="I94" t="n">
        <v>1.7</v>
      </c>
      <c r="J94" t="n">
        <v>0</v>
      </c>
      <c r="K94" t="n">
        <v>0</v>
      </c>
      <c r="L94" t="n">
        <v>0</v>
      </c>
      <c r="M94" t="n">
        <v>0</v>
      </c>
      <c r="N94" t="n">
        <v>0</v>
      </c>
      <c r="O94" t="n">
        <v>0</v>
      </c>
      <c r="P94" t="n">
        <v>0</v>
      </c>
      <c r="Q94" t="n">
        <v>0</v>
      </c>
      <c r="R94" t="n">
        <v>0</v>
      </c>
      <c r="S94" t="n">
        <v>0</v>
      </c>
      <c r="T94" t="n">
        <v>0</v>
      </c>
      <c r="U94" s="2" t="inlineStr"/>
    </row>
    <row r="95" ht="15" customHeight="1">
      <c r="A95" t="inlineStr">
        <is>
          <t>A 52046-2021</t>
        </is>
      </c>
      <c r="B95" t="inlineStr">
        <is>
          <t>avverkningsanmälan</t>
        </is>
      </c>
      <c r="C95" t="inlineStr">
        <is>
          <t>Föryngringsavverkning</t>
        </is>
      </c>
      <c r="D95" s="1" t="n">
        <v>44463</v>
      </c>
      <c r="E95" s="1" t="n">
        <v>46222</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s="2" t="inlineStr"/>
    </row>
    <row r="96" ht="15" customHeight="1">
      <c r="A96" t="inlineStr">
        <is>
          <t>A 29762-2022</t>
        </is>
      </c>
      <c r="B96" t="inlineStr">
        <is>
          <t>avverkningsanmälan</t>
        </is>
      </c>
      <c r="C96" t="inlineStr">
        <is>
          <t>Föryngringsavverkning</t>
        </is>
      </c>
      <c r="D96" s="1" t="n">
        <v>44755</v>
      </c>
      <c r="E96" s="1" t="n">
        <v>46222</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51127-2022</t>
        </is>
      </c>
      <c r="B97" t="inlineStr">
        <is>
          <t>avverkningsanmälan</t>
        </is>
      </c>
      <c r="C97" t="inlineStr">
        <is>
          <t>Föryngringsavverkning</t>
        </is>
      </c>
      <c r="D97" s="1" t="n">
        <v>44868</v>
      </c>
      <c r="E97" s="1" t="n">
        <v>46222</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s="2" t="inlineStr"/>
    </row>
    <row r="98" ht="15" customHeight="1">
      <c r="A98" t="inlineStr">
        <is>
          <t>A 53445-2022</t>
        </is>
      </c>
      <c r="B98" t="inlineStr">
        <is>
          <t>avverkningsanmälan</t>
        </is>
      </c>
      <c r="C98" t="inlineStr">
        <is>
          <t>Föryngringsavverkning</t>
        </is>
      </c>
      <c r="D98" s="1" t="n">
        <v>44879</v>
      </c>
      <c r="E98" s="1" t="n">
        <v>46222</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s="2" t="inlineStr"/>
    </row>
    <row r="99" ht="15" customHeight="1">
      <c r="A99" t="inlineStr">
        <is>
          <t>A 30166-2022</t>
        </is>
      </c>
      <c r="B99" t="inlineStr">
        <is>
          <t>avverkningsanmälan</t>
        </is>
      </c>
      <c r="C99" t="inlineStr">
        <is>
          <t>Föryngringsavverkning</t>
        </is>
      </c>
      <c r="D99" s="1" t="n">
        <v>44757</v>
      </c>
      <c r="E99" s="1" t="n">
        <v>46222</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s="2" t="inlineStr"/>
    </row>
    <row r="100" ht="15" customHeight="1">
      <c r="A100" t="inlineStr">
        <is>
          <t>A 53694-2022</t>
        </is>
      </c>
      <c r="B100" t="inlineStr">
        <is>
          <t>avverkningsanmälan</t>
        </is>
      </c>
      <c r="C100" t="inlineStr">
        <is>
          <t>Föryngringsavverkning</t>
        </is>
      </c>
      <c r="D100" s="1" t="n">
        <v>44880</v>
      </c>
      <c r="E100" s="1" t="n">
        <v>46222</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44310-2022</t>
        </is>
      </c>
      <c r="B101" t="inlineStr">
        <is>
          <t>avverkningsanmälan</t>
        </is>
      </c>
      <c r="C101" t="inlineStr">
        <is>
          <t>Föryngringsavverkning</t>
        </is>
      </c>
      <c r="D101" s="1" t="n">
        <v>44839</v>
      </c>
      <c r="E101" s="1" t="n">
        <v>46222</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40403-2022</t>
        </is>
      </c>
      <c r="B102" t="inlineStr">
        <is>
          <t>avverkningsanmälan</t>
        </is>
      </c>
      <c r="C102" t="inlineStr">
        <is>
          <t>Föryngringsavverkning</t>
        </is>
      </c>
      <c r="D102" s="1" t="n">
        <v>44823</v>
      </c>
      <c r="E102" s="1" t="n">
        <v>46222</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s="2" t="inlineStr"/>
    </row>
    <row r="103" ht="15" customHeight="1">
      <c r="A103" t="inlineStr">
        <is>
          <t>A 44092-2022</t>
        </is>
      </c>
      <c r="B103" t="inlineStr">
        <is>
          <t>avverkningsanmälan</t>
        </is>
      </c>
      <c r="C103" t="inlineStr">
        <is>
          <t>Avverkning för annat ändamål</t>
        </is>
      </c>
      <c r="D103" s="1" t="n">
        <v>44839</v>
      </c>
      <c r="E103" s="1" t="n">
        <v>46222</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55403-2021</t>
        </is>
      </c>
      <c r="B104" t="inlineStr">
        <is>
          <t>avverkningsanmälan</t>
        </is>
      </c>
      <c r="C104" t="inlineStr">
        <is>
          <t>Föryngringsavverkning</t>
        </is>
      </c>
      <c r="D104" s="1" t="n">
        <v>44475</v>
      </c>
      <c r="E104" s="1" t="n">
        <v>46222</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9593-2022</t>
        </is>
      </c>
      <c r="B105" t="inlineStr">
        <is>
          <t>avverkningsanmälan</t>
        </is>
      </c>
      <c r="C105" t="inlineStr">
        <is>
          <t>Föryngringsavverkning</t>
        </is>
      </c>
      <c r="D105" s="1" t="n">
        <v>44617</v>
      </c>
      <c r="E105" s="1" t="n">
        <v>46222</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2946-2022</t>
        </is>
      </c>
      <c r="B106" t="inlineStr">
        <is>
          <t>avverkningsanmälan</t>
        </is>
      </c>
      <c r="C106" t="inlineStr">
        <is>
          <t>Föryngringsavverkning</t>
        </is>
      </c>
      <c r="D106" s="1" t="n">
        <v>44581</v>
      </c>
      <c r="E106" s="1" t="n">
        <v>46222</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20926-2022</t>
        </is>
      </c>
      <c r="B107" t="inlineStr">
        <is>
          <t>avverkningsanmälan</t>
        </is>
      </c>
      <c r="C107" t="inlineStr">
        <is>
          <t>Föryngringsavverkning</t>
        </is>
      </c>
      <c r="D107" s="1" t="n">
        <v>44701</v>
      </c>
      <c r="E107" s="1" t="n">
        <v>46222</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25087-2022</t>
        </is>
      </c>
      <c r="B108" t="inlineStr">
        <is>
          <t>avverkningsanmälan</t>
        </is>
      </c>
      <c r="C108" t="inlineStr">
        <is>
          <t>Föryngringsavverkning</t>
        </is>
      </c>
      <c r="D108" s="1" t="n">
        <v>44729</v>
      </c>
      <c r="E108" s="1" t="n">
        <v>46222</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54080-2021</t>
        </is>
      </c>
      <c r="B109" t="inlineStr">
        <is>
          <t>avverkningsanmälan</t>
        </is>
      </c>
      <c r="C109" t="inlineStr">
        <is>
          <t>Föryngringsavverkning</t>
        </is>
      </c>
      <c r="D109" s="1" t="n">
        <v>44470</v>
      </c>
      <c r="E109" s="1" t="n">
        <v>46222</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46823-2022</t>
        </is>
      </c>
      <c r="B110" t="inlineStr">
        <is>
          <t>avverkningsanmälan</t>
        </is>
      </c>
      <c r="C110" t="inlineStr">
        <is>
          <t>Föryngringsavverkning</t>
        </is>
      </c>
      <c r="D110" s="1" t="n">
        <v>44851</v>
      </c>
      <c r="E110" s="1" t="n">
        <v>46222</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69001-2021</t>
        </is>
      </c>
      <c r="B111" t="inlineStr">
        <is>
          <t>avverkningsanmälan</t>
        </is>
      </c>
      <c r="C111" t="inlineStr">
        <is>
          <t>Föryngringsavverkning</t>
        </is>
      </c>
      <c r="D111" s="1" t="n">
        <v>44530</v>
      </c>
      <c r="E111" s="1" t="n">
        <v>46222</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13995-2022</t>
        </is>
      </c>
      <c r="B112" t="inlineStr">
        <is>
          <t>avverkningsanmälan</t>
        </is>
      </c>
      <c r="C112" t="inlineStr">
        <is>
          <t>Föryngringsavverkning</t>
        </is>
      </c>
      <c r="D112" s="1" t="n">
        <v>44650</v>
      </c>
      <c r="E112" s="1" t="n">
        <v>46222</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s="2" t="inlineStr"/>
    </row>
    <row r="113" ht="15" customHeight="1">
      <c r="A113" t="inlineStr">
        <is>
          <t>A 30374-2022</t>
        </is>
      </c>
      <c r="B113" t="inlineStr">
        <is>
          <t>avverkningsanmälan</t>
        </is>
      </c>
      <c r="C113" t="inlineStr">
        <is>
          <t>Föryngringsavverkning</t>
        </is>
      </c>
      <c r="D113" s="1" t="n">
        <v>44760</v>
      </c>
      <c r="E113" s="1" t="n">
        <v>46222</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s="2" t="inlineStr"/>
    </row>
    <row r="114" ht="15" customHeight="1">
      <c r="A114" t="inlineStr">
        <is>
          <t>A 41529-2021</t>
        </is>
      </c>
      <c r="B114" t="inlineStr">
        <is>
          <t>avverkningsanmälan</t>
        </is>
      </c>
      <c r="C114" t="inlineStr">
        <is>
          <t>Föryngringsavverkning</t>
        </is>
      </c>
      <c r="D114" s="1" t="n">
        <v>44425</v>
      </c>
      <c r="E114" s="1" t="n">
        <v>46222</v>
      </c>
      <c r="F114" t="inlineStr">
        <is>
          <t>GÄVLEBORGS LÄN</t>
        </is>
      </c>
      <c r="G114" t="inlineStr">
        <is>
          <t>OVANÅKER</t>
        </is>
      </c>
      <c r="H114" t="inlineStr">
        <is>
          <t>Bergvik skog väst AB</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12330-2022</t>
        </is>
      </c>
      <c r="B115" t="inlineStr">
        <is>
          <t>avverkningsanmälan</t>
        </is>
      </c>
      <c r="C115" t="inlineStr">
        <is>
          <t>Föryngringsavverkning</t>
        </is>
      </c>
      <c r="D115" s="1" t="n">
        <v>44637</v>
      </c>
      <c r="E115" s="1" t="n">
        <v>46222</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3871-2024</t>
        </is>
      </c>
      <c r="B116" t="inlineStr">
        <is>
          <t>avverkningsanmälan</t>
        </is>
      </c>
      <c r="C116" t="inlineStr">
        <is>
          <t>Föryngringsavverkning</t>
        </is>
      </c>
      <c r="D116" s="1" t="n">
        <v>45322</v>
      </c>
      <c r="E116" s="1" t="n">
        <v>46222</v>
      </c>
      <c r="F116" t="inlineStr">
        <is>
          <t>GÄVLEBORGS LÄN</t>
        </is>
      </c>
      <c r="G116" t="inlineStr">
        <is>
          <t>OVANÅKER</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20117-2025</t>
        </is>
      </c>
      <c r="B117" t="inlineStr">
        <is>
          <t>avverkningsanmälan</t>
        </is>
      </c>
      <c r="C117" t="inlineStr">
        <is>
          <t>Föryngringsavverkning</t>
        </is>
      </c>
      <c r="D117" s="1" t="n">
        <v>45772</v>
      </c>
      <c r="E117" s="1" t="n">
        <v>46222</v>
      </c>
      <c r="F117" t="inlineStr">
        <is>
          <t>GÄVLEBORGS LÄN</t>
        </is>
      </c>
      <c r="G117" t="inlineStr">
        <is>
          <t>OVANÅKER</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46733-2021</t>
        </is>
      </c>
      <c r="B118" t="inlineStr">
        <is>
          <t>avverkningsanmälan</t>
        </is>
      </c>
      <c r="C118" t="inlineStr">
        <is>
          <t>Föryngringsavverkning</t>
        </is>
      </c>
      <c r="D118" s="1" t="n">
        <v>44445</v>
      </c>
      <c r="E118" s="1" t="n">
        <v>46222</v>
      </c>
      <c r="F118" t="inlineStr">
        <is>
          <t>GÄVLEBORGS LÄN</t>
        </is>
      </c>
      <c r="G118" t="inlineStr">
        <is>
          <t>OVANÅKER</t>
        </is>
      </c>
      <c r="H118" t="inlineStr">
        <is>
          <t>Sveaskog</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49565-2021</t>
        </is>
      </c>
      <c r="B119" t="inlineStr">
        <is>
          <t>avverkningsanmälan</t>
        </is>
      </c>
      <c r="C119" t="inlineStr">
        <is>
          <t>Föryngringsavverkning</t>
        </is>
      </c>
      <c r="D119" s="1" t="n">
        <v>44455</v>
      </c>
      <c r="E119" s="1" t="n">
        <v>46222</v>
      </c>
      <c r="F119" t="inlineStr">
        <is>
          <t>GÄVLEBORGS LÄN</t>
        </is>
      </c>
      <c r="G119" t="inlineStr">
        <is>
          <t>OVANÅKER</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11684-2024</t>
        </is>
      </c>
      <c r="B120" t="inlineStr">
        <is>
          <t>avverkningsanmälan</t>
        </is>
      </c>
      <c r="C120" t="inlineStr">
        <is>
          <t>Föryngringsavverkning</t>
        </is>
      </c>
      <c r="D120" s="1" t="n">
        <v>45373</v>
      </c>
      <c r="E120" s="1" t="n">
        <v>46222</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19177-2024</t>
        </is>
      </c>
      <c r="B121" t="inlineStr">
        <is>
          <t>avverkningsanmälan</t>
        </is>
      </c>
      <c r="C121" t="inlineStr">
        <is>
          <t>Föryngringsavverkning</t>
        </is>
      </c>
      <c r="D121" s="1" t="n">
        <v>45428</v>
      </c>
      <c r="E121" s="1" t="n">
        <v>46222</v>
      </c>
      <c r="F121" t="inlineStr">
        <is>
          <t>GÄVLEBORGS LÄN</t>
        </is>
      </c>
      <c r="G121" t="inlineStr">
        <is>
          <t>OVANÅKER</t>
        </is>
      </c>
      <c r="I121" t="n">
        <v>0.1</v>
      </c>
      <c r="J121" t="n">
        <v>0</v>
      </c>
      <c r="K121" t="n">
        <v>0</v>
      </c>
      <c r="L121" t="n">
        <v>0</v>
      </c>
      <c r="M121" t="n">
        <v>0</v>
      </c>
      <c r="N121" t="n">
        <v>0</v>
      </c>
      <c r="O121" t="n">
        <v>0</v>
      </c>
      <c r="P121" t="n">
        <v>0</v>
      </c>
      <c r="Q121" t="n">
        <v>0</v>
      </c>
      <c r="R121" t="n">
        <v>0</v>
      </c>
      <c r="S121" t="n">
        <v>0</v>
      </c>
      <c r="T121" t="n">
        <v>0</v>
      </c>
      <c r="U121" s="2" t="inlineStr"/>
    </row>
    <row r="122" ht="15" customHeight="1">
      <c r="A122" t="inlineStr">
        <is>
          <t>A 58460-2022</t>
        </is>
      </c>
      <c r="B122" t="inlineStr">
        <is>
          <t>avverkningsanmälan</t>
        </is>
      </c>
      <c r="C122" t="inlineStr">
        <is>
          <t>Föryngringsavverkning</t>
        </is>
      </c>
      <c r="D122" s="1" t="n">
        <v>44902</v>
      </c>
      <c r="E122" s="1" t="n">
        <v>46222</v>
      </c>
      <c r="F122" t="inlineStr">
        <is>
          <t>GÄVLEBORGS LÄN</t>
        </is>
      </c>
      <c r="G122" t="inlineStr">
        <is>
          <t>OVANÅKER</t>
        </is>
      </c>
      <c r="H122" t="inlineStr">
        <is>
          <t>Bergvik skog väst AB</t>
        </is>
      </c>
      <c r="I122" t="n">
        <v>3.8</v>
      </c>
      <c r="J122" t="n">
        <v>0</v>
      </c>
      <c r="K122" t="n">
        <v>0</v>
      </c>
      <c r="L122" t="n">
        <v>0</v>
      </c>
      <c r="M122" t="n">
        <v>0</v>
      </c>
      <c r="N122" t="n">
        <v>0</v>
      </c>
      <c r="O122" t="n">
        <v>0</v>
      </c>
      <c r="P122" t="n">
        <v>0</v>
      </c>
      <c r="Q122" t="n">
        <v>0</v>
      </c>
      <c r="R122" t="n">
        <v>0</v>
      </c>
      <c r="S122" t="n">
        <v>0</v>
      </c>
      <c r="T122" t="n">
        <v>0</v>
      </c>
      <c r="U122" s="2" t="inlineStr"/>
    </row>
    <row r="123" ht="15" customHeight="1">
      <c r="A123" t="inlineStr">
        <is>
          <t>A 943-2024</t>
        </is>
      </c>
      <c r="B123" t="inlineStr">
        <is>
          <t>avverkningsanmälan</t>
        </is>
      </c>
      <c r="C123" t="inlineStr">
        <is>
          <t>Föryngringsavverkning</t>
        </is>
      </c>
      <c r="D123" s="1" t="n">
        <v>45301</v>
      </c>
      <c r="E123" s="1" t="n">
        <v>46222</v>
      </c>
      <c r="F123" t="inlineStr">
        <is>
          <t>GÄVLEBORGS LÄN</t>
        </is>
      </c>
      <c r="G123" t="inlineStr">
        <is>
          <t>OVANÅKER</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60291-2022</t>
        </is>
      </c>
      <c r="B124" t="inlineStr">
        <is>
          <t>avverkningsanmälan</t>
        </is>
      </c>
      <c r="C124" t="inlineStr">
        <is>
          <t>Avverkning för att bevara och utveckla /försöksver</t>
        </is>
      </c>
      <c r="D124" s="1" t="n">
        <v>44910</v>
      </c>
      <c r="E124" s="1" t="n">
        <v>46222</v>
      </c>
      <c r="F124" t="inlineStr">
        <is>
          <t>GÄVLEBORGS LÄN</t>
        </is>
      </c>
      <c r="G124" t="inlineStr">
        <is>
          <t>OVANÅKER</t>
        </is>
      </c>
      <c r="H124" t="inlineStr">
        <is>
          <t>Sveaskog</t>
        </is>
      </c>
      <c r="I124" t="n">
        <v>2.4</v>
      </c>
      <c r="J124" t="n">
        <v>0</v>
      </c>
      <c r="K124" t="n">
        <v>0</v>
      </c>
      <c r="L124" t="n">
        <v>0</v>
      </c>
      <c r="M124" t="n">
        <v>0</v>
      </c>
      <c r="N124" t="n">
        <v>0</v>
      </c>
      <c r="O124" t="n">
        <v>0</v>
      </c>
      <c r="P124" t="n">
        <v>0</v>
      </c>
      <c r="Q124" t="n">
        <v>0</v>
      </c>
      <c r="R124" t="n">
        <v>0</v>
      </c>
      <c r="S124" t="n">
        <v>0</v>
      </c>
      <c r="T124" t="n">
        <v>0</v>
      </c>
      <c r="U124" s="2" t="inlineStr"/>
    </row>
    <row r="125" ht="15" customHeight="1">
      <c r="A125" t="inlineStr">
        <is>
          <t>A 59442-2021</t>
        </is>
      </c>
      <c r="B125" t="inlineStr">
        <is>
          <t>avverkningsanmälan</t>
        </is>
      </c>
      <c r="C125" t="inlineStr">
        <is>
          <t>Föryngringsavverkning</t>
        </is>
      </c>
      <c r="D125" s="1" t="n">
        <v>44491</v>
      </c>
      <c r="E125" s="1" t="n">
        <v>46222</v>
      </c>
      <c r="F125" t="inlineStr">
        <is>
          <t>GÄVLEBORGS LÄN</t>
        </is>
      </c>
      <c r="G125" t="inlineStr">
        <is>
          <t>OVANÅKER</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35053-2022</t>
        </is>
      </c>
      <c r="B126" t="inlineStr">
        <is>
          <t>avverkningsanmälan</t>
        </is>
      </c>
      <c r="C126" t="inlineStr">
        <is>
          <t>Föryngringsavverkning</t>
        </is>
      </c>
      <c r="D126" s="1" t="n">
        <v>44797</v>
      </c>
      <c r="E126" s="1" t="n">
        <v>46222</v>
      </c>
      <c r="F126" t="inlineStr">
        <is>
          <t>GÄVLEBORGS LÄN</t>
        </is>
      </c>
      <c r="G126" t="inlineStr">
        <is>
          <t>OVANÅKER</t>
        </is>
      </c>
      <c r="I126" t="n">
        <v>2.2</v>
      </c>
      <c r="J126" t="n">
        <v>0</v>
      </c>
      <c r="K126" t="n">
        <v>0</v>
      </c>
      <c r="L126" t="n">
        <v>0</v>
      </c>
      <c r="M126" t="n">
        <v>0</v>
      </c>
      <c r="N126" t="n">
        <v>0</v>
      </c>
      <c r="O126" t="n">
        <v>0</v>
      </c>
      <c r="P126" t="n">
        <v>0</v>
      </c>
      <c r="Q126" t="n">
        <v>0</v>
      </c>
      <c r="R126" t="n">
        <v>0</v>
      </c>
      <c r="S126" t="n">
        <v>0</v>
      </c>
      <c r="T126" t="n">
        <v>0</v>
      </c>
      <c r="U126" s="2" t="inlineStr"/>
    </row>
    <row r="127" ht="15" customHeight="1">
      <c r="A127" t="inlineStr">
        <is>
          <t>A 47480-2022</t>
        </is>
      </c>
      <c r="B127" t="inlineStr">
        <is>
          <t>avverkningsanmälan</t>
        </is>
      </c>
      <c r="C127" t="inlineStr">
        <is>
          <t>Föryngringsavverkning</t>
        </is>
      </c>
      <c r="D127" s="1" t="n">
        <v>44853</v>
      </c>
      <c r="E127" s="1" t="n">
        <v>46222</v>
      </c>
      <c r="F127" t="inlineStr">
        <is>
          <t>GÄVLEBORGS LÄN</t>
        </is>
      </c>
      <c r="G127" t="inlineStr">
        <is>
          <t>OVANÅKER</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60218-2023</t>
        </is>
      </c>
      <c r="B128" t="inlineStr">
        <is>
          <t>avverkningsanmälan</t>
        </is>
      </c>
      <c r="C128" t="inlineStr">
        <is>
          <t>Föryngringsavverkning</t>
        </is>
      </c>
      <c r="D128" s="1" t="n">
        <v>45258</v>
      </c>
      <c r="E128" s="1" t="n">
        <v>46222</v>
      </c>
      <c r="F128" t="inlineStr">
        <is>
          <t>GÄVLEBORGS LÄN</t>
        </is>
      </c>
      <c r="G128" t="inlineStr">
        <is>
          <t>OVANÅKER</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32345-2024</t>
        </is>
      </c>
      <c r="B129" t="inlineStr">
        <is>
          <t>avverkningsanmälan</t>
        </is>
      </c>
      <c r="C129" t="inlineStr">
        <is>
          <t>Föryngringsavverkning</t>
        </is>
      </c>
      <c r="D129" s="1" t="n">
        <v>45512</v>
      </c>
      <c r="E129" s="1" t="n">
        <v>46222</v>
      </c>
      <c r="F129" t="inlineStr">
        <is>
          <t>GÄVLEBORGS LÄN</t>
        </is>
      </c>
      <c r="G129" t="inlineStr">
        <is>
          <t>OVANÅKER</t>
        </is>
      </c>
      <c r="H129" t="inlineStr">
        <is>
          <t>Bergvik skog väst AB</t>
        </is>
      </c>
      <c r="I129" t="n">
        <v>3.2</v>
      </c>
      <c r="J129" t="n">
        <v>0</v>
      </c>
      <c r="K129" t="n">
        <v>0</v>
      </c>
      <c r="L129" t="n">
        <v>0</v>
      </c>
      <c r="M129" t="n">
        <v>0</v>
      </c>
      <c r="N129" t="n">
        <v>0</v>
      </c>
      <c r="O129" t="n">
        <v>0</v>
      </c>
      <c r="P129" t="n">
        <v>0</v>
      </c>
      <c r="Q129" t="n">
        <v>0</v>
      </c>
      <c r="R129" t="n">
        <v>0</v>
      </c>
      <c r="S129" t="n">
        <v>0</v>
      </c>
      <c r="T129" t="n">
        <v>0</v>
      </c>
      <c r="U129" s="2" t="inlineStr"/>
    </row>
    <row r="130" ht="15" customHeight="1">
      <c r="A130" t="inlineStr">
        <is>
          <t>A 51734-2022</t>
        </is>
      </c>
      <c r="B130" t="inlineStr">
        <is>
          <t>avverkningsanmälan</t>
        </is>
      </c>
      <c r="C130" t="inlineStr">
        <is>
          <t>Föryngringsavverkning</t>
        </is>
      </c>
      <c r="D130" s="1" t="n">
        <v>44872</v>
      </c>
      <c r="E130" s="1" t="n">
        <v>46222</v>
      </c>
      <c r="F130" t="inlineStr">
        <is>
          <t>GÄVLEBORGS LÄN</t>
        </is>
      </c>
      <c r="G130" t="inlineStr">
        <is>
          <t>OVANÅKER</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59912-2023</t>
        </is>
      </c>
      <c r="B131" t="inlineStr">
        <is>
          <t>avverkningsanmälan</t>
        </is>
      </c>
      <c r="C131" t="inlineStr">
        <is>
          <t>Föryngringsavverkning</t>
        </is>
      </c>
      <c r="D131" s="1" t="n">
        <v>45257</v>
      </c>
      <c r="E131" s="1" t="n">
        <v>46222</v>
      </c>
      <c r="F131" t="inlineStr">
        <is>
          <t>GÄVLEBORGS LÄN</t>
        </is>
      </c>
      <c r="G131" t="inlineStr">
        <is>
          <t>OVANÅKER</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53821-2023</t>
        </is>
      </c>
      <c r="B132" t="inlineStr">
        <is>
          <t>avverkningsanmälan</t>
        </is>
      </c>
      <c r="C132" t="inlineStr">
        <is>
          <t>Föryngringsavverkning</t>
        </is>
      </c>
      <c r="D132" s="1" t="n">
        <v>45231</v>
      </c>
      <c r="E132" s="1" t="n">
        <v>46222</v>
      </c>
      <c r="F132" t="inlineStr">
        <is>
          <t>GÄVLEBORGS LÄN</t>
        </is>
      </c>
      <c r="G132" t="inlineStr">
        <is>
          <t>OVANÅKER</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49654-2022</t>
        </is>
      </c>
      <c r="B133" t="inlineStr">
        <is>
          <t>avverkningsanmälan</t>
        </is>
      </c>
      <c r="C133" t="inlineStr">
        <is>
          <t>Föryngringsavverkning</t>
        </is>
      </c>
      <c r="D133" s="1" t="n">
        <v>44862</v>
      </c>
      <c r="E133" s="1" t="n">
        <v>46222</v>
      </c>
      <c r="F133" t="inlineStr">
        <is>
          <t>GÄVLEBORGS LÄN</t>
        </is>
      </c>
      <c r="G133" t="inlineStr">
        <is>
          <t>OVANÅKER</t>
        </is>
      </c>
      <c r="I133" t="n">
        <v>2.8</v>
      </c>
      <c r="J133" t="n">
        <v>0</v>
      </c>
      <c r="K133" t="n">
        <v>0</v>
      </c>
      <c r="L133" t="n">
        <v>0</v>
      </c>
      <c r="M133" t="n">
        <v>0</v>
      </c>
      <c r="N133" t="n">
        <v>0</v>
      </c>
      <c r="O133" t="n">
        <v>0</v>
      </c>
      <c r="P133" t="n">
        <v>0</v>
      </c>
      <c r="Q133" t="n">
        <v>0</v>
      </c>
      <c r="R133" t="n">
        <v>0</v>
      </c>
      <c r="S133" t="n">
        <v>0</v>
      </c>
      <c r="T133" t="n">
        <v>0</v>
      </c>
      <c r="U133" s="2" t="inlineStr"/>
    </row>
    <row r="134" ht="15" customHeight="1">
      <c r="A134" t="inlineStr">
        <is>
          <t>A 36048-2024</t>
        </is>
      </c>
      <c r="B134" t="inlineStr">
        <is>
          <t>avverkningsanmälan</t>
        </is>
      </c>
      <c r="C134" t="inlineStr">
        <is>
          <t>Föryngringsavverkning</t>
        </is>
      </c>
      <c r="D134" s="1" t="n">
        <v>45533</v>
      </c>
      <c r="E134" s="1" t="n">
        <v>46222</v>
      </c>
      <c r="F134" t="inlineStr">
        <is>
          <t>GÄVLEBORGS LÄN</t>
        </is>
      </c>
      <c r="G134" t="inlineStr">
        <is>
          <t>OVANÅKER</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19632-2024</t>
        </is>
      </c>
      <c r="B135" t="inlineStr">
        <is>
          <t>avverkningsanmälan</t>
        </is>
      </c>
      <c r="C135" t="inlineStr">
        <is>
          <t>Föryngringsavverkning</t>
        </is>
      </c>
      <c r="D135" s="1" t="n">
        <v>45432</v>
      </c>
      <c r="E135" s="1" t="n">
        <v>46222</v>
      </c>
      <c r="F135" t="inlineStr">
        <is>
          <t>GÄVLEBORGS LÄN</t>
        </is>
      </c>
      <c r="G135" t="inlineStr">
        <is>
          <t>OVANÅKER</t>
        </is>
      </c>
      <c r="I135" t="n">
        <v>1.5</v>
      </c>
      <c r="J135" t="n">
        <v>0</v>
      </c>
      <c r="K135" t="n">
        <v>0</v>
      </c>
      <c r="L135" t="n">
        <v>0</v>
      </c>
      <c r="M135" t="n">
        <v>0</v>
      </c>
      <c r="N135" t="n">
        <v>0</v>
      </c>
      <c r="O135" t="n">
        <v>0</v>
      </c>
      <c r="P135" t="n">
        <v>0</v>
      </c>
      <c r="Q135" t="n">
        <v>0</v>
      </c>
      <c r="R135" t="n">
        <v>0</v>
      </c>
      <c r="S135" t="n">
        <v>0</v>
      </c>
      <c r="T135" t="n">
        <v>0</v>
      </c>
      <c r="U135" s="2" t="inlineStr"/>
    </row>
    <row r="136" ht="15" customHeight="1">
      <c r="A136" t="inlineStr">
        <is>
          <t>A 26027-2024</t>
        </is>
      </c>
      <c r="B136" t="inlineStr">
        <is>
          <t>avverkningsanmälan</t>
        </is>
      </c>
      <c r="C136" t="inlineStr">
        <is>
          <t>Föryngringsavverkning</t>
        </is>
      </c>
      <c r="D136" s="1" t="n">
        <v>45467</v>
      </c>
      <c r="E136" s="1" t="n">
        <v>46222</v>
      </c>
      <c r="F136" t="inlineStr">
        <is>
          <t>GÄVLEBORGS LÄN</t>
        </is>
      </c>
      <c r="G136" t="inlineStr">
        <is>
          <t>OVANÅKER</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3047-2022</t>
        </is>
      </c>
      <c r="B137" t="inlineStr">
        <is>
          <t>avverkningsanmälan</t>
        </is>
      </c>
      <c r="C137" t="inlineStr">
        <is>
          <t>Avverkning för annat ändamål</t>
        </is>
      </c>
      <c r="D137" s="1" t="n">
        <v>44581</v>
      </c>
      <c r="E137" s="1" t="n">
        <v>46222</v>
      </c>
      <c r="F137" t="inlineStr">
        <is>
          <t>GÄVLEBORGS LÄN</t>
        </is>
      </c>
      <c r="G137" t="inlineStr">
        <is>
          <t>OVANÅKER</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62651-2023</t>
        </is>
      </c>
      <c r="B138" t="inlineStr">
        <is>
          <t>avverkningsanmälan</t>
        </is>
      </c>
      <c r="C138" t="inlineStr">
        <is>
          <t>Avverkning för annat ändamål</t>
        </is>
      </c>
      <c r="D138" s="1" t="n">
        <v>45271</v>
      </c>
      <c r="E138" s="1" t="n">
        <v>46222</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46377-2022</t>
        </is>
      </c>
      <c r="B139" t="inlineStr">
        <is>
          <t>avverkningsanmälan</t>
        </is>
      </c>
      <c r="C139" t="inlineStr">
        <is>
          <t>Avverkning för att bevara och utveckla /försöksver</t>
        </is>
      </c>
      <c r="D139" s="1" t="n">
        <v>44848</v>
      </c>
      <c r="E139" s="1" t="n">
        <v>46222</v>
      </c>
      <c r="F139" t="inlineStr">
        <is>
          <t>GÄVLEBORGS LÄN</t>
        </is>
      </c>
      <c r="G139" t="inlineStr">
        <is>
          <t>OVANÅKER</t>
        </is>
      </c>
      <c r="H139" t="inlineStr">
        <is>
          <t>Sveaskog</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37338-2024</t>
        </is>
      </c>
      <c r="B140" t="inlineStr">
        <is>
          <t>avverkningsanmälan</t>
        </is>
      </c>
      <c r="C140" t="inlineStr">
        <is>
          <t>Föryngringsavverkning</t>
        </is>
      </c>
      <c r="D140" s="1" t="n">
        <v>45540</v>
      </c>
      <c r="E140" s="1" t="n">
        <v>46222</v>
      </c>
      <c r="F140" t="inlineStr">
        <is>
          <t>GÄVLEBORGS LÄN</t>
        </is>
      </c>
      <c r="G140" t="inlineStr">
        <is>
          <t>OVANÅKER</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30906-2024</t>
        </is>
      </c>
      <c r="B141" t="inlineStr">
        <is>
          <t>avverkningsanmälan</t>
        </is>
      </c>
      <c r="C141" t="inlineStr">
        <is>
          <t>Föryngringsavverkning</t>
        </is>
      </c>
      <c r="D141" s="1" t="n">
        <v>45498</v>
      </c>
      <c r="E141" s="1" t="n">
        <v>46222</v>
      </c>
      <c r="F141" t="inlineStr">
        <is>
          <t>GÄVLEBORGS LÄN</t>
        </is>
      </c>
      <c r="G141" t="inlineStr">
        <is>
          <t>OVANÅKER</t>
        </is>
      </c>
      <c r="H141" t="inlineStr">
        <is>
          <t>Bergvik skog öst AB</t>
        </is>
      </c>
      <c r="I141" t="n">
        <v>5.3</v>
      </c>
      <c r="J141" t="n">
        <v>0</v>
      </c>
      <c r="K141" t="n">
        <v>0</v>
      </c>
      <c r="L141" t="n">
        <v>0</v>
      </c>
      <c r="M141" t="n">
        <v>0</v>
      </c>
      <c r="N141" t="n">
        <v>0</v>
      </c>
      <c r="O141" t="n">
        <v>0</v>
      </c>
      <c r="P141" t="n">
        <v>0</v>
      </c>
      <c r="Q141" t="n">
        <v>0</v>
      </c>
      <c r="R141" t="n">
        <v>0</v>
      </c>
      <c r="S141" t="n">
        <v>0</v>
      </c>
      <c r="T141" t="n">
        <v>0</v>
      </c>
      <c r="U141" s="2" t="inlineStr"/>
    </row>
    <row r="142" ht="15" customHeight="1">
      <c r="A142" t="inlineStr">
        <is>
          <t>A 30919-2024</t>
        </is>
      </c>
      <c r="B142" t="inlineStr">
        <is>
          <t>avverkningsanmälan</t>
        </is>
      </c>
      <c r="C142" t="inlineStr">
        <is>
          <t>Föryngringsavverkning</t>
        </is>
      </c>
      <c r="D142" s="1" t="n">
        <v>45498</v>
      </c>
      <c r="E142" s="1" t="n">
        <v>46222</v>
      </c>
      <c r="F142" t="inlineStr">
        <is>
          <t>GÄVLEBORGS LÄN</t>
        </is>
      </c>
      <c r="G142" t="inlineStr">
        <is>
          <t>OVANÅKER</t>
        </is>
      </c>
      <c r="H142" t="inlineStr">
        <is>
          <t>Bergvik skog öst AB</t>
        </is>
      </c>
      <c r="I142" t="n">
        <v>4</v>
      </c>
      <c r="J142" t="n">
        <v>0</v>
      </c>
      <c r="K142" t="n">
        <v>0</v>
      </c>
      <c r="L142" t="n">
        <v>0</v>
      </c>
      <c r="M142" t="n">
        <v>0</v>
      </c>
      <c r="N142" t="n">
        <v>0</v>
      </c>
      <c r="O142" t="n">
        <v>0</v>
      </c>
      <c r="P142" t="n">
        <v>0</v>
      </c>
      <c r="Q142" t="n">
        <v>0</v>
      </c>
      <c r="R142" t="n">
        <v>0</v>
      </c>
      <c r="S142" t="n">
        <v>0</v>
      </c>
      <c r="T142" t="n">
        <v>0</v>
      </c>
      <c r="U142" s="2" t="inlineStr"/>
    </row>
    <row r="143" ht="15" customHeight="1">
      <c r="A143" t="inlineStr">
        <is>
          <t>A 51122-2022</t>
        </is>
      </c>
      <c r="B143" t="inlineStr">
        <is>
          <t>avverkningsanmälan</t>
        </is>
      </c>
      <c r="C143" t="inlineStr">
        <is>
          <t>Föryngringsavverkning</t>
        </is>
      </c>
      <c r="D143" s="1" t="n">
        <v>44868</v>
      </c>
      <c r="E143" s="1" t="n">
        <v>46222</v>
      </c>
      <c r="F143" t="inlineStr">
        <is>
          <t>GÄVLEBORGS LÄN</t>
        </is>
      </c>
      <c r="G143" t="inlineStr">
        <is>
          <t>OVANÅKER</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2911-2024</t>
        </is>
      </c>
      <c r="B144" t="inlineStr">
        <is>
          <t>avverkningsanmälan</t>
        </is>
      </c>
      <c r="C144" t="inlineStr">
        <is>
          <t>Avverkning för annat ändamål</t>
        </is>
      </c>
      <c r="D144" s="1" t="n">
        <v>45315</v>
      </c>
      <c r="E144" s="1" t="n">
        <v>46222</v>
      </c>
      <c r="F144" t="inlineStr">
        <is>
          <t>GÄVLEBORGS LÄN</t>
        </is>
      </c>
      <c r="G144" t="inlineStr">
        <is>
          <t>OVANÅKER</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46960-2022</t>
        </is>
      </c>
      <c r="B145" t="inlineStr">
        <is>
          <t>avverkningsanmälan</t>
        </is>
      </c>
      <c r="C145" t="inlineStr">
        <is>
          <t>Föryngringsavverkning</t>
        </is>
      </c>
      <c r="D145" s="1" t="n">
        <v>44851</v>
      </c>
      <c r="E145" s="1" t="n">
        <v>46222</v>
      </c>
      <c r="F145" t="inlineStr">
        <is>
          <t>GÄVLEBORGS LÄN</t>
        </is>
      </c>
      <c r="G145" t="inlineStr">
        <is>
          <t>OVANÅKER</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37306-2024</t>
        </is>
      </c>
      <c r="B146" t="inlineStr">
        <is>
          <t>avverkningsanmälan</t>
        </is>
      </c>
      <c r="C146" t="inlineStr">
        <is>
          <t>Föryngringsavverkning</t>
        </is>
      </c>
      <c r="D146" s="1" t="n">
        <v>45540</v>
      </c>
      <c r="E146" s="1" t="n">
        <v>46222</v>
      </c>
      <c r="F146" t="inlineStr">
        <is>
          <t>GÄVLEBORGS LÄN</t>
        </is>
      </c>
      <c r="G146" t="inlineStr">
        <is>
          <t>OVANÅKER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36252-2024</t>
        </is>
      </c>
      <c r="B147" t="inlineStr">
        <is>
          <t>avverkningsanmälan</t>
        </is>
      </c>
      <c r="C147" t="inlineStr">
        <is>
          <t>Avverkning för annat ändamål</t>
        </is>
      </c>
      <c r="D147" s="1" t="n">
        <v>45534</v>
      </c>
      <c r="E147" s="1" t="n">
        <v>46222</v>
      </c>
      <c r="F147" t="inlineStr">
        <is>
          <t>GÄVLEBORGS LÄN</t>
        </is>
      </c>
      <c r="G147" t="inlineStr">
        <is>
          <t>OVANÅKER</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36254-2024</t>
        </is>
      </c>
      <c r="B148" t="inlineStr">
        <is>
          <t>avverkningsanmälan</t>
        </is>
      </c>
      <c r="C148" t="inlineStr">
        <is>
          <t>Avverkning för annat ändamål</t>
        </is>
      </c>
      <c r="D148" s="1" t="n">
        <v>45534</v>
      </c>
      <c r="E148" s="1" t="n">
        <v>46222</v>
      </c>
      <c r="F148" t="inlineStr">
        <is>
          <t>GÄVLEBORGS LÄN</t>
        </is>
      </c>
      <c r="G148" t="inlineStr">
        <is>
          <t>OVANÅKER</t>
        </is>
      </c>
      <c r="I148" t="n">
        <v>0.3</v>
      </c>
      <c r="J148" t="n">
        <v>0</v>
      </c>
      <c r="K148" t="n">
        <v>0</v>
      </c>
      <c r="L148" t="n">
        <v>0</v>
      </c>
      <c r="M148" t="n">
        <v>0</v>
      </c>
      <c r="N148" t="n">
        <v>0</v>
      </c>
      <c r="O148" t="n">
        <v>0</v>
      </c>
      <c r="P148" t="n">
        <v>0</v>
      </c>
      <c r="Q148" t="n">
        <v>0</v>
      </c>
      <c r="R148" t="n">
        <v>0</v>
      </c>
      <c r="S148" t="n">
        <v>0</v>
      </c>
      <c r="T148" t="n">
        <v>0</v>
      </c>
      <c r="U148" s="2" t="inlineStr"/>
    </row>
    <row r="149" ht="15" customHeight="1">
      <c r="A149" t="inlineStr">
        <is>
          <t>A 26028-2024</t>
        </is>
      </c>
      <c r="B149" t="inlineStr">
        <is>
          <t>avverkningsanmälan</t>
        </is>
      </c>
      <c r="C149" t="inlineStr">
        <is>
          <t>Föryngringsavverkning</t>
        </is>
      </c>
      <c r="D149" s="1" t="n">
        <v>45467</v>
      </c>
      <c r="E149" s="1" t="n">
        <v>46222</v>
      </c>
      <c r="F149" t="inlineStr">
        <is>
          <t>GÄVLEBORGS LÄN</t>
        </is>
      </c>
      <c r="G149" t="inlineStr">
        <is>
          <t>OVANÅKER</t>
        </is>
      </c>
      <c r="I149" t="n">
        <v>5.4</v>
      </c>
      <c r="J149" t="n">
        <v>0</v>
      </c>
      <c r="K149" t="n">
        <v>0</v>
      </c>
      <c r="L149" t="n">
        <v>0</v>
      </c>
      <c r="M149" t="n">
        <v>0</v>
      </c>
      <c r="N149" t="n">
        <v>0</v>
      </c>
      <c r="O149" t="n">
        <v>0</v>
      </c>
      <c r="P149" t="n">
        <v>0</v>
      </c>
      <c r="Q149" t="n">
        <v>0</v>
      </c>
      <c r="R149" t="n">
        <v>0</v>
      </c>
      <c r="S149" t="n">
        <v>0</v>
      </c>
      <c r="T149" t="n">
        <v>0</v>
      </c>
      <c r="U149" s="2" t="inlineStr"/>
    </row>
    <row r="150" ht="15" customHeight="1">
      <c r="A150" t="inlineStr">
        <is>
          <t>A 47917-2022</t>
        </is>
      </c>
      <c r="B150" t="inlineStr">
        <is>
          <t>avverkningsanmälan</t>
        </is>
      </c>
      <c r="C150" t="inlineStr">
        <is>
          <t>Föryngringsavverkning</t>
        </is>
      </c>
      <c r="D150" s="1" t="n">
        <v>44855</v>
      </c>
      <c r="E150" s="1" t="n">
        <v>46222</v>
      </c>
      <c r="F150" t="inlineStr">
        <is>
          <t>GÄVLEBORGS LÄN</t>
        </is>
      </c>
      <c r="G150" t="inlineStr">
        <is>
          <t>OVANÅKER</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19629-2024</t>
        </is>
      </c>
      <c r="B151" t="inlineStr">
        <is>
          <t>avverkningsanmälan</t>
        </is>
      </c>
      <c r="C151" t="inlineStr">
        <is>
          <t>Föryngringsavverkning</t>
        </is>
      </c>
      <c r="D151" s="1" t="n">
        <v>45432</v>
      </c>
      <c r="E151" s="1" t="n">
        <v>46222</v>
      </c>
      <c r="F151" t="inlineStr">
        <is>
          <t>GÄVLEBORGS LÄN</t>
        </is>
      </c>
      <c r="G151" t="inlineStr">
        <is>
          <t>OVANÅKER</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44594-2022</t>
        </is>
      </c>
      <c r="B152" t="inlineStr">
        <is>
          <t>avverkningsanmälan</t>
        </is>
      </c>
      <c r="C152" t="inlineStr">
        <is>
          <t>Avverkning för annat ändamål</t>
        </is>
      </c>
      <c r="D152" s="1" t="n">
        <v>44840</v>
      </c>
      <c r="E152" s="1" t="n">
        <v>46222</v>
      </c>
      <c r="F152" t="inlineStr">
        <is>
          <t>GÄVLEBORGS LÄN</t>
        </is>
      </c>
      <c r="G152" t="inlineStr">
        <is>
          <t>OVANÅKER</t>
        </is>
      </c>
      <c r="I152" t="n">
        <v>5</v>
      </c>
      <c r="J152" t="n">
        <v>0</v>
      </c>
      <c r="K152" t="n">
        <v>0</v>
      </c>
      <c r="L152" t="n">
        <v>0</v>
      </c>
      <c r="M152" t="n">
        <v>0</v>
      </c>
      <c r="N152" t="n">
        <v>0</v>
      </c>
      <c r="O152" t="n">
        <v>0</v>
      </c>
      <c r="P152" t="n">
        <v>0</v>
      </c>
      <c r="Q152" t="n">
        <v>0</v>
      </c>
      <c r="R152" t="n">
        <v>0</v>
      </c>
      <c r="S152" t="n">
        <v>0</v>
      </c>
      <c r="T152" t="n">
        <v>0</v>
      </c>
      <c r="U152" s="2" t="inlineStr"/>
    </row>
    <row r="153" ht="15" customHeight="1">
      <c r="A153" t="inlineStr">
        <is>
          <t>A 33198-2024</t>
        </is>
      </c>
      <c r="B153" t="inlineStr">
        <is>
          <t>avverkningsanmälan</t>
        </is>
      </c>
      <c r="C153" t="inlineStr">
        <is>
          <t>Föryngringsavverkning</t>
        </is>
      </c>
      <c r="D153" s="1" t="n">
        <v>45518</v>
      </c>
      <c r="E153" s="1" t="n">
        <v>46222</v>
      </c>
      <c r="F153" t="inlineStr">
        <is>
          <t>GÄVLEBORGS LÄN</t>
        </is>
      </c>
      <c r="G153" t="inlineStr">
        <is>
          <t>OVANÅKER</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2598-2026</t>
        </is>
      </c>
      <c r="B154" t="inlineStr">
        <is>
          <t>avverkningsanmälan</t>
        </is>
      </c>
      <c r="C154" t="inlineStr">
        <is>
          <t>Föryngringsavverkning</t>
        </is>
      </c>
      <c r="D154" s="1" t="n">
        <v>46037</v>
      </c>
      <c r="E154" s="1" t="n">
        <v>46222</v>
      </c>
      <c r="F154" t="inlineStr">
        <is>
          <t>GÄVLEBORGS LÄN</t>
        </is>
      </c>
      <c r="G154" t="inlineStr">
        <is>
          <t>OVANÅKER</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2604-2026</t>
        </is>
      </c>
      <c r="B155" t="inlineStr">
        <is>
          <t>avverkningsanmälan</t>
        </is>
      </c>
      <c r="C155" t="inlineStr">
        <is>
          <t>Föryngringsavverkning</t>
        </is>
      </c>
      <c r="D155" s="1" t="n">
        <v>46037</v>
      </c>
      <c r="E155" s="1" t="n">
        <v>46222</v>
      </c>
      <c r="F155" t="inlineStr">
        <is>
          <t>GÄVLEBORGS LÄN</t>
        </is>
      </c>
      <c r="G155" t="inlineStr">
        <is>
          <t>OVANÅKER</t>
        </is>
      </c>
      <c r="I155" t="n">
        <v>10.4</v>
      </c>
      <c r="J155" t="n">
        <v>0</v>
      </c>
      <c r="K155" t="n">
        <v>0</v>
      </c>
      <c r="L155" t="n">
        <v>0</v>
      </c>
      <c r="M155" t="n">
        <v>0</v>
      </c>
      <c r="N155" t="n">
        <v>0</v>
      </c>
      <c r="O155" t="n">
        <v>0</v>
      </c>
      <c r="P155" t="n">
        <v>0</v>
      </c>
      <c r="Q155" t="n">
        <v>0</v>
      </c>
      <c r="R155" t="n">
        <v>0</v>
      </c>
      <c r="S155" t="n">
        <v>0</v>
      </c>
      <c r="T155" t="n">
        <v>0</v>
      </c>
      <c r="U155" s="2" t="inlineStr"/>
    </row>
    <row r="156" ht="15" customHeight="1">
      <c r="A156" t="inlineStr">
        <is>
          <t>A 293-2026</t>
        </is>
      </c>
      <c r="B156" t="inlineStr">
        <is>
          <t>avverkningsanmälan</t>
        </is>
      </c>
      <c r="C156" t="inlineStr">
        <is>
          <t>Föryngringsavverkning</t>
        </is>
      </c>
      <c r="D156" s="1" t="n">
        <v>46027</v>
      </c>
      <c r="E156" s="1" t="n">
        <v>46222</v>
      </c>
      <c r="F156" t="inlineStr">
        <is>
          <t>GÄVLEBORGS LÄN</t>
        </is>
      </c>
      <c r="G156" t="inlineStr">
        <is>
          <t>OVANÅKER</t>
        </is>
      </c>
      <c r="I156" t="n">
        <v>27.8</v>
      </c>
      <c r="J156" t="n">
        <v>0</v>
      </c>
      <c r="K156" t="n">
        <v>0</v>
      </c>
      <c r="L156" t="n">
        <v>0</v>
      </c>
      <c r="M156" t="n">
        <v>0</v>
      </c>
      <c r="N156" t="n">
        <v>0</v>
      </c>
      <c r="O156" t="n">
        <v>0</v>
      </c>
      <c r="P156" t="n">
        <v>0</v>
      </c>
      <c r="Q156" t="n">
        <v>0</v>
      </c>
      <c r="R156" t="n">
        <v>0</v>
      </c>
      <c r="S156" t="n">
        <v>0</v>
      </c>
      <c r="T156" t="n">
        <v>0</v>
      </c>
      <c r="U156" s="2" t="inlineStr"/>
    </row>
    <row r="157" ht="15" customHeight="1">
      <c r="A157" t="inlineStr">
        <is>
          <t>A 2634-2026</t>
        </is>
      </c>
      <c r="B157" t="inlineStr">
        <is>
          <t>avverkningsanmälan</t>
        </is>
      </c>
      <c r="C157" t="inlineStr">
        <is>
          <t>Föryngringsavverkning</t>
        </is>
      </c>
      <c r="D157" s="1" t="n">
        <v>46037</v>
      </c>
      <c r="E157" s="1" t="n">
        <v>46222</v>
      </c>
      <c r="F157" t="inlineStr">
        <is>
          <t>GÄVLEBORGS LÄN</t>
        </is>
      </c>
      <c r="G157" t="inlineStr">
        <is>
          <t>OVANÅKER</t>
        </is>
      </c>
      <c r="I157" t="n">
        <v>10.2</v>
      </c>
      <c r="J157" t="n">
        <v>0</v>
      </c>
      <c r="K157" t="n">
        <v>0</v>
      </c>
      <c r="L157" t="n">
        <v>0</v>
      </c>
      <c r="M157" t="n">
        <v>0</v>
      </c>
      <c r="N157" t="n">
        <v>0</v>
      </c>
      <c r="O157" t="n">
        <v>0</v>
      </c>
      <c r="P157" t="n">
        <v>0</v>
      </c>
      <c r="Q157" t="n">
        <v>0</v>
      </c>
      <c r="R157" t="n">
        <v>0</v>
      </c>
      <c r="S157" t="n">
        <v>0</v>
      </c>
      <c r="T157" t="n">
        <v>0</v>
      </c>
      <c r="U157" s="2" t="inlineStr"/>
    </row>
    <row r="158" ht="15" customHeight="1">
      <c r="A158" t="inlineStr">
        <is>
          <t>A 2808-2026</t>
        </is>
      </c>
      <c r="B158" t="inlineStr">
        <is>
          <t>avverkningsanmälan</t>
        </is>
      </c>
      <c r="C158" t="inlineStr">
        <is>
          <t>Föryngringsavverkning</t>
        </is>
      </c>
      <c r="D158" s="1" t="n">
        <v>46038</v>
      </c>
      <c r="E158" s="1" t="n">
        <v>46222</v>
      </c>
      <c r="F158" t="inlineStr">
        <is>
          <t>GÄVLEBORGS LÄN</t>
        </is>
      </c>
      <c r="G158" t="inlineStr">
        <is>
          <t>OVANÅKER</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20331-2023</t>
        </is>
      </c>
      <c r="B159" t="inlineStr">
        <is>
          <t>avverkningsanmälan</t>
        </is>
      </c>
      <c r="C159" t="inlineStr">
        <is>
          <t>Föryngringsavverkning</t>
        </is>
      </c>
      <c r="D159" s="1" t="n">
        <v>45056</v>
      </c>
      <c r="E159" s="1" t="n">
        <v>46222</v>
      </c>
      <c r="F159" t="inlineStr">
        <is>
          <t>GÄVLEBORGS LÄN</t>
        </is>
      </c>
      <c r="G159" t="inlineStr">
        <is>
          <t>OVANÅKER</t>
        </is>
      </c>
      <c r="I159" t="n">
        <v>5.1</v>
      </c>
      <c r="J159" t="n">
        <v>0</v>
      </c>
      <c r="K159" t="n">
        <v>0</v>
      </c>
      <c r="L159" t="n">
        <v>0</v>
      </c>
      <c r="M159" t="n">
        <v>0</v>
      </c>
      <c r="N159" t="n">
        <v>0</v>
      </c>
      <c r="O159" t="n">
        <v>0</v>
      </c>
      <c r="P159" t="n">
        <v>0</v>
      </c>
      <c r="Q159" t="n">
        <v>0</v>
      </c>
      <c r="R159" t="n">
        <v>0</v>
      </c>
      <c r="S159" t="n">
        <v>0</v>
      </c>
      <c r="T159" t="n">
        <v>0</v>
      </c>
      <c r="U159" s="2" t="inlineStr"/>
    </row>
    <row r="160" ht="15" customHeight="1">
      <c r="A160" t="inlineStr">
        <is>
          <t>A 3160-2026</t>
        </is>
      </c>
      <c r="B160" t="inlineStr">
        <is>
          <t>avverkningsanmälan</t>
        </is>
      </c>
      <c r="C160" t="inlineStr">
        <is>
          <t>Föryngringsavverkning</t>
        </is>
      </c>
      <c r="D160" s="1" t="n">
        <v>46041</v>
      </c>
      <c r="E160" s="1" t="n">
        <v>46222</v>
      </c>
      <c r="F160" t="inlineStr">
        <is>
          <t>GÄVLEBORGS LÄN</t>
        </is>
      </c>
      <c r="G160" t="inlineStr">
        <is>
          <t>OVANÅKER</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55371-2021</t>
        </is>
      </c>
      <c r="B161" t="inlineStr">
        <is>
          <t>avverkningsanmälan</t>
        </is>
      </c>
      <c r="C161" t="inlineStr">
        <is>
          <t>Föryngringsavverkning</t>
        </is>
      </c>
      <c r="D161" s="1" t="n">
        <v>44475</v>
      </c>
      <c r="E161" s="1" t="n">
        <v>46222</v>
      </c>
      <c r="F161" t="inlineStr">
        <is>
          <t>GÄVLEBORGS LÄN</t>
        </is>
      </c>
      <c r="G161" t="inlineStr">
        <is>
          <t>OVANÅKER</t>
        </is>
      </c>
      <c r="I161" t="n">
        <v>3.3</v>
      </c>
      <c r="J161" t="n">
        <v>0</v>
      </c>
      <c r="K161" t="n">
        <v>0</v>
      </c>
      <c r="L161" t="n">
        <v>0</v>
      </c>
      <c r="M161" t="n">
        <v>0</v>
      </c>
      <c r="N161" t="n">
        <v>0</v>
      </c>
      <c r="O161" t="n">
        <v>0</v>
      </c>
      <c r="P161" t="n">
        <v>0</v>
      </c>
      <c r="Q161" t="n">
        <v>0</v>
      </c>
      <c r="R161" t="n">
        <v>0</v>
      </c>
      <c r="S161" t="n">
        <v>0</v>
      </c>
      <c r="T161" t="n">
        <v>0</v>
      </c>
      <c r="U161" s="2" t="inlineStr"/>
    </row>
    <row r="162" ht="15" customHeight="1">
      <c r="A162" t="inlineStr">
        <is>
          <t>A 3148-2026</t>
        </is>
      </c>
      <c r="B162" t="inlineStr">
        <is>
          <t>avverkningsanmälan</t>
        </is>
      </c>
      <c r="C162" t="inlineStr">
        <is>
          <t>Föryngringsavverkning</t>
        </is>
      </c>
      <c r="D162" s="1" t="n">
        <v>46041</v>
      </c>
      <c r="E162" s="1" t="n">
        <v>46222</v>
      </c>
      <c r="F162" t="inlineStr">
        <is>
          <t>GÄVLEBORGS LÄN</t>
        </is>
      </c>
      <c r="G162" t="inlineStr">
        <is>
          <t>OVANÅKER</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3044-2023</t>
        </is>
      </c>
      <c r="B163" t="inlineStr">
        <is>
          <t>avverkningsanmälan</t>
        </is>
      </c>
      <c r="C163" t="inlineStr">
        <is>
          <t>Föryngringsavverkning</t>
        </is>
      </c>
      <c r="D163" s="1" t="n">
        <v>44946</v>
      </c>
      <c r="E163" s="1" t="n">
        <v>46222</v>
      </c>
      <c r="F163" t="inlineStr">
        <is>
          <t>GÄVLEBORGS LÄN</t>
        </is>
      </c>
      <c r="G163" t="inlineStr">
        <is>
          <t>OVANÅKER</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43521-2024</t>
        </is>
      </c>
      <c r="B164" t="inlineStr">
        <is>
          <t>avverkningsanmälan</t>
        </is>
      </c>
      <c r="C164" t="inlineStr">
        <is>
          <t>Föryngringsavverkning</t>
        </is>
      </c>
      <c r="D164" s="1" t="n">
        <v>45569</v>
      </c>
      <c r="E164" s="1" t="n">
        <v>46222</v>
      </c>
      <c r="F164" t="inlineStr">
        <is>
          <t>GÄVLEBORGS LÄN</t>
        </is>
      </c>
      <c r="G164" t="inlineStr">
        <is>
          <t>OVANÅKER</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3126-2026</t>
        </is>
      </c>
      <c r="B165" t="inlineStr">
        <is>
          <t>avverkningsanmälan</t>
        </is>
      </c>
      <c r="C165" t="inlineStr">
        <is>
          <t>Föryngringsavverkning</t>
        </is>
      </c>
      <c r="D165" s="1" t="n">
        <v>46041</v>
      </c>
      <c r="E165" s="1" t="n">
        <v>46222</v>
      </c>
      <c r="F165" t="inlineStr">
        <is>
          <t>GÄVLEBORGS LÄN</t>
        </is>
      </c>
      <c r="G165" t="inlineStr">
        <is>
          <t>OVANÅKER</t>
        </is>
      </c>
      <c r="I165" t="n">
        <v>5.2</v>
      </c>
      <c r="J165" t="n">
        <v>0</v>
      </c>
      <c r="K165" t="n">
        <v>0</v>
      </c>
      <c r="L165" t="n">
        <v>0</v>
      </c>
      <c r="M165" t="n">
        <v>0</v>
      </c>
      <c r="N165" t="n">
        <v>0</v>
      </c>
      <c r="O165" t="n">
        <v>0</v>
      </c>
      <c r="P165" t="n">
        <v>0</v>
      </c>
      <c r="Q165" t="n">
        <v>0</v>
      </c>
      <c r="R165" t="n">
        <v>0</v>
      </c>
      <c r="S165" t="n">
        <v>0</v>
      </c>
      <c r="T165" t="n">
        <v>0</v>
      </c>
      <c r="U165" s="2" t="inlineStr"/>
    </row>
    <row r="166" ht="15" customHeight="1">
      <c r="A166" t="inlineStr">
        <is>
          <t>A 2546-2023</t>
        </is>
      </c>
      <c r="B166" t="inlineStr">
        <is>
          <t>avverkningsanmälan</t>
        </is>
      </c>
      <c r="C166" t="inlineStr">
        <is>
          <t>Föryngringsavverkning</t>
        </is>
      </c>
      <c r="D166" s="1" t="n">
        <v>44943</v>
      </c>
      <c r="E166" s="1" t="n">
        <v>46222</v>
      </c>
      <c r="F166" t="inlineStr">
        <is>
          <t>GÄVLEBORGS LÄN</t>
        </is>
      </c>
      <c r="G166" t="inlineStr">
        <is>
          <t>OVANÅKER</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13123-2023</t>
        </is>
      </c>
      <c r="B167" t="inlineStr">
        <is>
          <t>avverkningsanmälan</t>
        </is>
      </c>
      <c r="C167" t="inlineStr">
        <is>
          <t>Föryngringsavverkning</t>
        </is>
      </c>
      <c r="D167" s="1" t="n">
        <v>45002</v>
      </c>
      <c r="E167" s="1" t="n">
        <v>46222</v>
      </c>
      <c r="F167" t="inlineStr">
        <is>
          <t>GÄVLEBORGS LÄN</t>
        </is>
      </c>
      <c r="G167" t="inlineStr">
        <is>
          <t>OVANÅKER</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3994-2026</t>
        </is>
      </c>
      <c r="B168" t="inlineStr">
        <is>
          <t>avverkningsanmälan</t>
        </is>
      </c>
      <c r="C168" t="inlineStr">
        <is>
          <t>Föryngringsavverkning</t>
        </is>
      </c>
      <c r="D168" s="1" t="n">
        <v>46044</v>
      </c>
      <c r="E168" s="1" t="n">
        <v>46222</v>
      </c>
      <c r="F168" t="inlineStr">
        <is>
          <t>GÄVLEBORGS LÄN</t>
        </is>
      </c>
      <c r="G168" t="inlineStr">
        <is>
          <t>OVANÅKER</t>
        </is>
      </c>
      <c r="I168" t="n">
        <v>5.4</v>
      </c>
      <c r="J168" t="n">
        <v>0</v>
      </c>
      <c r="K168" t="n">
        <v>0</v>
      </c>
      <c r="L168" t="n">
        <v>0</v>
      </c>
      <c r="M168" t="n">
        <v>0</v>
      </c>
      <c r="N168" t="n">
        <v>0</v>
      </c>
      <c r="O168" t="n">
        <v>0</v>
      </c>
      <c r="P168" t="n">
        <v>0</v>
      </c>
      <c r="Q168" t="n">
        <v>0</v>
      </c>
      <c r="R168" t="n">
        <v>0</v>
      </c>
      <c r="S168" t="n">
        <v>0</v>
      </c>
      <c r="T168" t="n">
        <v>0</v>
      </c>
      <c r="U168" s="2" t="inlineStr"/>
    </row>
    <row r="169" ht="15" customHeight="1">
      <c r="A169" t="inlineStr">
        <is>
          <t>A 4000-2026</t>
        </is>
      </c>
      <c r="B169" t="inlineStr">
        <is>
          <t>avverkningsanmälan</t>
        </is>
      </c>
      <c r="C169" t="inlineStr">
        <is>
          <t>Föryngringsavverkning</t>
        </is>
      </c>
      <c r="D169" s="1" t="n">
        <v>46044</v>
      </c>
      <c r="E169" s="1" t="n">
        <v>46222</v>
      </c>
      <c r="F169" t="inlineStr">
        <is>
          <t>GÄVLEBORGS LÄN</t>
        </is>
      </c>
      <c r="G169" t="inlineStr">
        <is>
          <t>OVANÅKER</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3758-2026</t>
        </is>
      </c>
      <c r="B170" t="inlineStr">
        <is>
          <t>avverkningsanmälan</t>
        </is>
      </c>
      <c r="C170" t="inlineStr">
        <is>
          <t>Föryngringsavverkning</t>
        </is>
      </c>
      <c r="D170" s="1" t="n">
        <v>46043</v>
      </c>
      <c r="E170" s="1" t="n">
        <v>46222</v>
      </c>
      <c r="F170" t="inlineStr">
        <is>
          <t>GÄVLEBORGS LÄN</t>
        </is>
      </c>
      <c r="G170" t="inlineStr">
        <is>
          <t>OVANÅKER</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4196-2026</t>
        </is>
      </c>
      <c r="B171" t="inlineStr">
        <is>
          <t>avverkningsanmälan</t>
        </is>
      </c>
      <c r="C171" t="inlineStr">
        <is>
          <t>Föryngringsavverkning</t>
        </is>
      </c>
      <c r="D171" s="1" t="n">
        <v>46044</v>
      </c>
      <c r="E171" s="1" t="n">
        <v>46222</v>
      </c>
      <c r="F171" t="inlineStr">
        <is>
          <t>GÄVLEBORGS LÄN</t>
        </is>
      </c>
      <c r="G171" t="inlineStr">
        <is>
          <t>OVANÅKER</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7693-2024</t>
        </is>
      </c>
      <c r="B172" t="inlineStr">
        <is>
          <t>avverkningsanmälan</t>
        </is>
      </c>
      <c r="C172" t="inlineStr">
        <is>
          <t>Föryngringsavverkning</t>
        </is>
      </c>
      <c r="D172" s="1" t="n">
        <v>45349</v>
      </c>
      <c r="E172" s="1" t="n">
        <v>46222</v>
      </c>
      <c r="F172" t="inlineStr">
        <is>
          <t>GÄVLEBORGS LÄN</t>
        </is>
      </c>
      <c r="G172" t="inlineStr">
        <is>
          <t>OVANÅKER</t>
        </is>
      </c>
      <c r="I172" t="n">
        <v>4.5</v>
      </c>
      <c r="J172" t="n">
        <v>0</v>
      </c>
      <c r="K172" t="n">
        <v>0</v>
      </c>
      <c r="L172" t="n">
        <v>0</v>
      </c>
      <c r="M172" t="n">
        <v>0</v>
      </c>
      <c r="N172" t="n">
        <v>0</v>
      </c>
      <c r="O172" t="n">
        <v>0</v>
      </c>
      <c r="P172" t="n">
        <v>0</v>
      </c>
      <c r="Q172" t="n">
        <v>0</v>
      </c>
      <c r="R172" t="n">
        <v>0</v>
      </c>
      <c r="S172" t="n">
        <v>0</v>
      </c>
      <c r="T172" t="n">
        <v>0</v>
      </c>
      <c r="U172" s="2" t="inlineStr"/>
    </row>
    <row r="173" ht="15" customHeight="1">
      <c r="A173" t="inlineStr">
        <is>
          <t>A 53691-2022</t>
        </is>
      </c>
      <c r="B173" t="inlineStr">
        <is>
          <t>avverkningsanmälan</t>
        </is>
      </c>
      <c r="C173" t="inlineStr">
        <is>
          <t>Föryngringsavverkning</t>
        </is>
      </c>
      <c r="D173" s="1" t="n">
        <v>44880</v>
      </c>
      <c r="E173" s="1" t="n">
        <v>46222</v>
      </c>
      <c r="F173" t="inlineStr">
        <is>
          <t>GÄVLEBORGS LÄN</t>
        </is>
      </c>
      <c r="G173" t="inlineStr">
        <is>
          <t>OVANÅKER</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4136-2026</t>
        </is>
      </c>
      <c r="B174" t="inlineStr">
        <is>
          <t>avverkningsanmälan</t>
        </is>
      </c>
      <c r="C174" t="inlineStr">
        <is>
          <t>Föryngringsavverkning</t>
        </is>
      </c>
      <c r="D174" s="1" t="n">
        <v>46044</v>
      </c>
      <c r="E174" s="1" t="n">
        <v>46222</v>
      </c>
      <c r="F174" t="inlineStr">
        <is>
          <t>GÄVLEBORGS LÄN</t>
        </is>
      </c>
      <c r="G174" t="inlineStr">
        <is>
          <t>OVANÅKER</t>
        </is>
      </c>
      <c r="I174" t="n">
        <v>5.9</v>
      </c>
      <c r="J174" t="n">
        <v>0</v>
      </c>
      <c r="K174" t="n">
        <v>0</v>
      </c>
      <c r="L174" t="n">
        <v>0</v>
      </c>
      <c r="M174" t="n">
        <v>0</v>
      </c>
      <c r="N174" t="n">
        <v>0</v>
      </c>
      <c r="O174" t="n">
        <v>0</v>
      </c>
      <c r="P174" t="n">
        <v>0</v>
      </c>
      <c r="Q174" t="n">
        <v>0</v>
      </c>
      <c r="R174" t="n">
        <v>0</v>
      </c>
      <c r="S174" t="n">
        <v>0</v>
      </c>
      <c r="T174" t="n">
        <v>0</v>
      </c>
      <c r="U174" s="2" t="inlineStr"/>
    </row>
    <row r="175" ht="15" customHeight="1">
      <c r="A175" t="inlineStr">
        <is>
          <t>A 4153-2026</t>
        </is>
      </c>
      <c r="B175" t="inlineStr">
        <is>
          <t>avverkningsanmälan</t>
        </is>
      </c>
      <c r="C175" t="inlineStr">
        <is>
          <t>Föryngringsavverkning</t>
        </is>
      </c>
      <c r="D175" s="1" t="n">
        <v>46044</v>
      </c>
      <c r="E175" s="1" t="n">
        <v>46222</v>
      </c>
      <c r="F175" t="inlineStr">
        <is>
          <t>GÄVLEBORGS LÄN</t>
        </is>
      </c>
      <c r="G175" t="inlineStr">
        <is>
          <t>OVANÅKER</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4118-2026</t>
        </is>
      </c>
      <c r="B176" t="inlineStr">
        <is>
          <t>avverkningsanmälan</t>
        </is>
      </c>
      <c r="C176" t="inlineStr">
        <is>
          <t>Föryngringsavverkning</t>
        </is>
      </c>
      <c r="D176" s="1" t="n">
        <v>46044</v>
      </c>
      <c r="E176" s="1" t="n">
        <v>46222</v>
      </c>
      <c r="F176" t="inlineStr">
        <is>
          <t>GÄVLEBORGS LÄN</t>
        </is>
      </c>
      <c r="G176" t="inlineStr">
        <is>
          <t>OVANÅKER</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4475-2025</t>
        </is>
      </c>
      <c r="B177" t="inlineStr">
        <is>
          <t>avverkningsanmälan</t>
        </is>
      </c>
      <c r="C177" t="inlineStr">
        <is>
          <t>Föryngringsavverkning</t>
        </is>
      </c>
      <c r="D177" s="1" t="n">
        <v>45686</v>
      </c>
      <c r="E177" s="1" t="n">
        <v>46222</v>
      </c>
      <c r="F177" t="inlineStr">
        <is>
          <t>GÄVLEBORGS LÄN</t>
        </is>
      </c>
      <c r="G177" t="inlineStr">
        <is>
          <t>OVANÅKER</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3632-2026</t>
        </is>
      </c>
      <c r="B178" t="inlineStr">
        <is>
          <t>avverkningsanmälan</t>
        </is>
      </c>
      <c r="C178" t="inlineStr">
        <is>
          <t>Föryngringsavverkning</t>
        </is>
      </c>
      <c r="D178" s="1" t="n">
        <v>46043</v>
      </c>
      <c r="E178" s="1" t="n">
        <v>46222</v>
      </c>
      <c r="F178" t="inlineStr">
        <is>
          <t>GÄVLEBORGS LÄN</t>
        </is>
      </c>
      <c r="G178" t="inlineStr">
        <is>
          <t>OVANÅKER</t>
        </is>
      </c>
      <c r="I178" t="n">
        <v>17.3</v>
      </c>
      <c r="J178" t="n">
        <v>0</v>
      </c>
      <c r="K178" t="n">
        <v>0</v>
      </c>
      <c r="L178" t="n">
        <v>0</v>
      </c>
      <c r="M178" t="n">
        <v>0</v>
      </c>
      <c r="N178" t="n">
        <v>0</v>
      </c>
      <c r="O178" t="n">
        <v>0</v>
      </c>
      <c r="P178" t="n">
        <v>0</v>
      </c>
      <c r="Q178" t="n">
        <v>0</v>
      </c>
      <c r="R178" t="n">
        <v>0</v>
      </c>
      <c r="S178" t="n">
        <v>0</v>
      </c>
      <c r="T178" t="n">
        <v>0</v>
      </c>
      <c r="U178" s="2" t="inlineStr"/>
    </row>
    <row r="179" ht="15" customHeight="1">
      <c r="A179" t="inlineStr">
        <is>
          <t>A 43169-2023</t>
        </is>
      </c>
      <c r="B179" t="inlineStr">
        <is>
          <t>avverkningsanmälan</t>
        </is>
      </c>
      <c r="C179" t="inlineStr">
        <is>
          <t>Föryngringsavverkning</t>
        </is>
      </c>
      <c r="D179" s="1" t="n">
        <v>45183</v>
      </c>
      <c r="E179" s="1" t="n">
        <v>46222</v>
      </c>
      <c r="F179" t="inlineStr">
        <is>
          <t>GÄVLEBORGS LÄN</t>
        </is>
      </c>
      <c r="G179" t="inlineStr">
        <is>
          <t>OVANÅKER</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13683-2024</t>
        </is>
      </c>
      <c r="B180" t="inlineStr">
        <is>
          <t>avverkningsanmälan</t>
        </is>
      </c>
      <c r="C180" t="inlineStr">
        <is>
          <t>Föryngringsavverkning</t>
        </is>
      </c>
      <c r="D180" s="1" t="n">
        <v>45390</v>
      </c>
      <c r="E180" s="1" t="n">
        <v>46222</v>
      </c>
      <c r="F180" t="inlineStr">
        <is>
          <t>GÄVLEBORGS LÄN</t>
        </is>
      </c>
      <c r="G180" t="inlineStr">
        <is>
          <t>OVANÅKER</t>
        </is>
      </c>
      <c r="I180" t="n">
        <v>3.7</v>
      </c>
      <c r="J180" t="n">
        <v>0</v>
      </c>
      <c r="K180" t="n">
        <v>0</v>
      </c>
      <c r="L180" t="n">
        <v>0</v>
      </c>
      <c r="M180" t="n">
        <v>0</v>
      </c>
      <c r="N180" t="n">
        <v>0</v>
      </c>
      <c r="O180" t="n">
        <v>0</v>
      </c>
      <c r="P180" t="n">
        <v>0</v>
      </c>
      <c r="Q180" t="n">
        <v>0</v>
      </c>
      <c r="R180" t="n">
        <v>0</v>
      </c>
      <c r="S180" t="n">
        <v>0</v>
      </c>
      <c r="T180" t="n">
        <v>0</v>
      </c>
      <c r="U180" s="2" t="inlineStr"/>
    </row>
    <row r="181" ht="15" customHeight="1">
      <c r="A181" t="inlineStr">
        <is>
          <t>A 3998-2026</t>
        </is>
      </c>
      <c r="B181" t="inlineStr">
        <is>
          <t>avverkningsanmälan</t>
        </is>
      </c>
      <c r="C181" t="inlineStr">
        <is>
          <t>Föryngringsavverkning</t>
        </is>
      </c>
      <c r="D181" s="1" t="n">
        <v>46044</v>
      </c>
      <c r="E181" s="1" t="n">
        <v>46222</v>
      </c>
      <c r="F181" t="inlineStr">
        <is>
          <t>GÄVLEBORGS LÄN</t>
        </is>
      </c>
      <c r="G181" t="inlineStr">
        <is>
          <t>OVANÅKER</t>
        </is>
      </c>
      <c r="I181" t="n">
        <v>1.6</v>
      </c>
      <c r="J181" t="n">
        <v>0</v>
      </c>
      <c r="K181" t="n">
        <v>0</v>
      </c>
      <c r="L181" t="n">
        <v>0</v>
      </c>
      <c r="M181" t="n">
        <v>0</v>
      </c>
      <c r="N181" t="n">
        <v>0</v>
      </c>
      <c r="O181" t="n">
        <v>0</v>
      </c>
      <c r="P181" t="n">
        <v>0</v>
      </c>
      <c r="Q181" t="n">
        <v>0</v>
      </c>
      <c r="R181" t="n">
        <v>0</v>
      </c>
      <c r="S181" t="n">
        <v>0</v>
      </c>
      <c r="T181" t="n">
        <v>0</v>
      </c>
      <c r="U181" s="2" t="inlineStr"/>
    </row>
    <row r="182" ht="15" customHeight="1">
      <c r="A182" t="inlineStr">
        <is>
          <t>A 3755-2026</t>
        </is>
      </c>
      <c r="B182" t="inlineStr">
        <is>
          <t>avverkningsanmälan</t>
        </is>
      </c>
      <c r="C182" t="inlineStr">
        <is>
          <t>Föryngringsavverkning</t>
        </is>
      </c>
      <c r="D182" s="1" t="n">
        <v>46043</v>
      </c>
      <c r="E182" s="1" t="n">
        <v>46222</v>
      </c>
      <c r="F182" t="inlineStr">
        <is>
          <t>GÄVLEBORGS LÄN</t>
        </is>
      </c>
      <c r="G182" t="inlineStr">
        <is>
          <t>OVANÅKER</t>
        </is>
      </c>
      <c r="I182" t="n">
        <v>1.2</v>
      </c>
      <c r="J182" t="n">
        <v>0</v>
      </c>
      <c r="K182" t="n">
        <v>0</v>
      </c>
      <c r="L182" t="n">
        <v>0</v>
      </c>
      <c r="M182" t="n">
        <v>0</v>
      </c>
      <c r="N182" t="n">
        <v>0</v>
      </c>
      <c r="O182" t="n">
        <v>0</v>
      </c>
      <c r="P182" t="n">
        <v>0</v>
      </c>
      <c r="Q182" t="n">
        <v>0</v>
      </c>
      <c r="R182" t="n">
        <v>0</v>
      </c>
      <c r="S182" t="n">
        <v>0</v>
      </c>
      <c r="T182" t="n">
        <v>0</v>
      </c>
      <c r="U182" s="2" t="inlineStr"/>
    </row>
    <row r="183" ht="15" customHeight="1">
      <c r="A183" t="inlineStr">
        <is>
          <t>A 27964-2025</t>
        </is>
      </c>
      <c r="B183" t="inlineStr">
        <is>
          <t>avverkningsanmälan</t>
        </is>
      </c>
      <c r="C183" t="inlineStr">
        <is>
          <t>Föryngringsavverkning</t>
        </is>
      </c>
      <c r="D183" s="1" t="n">
        <v>45817</v>
      </c>
      <c r="E183" s="1" t="n">
        <v>46222</v>
      </c>
      <c r="F183" t="inlineStr">
        <is>
          <t>GÄVLEBORGS LÄN</t>
        </is>
      </c>
      <c r="G183" t="inlineStr">
        <is>
          <t>OVANÅKER</t>
        </is>
      </c>
      <c r="H183" t="inlineStr">
        <is>
          <t>Bergvik skog väst AB</t>
        </is>
      </c>
      <c r="I183" t="n">
        <v>14.8</v>
      </c>
      <c r="J183" t="n">
        <v>0</v>
      </c>
      <c r="K183" t="n">
        <v>0</v>
      </c>
      <c r="L183" t="n">
        <v>0</v>
      </c>
      <c r="M183" t="n">
        <v>0</v>
      </c>
      <c r="N183" t="n">
        <v>0</v>
      </c>
      <c r="O183" t="n">
        <v>0</v>
      </c>
      <c r="P183" t="n">
        <v>0</v>
      </c>
      <c r="Q183" t="n">
        <v>0</v>
      </c>
      <c r="R183" t="n">
        <v>0</v>
      </c>
      <c r="S183" t="n">
        <v>0</v>
      </c>
      <c r="T183" t="n">
        <v>0</v>
      </c>
      <c r="U183" s="2" t="inlineStr"/>
    </row>
    <row r="184" ht="15" customHeight="1">
      <c r="A184" t="inlineStr">
        <is>
          <t>A 27834-2025</t>
        </is>
      </c>
      <c r="B184" t="inlineStr">
        <is>
          <t>avverkningsanmälan</t>
        </is>
      </c>
      <c r="C184" t="inlineStr">
        <is>
          <t>Föryngringsavverkning</t>
        </is>
      </c>
      <c r="D184" s="1" t="n">
        <v>45817</v>
      </c>
      <c r="E184" s="1" t="n">
        <v>46222</v>
      </c>
      <c r="F184" t="inlineStr">
        <is>
          <t>GÄVLEBORGS LÄN</t>
        </is>
      </c>
      <c r="G184" t="inlineStr">
        <is>
          <t>OVANÅKER</t>
        </is>
      </c>
      <c r="H184" t="inlineStr">
        <is>
          <t>Bergvik skog väst AB</t>
        </is>
      </c>
      <c r="I184" t="n">
        <v>6.7</v>
      </c>
      <c r="J184" t="n">
        <v>0</v>
      </c>
      <c r="K184" t="n">
        <v>0</v>
      </c>
      <c r="L184" t="n">
        <v>0</v>
      </c>
      <c r="M184" t="n">
        <v>0</v>
      </c>
      <c r="N184" t="n">
        <v>0</v>
      </c>
      <c r="O184" t="n">
        <v>0</v>
      </c>
      <c r="P184" t="n">
        <v>0</v>
      </c>
      <c r="Q184" t="n">
        <v>0</v>
      </c>
      <c r="R184" t="n">
        <v>0</v>
      </c>
      <c r="S184" t="n">
        <v>0</v>
      </c>
      <c r="T184" t="n">
        <v>0</v>
      </c>
      <c r="U184" s="2" t="inlineStr"/>
    </row>
    <row r="185" ht="15" customHeight="1">
      <c r="A185" t="inlineStr">
        <is>
          <t>A 730-2026</t>
        </is>
      </c>
      <c r="B185" t="inlineStr">
        <is>
          <t>avverkningsanmälan</t>
        </is>
      </c>
      <c r="C185" t="inlineStr">
        <is>
          <t>Föryngringsavverkning</t>
        </is>
      </c>
      <c r="D185" s="1" t="n">
        <v>46029</v>
      </c>
      <c r="E185" s="1" t="n">
        <v>46222</v>
      </c>
      <c r="F185" t="inlineStr">
        <is>
          <t>GÄVLEBORGS LÄN</t>
        </is>
      </c>
      <c r="G185" t="inlineStr">
        <is>
          <t>OVANÅKER</t>
        </is>
      </c>
      <c r="I185" t="n">
        <v>6.5</v>
      </c>
      <c r="J185" t="n">
        <v>0</v>
      </c>
      <c r="K185" t="n">
        <v>0</v>
      </c>
      <c r="L185" t="n">
        <v>0</v>
      </c>
      <c r="M185" t="n">
        <v>0</v>
      </c>
      <c r="N185" t="n">
        <v>0</v>
      </c>
      <c r="O185" t="n">
        <v>0</v>
      </c>
      <c r="P185" t="n">
        <v>0</v>
      </c>
      <c r="Q185" t="n">
        <v>0</v>
      </c>
      <c r="R185" t="n">
        <v>0</v>
      </c>
      <c r="S185" t="n">
        <v>0</v>
      </c>
      <c r="T185" t="n">
        <v>0</v>
      </c>
      <c r="U185" s="2" t="inlineStr"/>
    </row>
    <row r="186" ht="15" customHeight="1">
      <c r="A186" t="inlineStr">
        <is>
          <t>A 3987-2026</t>
        </is>
      </c>
      <c r="B186" t="inlineStr">
        <is>
          <t>avverkningsanmälan</t>
        </is>
      </c>
      <c r="C186" t="inlineStr">
        <is>
          <t>Föryngringsavverkning</t>
        </is>
      </c>
      <c r="D186" s="1" t="n">
        <v>46044</v>
      </c>
      <c r="E186" s="1" t="n">
        <v>46222</v>
      </c>
      <c r="F186" t="inlineStr">
        <is>
          <t>GÄVLEBORGS LÄN</t>
        </is>
      </c>
      <c r="G186" t="inlineStr">
        <is>
          <t>OVANÅKER</t>
        </is>
      </c>
      <c r="I186" t="n">
        <v>1.2</v>
      </c>
      <c r="J186" t="n">
        <v>0</v>
      </c>
      <c r="K186" t="n">
        <v>0</v>
      </c>
      <c r="L186" t="n">
        <v>0</v>
      </c>
      <c r="M186" t="n">
        <v>0</v>
      </c>
      <c r="N186" t="n">
        <v>0</v>
      </c>
      <c r="O186" t="n">
        <v>0</v>
      </c>
      <c r="P186" t="n">
        <v>0</v>
      </c>
      <c r="Q186" t="n">
        <v>0</v>
      </c>
      <c r="R186" t="n">
        <v>0</v>
      </c>
      <c r="S186" t="n">
        <v>0</v>
      </c>
      <c r="T186" t="n">
        <v>0</v>
      </c>
      <c r="U186" s="2" t="inlineStr"/>
    </row>
    <row r="187" ht="15" customHeight="1">
      <c r="A187" t="inlineStr">
        <is>
          <t>A 45534-2024</t>
        </is>
      </c>
      <c r="B187" t="inlineStr">
        <is>
          <t>avverkningsanmälan</t>
        </is>
      </c>
      <c r="C187" t="inlineStr">
        <is>
          <t>Föryngringsavverkning</t>
        </is>
      </c>
      <c r="D187" s="1" t="n">
        <v>45579</v>
      </c>
      <c r="E187" s="1" t="n">
        <v>46222</v>
      </c>
      <c r="F187" t="inlineStr">
        <is>
          <t>GÄVLEBORGS LÄN</t>
        </is>
      </c>
      <c r="G187" t="inlineStr">
        <is>
          <t>OVANÅKER</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45546-2024</t>
        </is>
      </c>
      <c r="B188" t="inlineStr">
        <is>
          <t>avverkningsanmälan</t>
        </is>
      </c>
      <c r="C188" t="inlineStr">
        <is>
          <t>Föryngringsavverkning</t>
        </is>
      </c>
      <c r="D188" s="1" t="n">
        <v>45579</v>
      </c>
      <c r="E188" s="1" t="n">
        <v>46222</v>
      </c>
      <c r="F188" t="inlineStr">
        <is>
          <t>GÄVLEBORGS LÄN</t>
        </is>
      </c>
      <c r="G188" t="inlineStr">
        <is>
          <t>OVANÅKER</t>
        </is>
      </c>
      <c r="I188" t="n">
        <v>1.8</v>
      </c>
      <c r="J188" t="n">
        <v>0</v>
      </c>
      <c r="K188" t="n">
        <v>0</v>
      </c>
      <c r="L188" t="n">
        <v>0</v>
      </c>
      <c r="M188" t="n">
        <v>0</v>
      </c>
      <c r="N188" t="n">
        <v>0</v>
      </c>
      <c r="O188" t="n">
        <v>0</v>
      </c>
      <c r="P188" t="n">
        <v>0</v>
      </c>
      <c r="Q188" t="n">
        <v>0</v>
      </c>
      <c r="R188" t="n">
        <v>0</v>
      </c>
      <c r="S188" t="n">
        <v>0</v>
      </c>
      <c r="T188" t="n">
        <v>0</v>
      </c>
      <c r="U188" s="2" t="inlineStr"/>
    </row>
    <row r="189" ht="15" customHeight="1">
      <c r="A189" t="inlineStr">
        <is>
          <t>A 52423-2023</t>
        </is>
      </c>
      <c r="B189" t="inlineStr">
        <is>
          <t>avverkningsanmälan</t>
        </is>
      </c>
      <c r="C189" t="inlineStr">
        <is>
          <t>Föryngringsavverkning</t>
        </is>
      </c>
      <c r="D189" s="1" t="n">
        <v>45225</v>
      </c>
      <c r="E189" s="1" t="n">
        <v>46222</v>
      </c>
      <c r="F189" t="inlineStr">
        <is>
          <t>GÄVLEBORGS LÄN</t>
        </is>
      </c>
      <c r="G189" t="inlineStr">
        <is>
          <t>OVANÅKER</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23251-2022</t>
        </is>
      </c>
      <c r="B190" t="inlineStr">
        <is>
          <t>avverkningsanmälan</t>
        </is>
      </c>
      <c r="C190" t="inlineStr">
        <is>
          <t>Föryngringsavverkning</t>
        </is>
      </c>
      <c r="D190" s="1" t="n">
        <v>44720</v>
      </c>
      <c r="E190" s="1" t="n">
        <v>46222</v>
      </c>
      <c r="F190" t="inlineStr">
        <is>
          <t>GÄVLEBORGS LÄN</t>
        </is>
      </c>
      <c r="G190" t="inlineStr">
        <is>
          <t>OVANÅKER</t>
        </is>
      </c>
      <c r="I190" t="n">
        <v>3.2</v>
      </c>
      <c r="J190" t="n">
        <v>0</v>
      </c>
      <c r="K190" t="n">
        <v>0</v>
      </c>
      <c r="L190" t="n">
        <v>0</v>
      </c>
      <c r="M190" t="n">
        <v>0</v>
      </c>
      <c r="N190" t="n">
        <v>0</v>
      </c>
      <c r="O190" t="n">
        <v>0</v>
      </c>
      <c r="P190" t="n">
        <v>0</v>
      </c>
      <c r="Q190" t="n">
        <v>0</v>
      </c>
      <c r="R190" t="n">
        <v>0</v>
      </c>
      <c r="S190" t="n">
        <v>0</v>
      </c>
      <c r="T190" t="n">
        <v>0</v>
      </c>
      <c r="U190" s="2" t="inlineStr"/>
    </row>
    <row r="191" ht="15" customHeight="1">
      <c r="A191" t="inlineStr">
        <is>
          <t>A 2881-2026</t>
        </is>
      </c>
      <c r="B191" t="inlineStr">
        <is>
          <t>avverkningsanmälan</t>
        </is>
      </c>
      <c r="C191" t="inlineStr">
        <is>
          <t>Föryngringsavverkning</t>
        </is>
      </c>
      <c r="D191" s="1" t="n">
        <v>46038</v>
      </c>
      <c r="E191" s="1" t="n">
        <v>46222</v>
      </c>
      <c r="F191" t="inlineStr">
        <is>
          <t>GÄVLEBORGS LÄN</t>
        </is>
      </c>
      <c r="G191" t="inlineStr">
        <is>
          <t>OVANÅKER</t>
        </is>
      </c>
      <c r="I191" t="n">
        <v>22.3</v>
      </c>
      <c r="J191" t="n">
        <v>0</v>
      </c>
      <c r="K191" t="n">
        <v>0</v>
      </c>
      <c r="L191" t="n">
        <v>0</v>
      </c>
      <c r="M191" t="n">
        <v>0</v>
      </c>
      <c r="N191" t="n">
        <v>0</v>
      </c>
      <c r="O191" t="n">
        <v>0</v>
      </c>
      <c r="P191" t="n">
        <v>0</v>
      </c>
      <c r="Q191" t="n">
        <v>0</v>
      </c>
      <c r="R191" t="n">
        <v>0</v>
      </c>
      <c r="S191" t="n">
        <v>0</v>
      </c>
      <c r="T191" t="n">
        <v>0</v>
      </c>
      <c r="U191" s="2" t="inlineStr"/>
    </row>
    <row r="192" ht="15" customHeight="1">
      <c r="A192" t="inlineStr">
        <is>
          <t>A 4440-2026</t>
        </is>
      </c>
      <c r="B192" t="inlineStr">
        <is>
          <t>avverkningsanmälan</t>
        </is>
      </c>
      <c r="C192" t="inlineStr">
        <is>
          <t>Föryngringsavverkning</t>
        </is>
      </c>
      <c r="D192" s="1" t="n">
        <v>46045</v>
      </c>
      <c r="E192" s="1" t="n">
        <v>46222</v>
      </c>
      <c r="F192" t="inlineStr">
        <is>
          <t>GÄVLEBORGS LÄN</t>
        </is>
      </c>
      <c r="G192" t="inlineStr">
        <is>
          <t>OVANÅKER</t>
        </is>
      </c>
      <c r="I192" t="n">
        <v>5</v>
      </c>
      <c r="J192" t="n">
        <v>0</v>
      </c>
      <c r="K192" t="n">
        <v>0</v>
      </c>
      <c r="L192" t="n">
        <v>0</v>
      </c>
      <c r="M192" t="n">
        <v>0</v>
      </c>
      <c r="N192" t="n">
        <v>0</v>
      </c>
      <c r="O192" t="n">
        <v>0</v>
      </c>
      <c r="P192" t="n">
        <v>0</v>
      </c>
      <c r="Q192" t="n">
        <v>0</v>
      </c>
      <c r="R192" t="n">
        <v>0</v>
      </c>
      <c r="S192" t="n">
        <v>0</v>
      </c>
      <c r="T192" t="n">
        <v>0</v>
      </c>
      <c r="U192" s="2" t="inlineStr"/>
    </row>
    <row r="193" ht="15" customHeight="1">
      <c r="A193" t="inlineStr">
        <is>
          <t>A 39083-2025</t>
        </is>
      </c>
      <c r="B193" t="inlineStr">
        <is>
          <t>avverkningsanmälan</t>
        </is>
      </c>
      <c r="C193" t="inlineStr">
        <is>
          <t>Föryngringsavverkning</t>
        </is>
      </c>
      <c r="D193" s="1" t="n">
        <v>45888</v>
      </c>
      <c r="E193" s="1" t="n">
        <v>46222</v>
      </c>
      <c r="F193" t="inlineStr">
        <is>
          <t>GÄVLEBORGS LÄN</t>
        </is>
      </c>
      <c r="G193" t="inlineStr">
        <is>
          <t>OVANÅKER</t>
        </is>
      </c>
      <c r="I193" t="n">
        <v>9.699999999999999</v>
      </c>
      <c r="J193" t="n">
        <v>0</v>
      </c>
      <c r="K193" t="n">
        <v>0</v>
      </c>
      <c r="L193" t="n">
        <v>0</v>
      </c>
      <c r="M193" t="n">
        <v>0</v>
      </c>
      <c r="N193" t="n">
        <v>0</v>
      </c>
      <c r="O193" t="n">
        <v>0</v>
      </c>
      <c r="P193" t="n">
        <v>0</v>
      </c>
      <c r="Q193" t="n">
        <v>0</v>
      </c>
      <c r="R193" t="n">
        <v>0</v>
      </c>
      <c r="S193" t="n">
        <v>0</v>
      </c>
      <c r="T193" t="n">
        <v>0</v>
      </c>
      <c r="U193" s="2" t="inlineStr"/>
    </row>
    <row r="194" ht="15" customHeight="1">
      <c r="A194" t="inlineStr">
        <is>
          <t>A 4710-2026</t>
        </is>
      </c>
      <c r="B194" t="inlineStr">
        <is>
          <t>avverkningsanmälan</t>
        </is>
      </c>
      <c r="C194" t="inlineStr">
        <is>
          <t>Föryngringsavverkning</t>
        </is>
      </c>
      <c r="D194" s="1" t="n">
        <v>46048</v>
      </c>
      <c r="E194" s="1" t="n">
        <v>46222</v>
      </c>
      <c r="F194" t="inlineStr">
        <is>
          <t>GÄVLEBORGS LÄN</t>
        </is>
      </c>
      <c r="G194" t="inlineStr">
        <is>
          <t>OVANÅKER</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28048-2025</t>
        </is>
      </c>
      <c r="B195" t="inlineStr">
        <is>
          <t>avverkningsanmälan</t>
        </is>
      </c>
      <c r="C195" t="inlineStr">
        <is>
          <t>Föryngringsavverkning</t>
        </is>
      </c>
      <c r="D195" s="1" t="n">
        <v>45817</v>
      </c>
      <c r="E195" s="1" t="n">
        <v>46222</v>
      </c>
      <c r="F195" t="inlineStr">
        <is>
          <t>GÄVLEBORGS LÄN</t>
        </is>
      </c>
      <c r="G195" t="inlineStr">
        <is>
          <t>OVANÅKER</t>
        </is>
      </c>
      <c r="H195" t="inlineStr">
        <is>
          <t>Bergvik skog väst AB</t>
        </is>
      </c>
      <c r="I195" t="n">
        <v>2</v>
      </c>
      <c r="J195" t="n">
        <v>0</v>
      </c>
      <c r="K195" t="n">
        <v>0</v>
      </c>
      <c r="L195" t="n">
        <v>0</v>
      </c>
      <c r="M195" t="n">
        <v>0</v>
      </c>
      <c r="N195" t="n">
        <v>0</v>
      </c>
      <c r="O195" t="n">
        <v>0</v>
      </c>
      <c r="P195" t="n">
        <v>0</v>
      </c>
      <c r="Q195" t="n">
        <v>0</v>
      </c>
      <c r="R195" t="n">
        <v>0</v>
      </c>
      <c r="S195" t="n">
        <v>0</v>
      </c>
      <c r="T195" t="n">
        <v>0</v>
      </c>
      <c r="U195" s="2" t="inlineStr"/>
    </row>
    <row r="196" ht="15" customHeight="1">
      <c r="A196" t="inlineStr">
        <is>
          <t>A 28057-2025</t>
        </is>
      </c>
      <c r="B196" t="inlineStr">
        <is>
          <t>avverkningsanmälan</t>
        </is>
      </c>
      <c r="C196" t="inlineStr">
        <is>
          <t>Föryngringsavverkning</t>
        </is>
      </c>
      <c r="D196" s="1" t="n">
        <v>45817</v>
      </c>
      <c r="E196" s="1" t="n">
        <v>46222</v>
      </c>
      <c r="F196" t="inlineStr">
        <is>
          <t>GÄVLEBORGS LÄN</t>
        </is>
      </c>
      <c r="G196" t="inlineStr">
        <is>
          <t>OVANÅKER</t>
        </is>
      </c>
      <c r="H196" t="inlineStr">
        <is>
          <t>Bergvik skog väst AB</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28047-2025</t>
        </is>
      </c>
      <c r="B197" t="inlineStr">
        <is>
          <t>avverkningsanmälan</t>
        </is>
      </c>
      <c r="C197" t="inlineStr">
        <is>
          <t>Föryngringsavverkning</t>
        </is>
      </c>
      <c r="D197" s="1" t="n">
        <v>45817</v>
      </c>
      <c r="E197" s="1" t="n">
        <v>46222</v>
      </c>
      <c r="F197" t="inlineStr">
        <is>
          <t>GÄVLEBORGS LÄN</t>
        </is>
      </c>
      <c r="G197" t="inlineStr">
        <is>
          <t>OVANÅKER</t>
        </is>
      </c>
      <c r="H197" t="inlineStr">
        <is>
          <t>Holmen skog AB</t>
        </is>
      </c>
      <c r="I197" t="n">
        <v>13.5</v>
      </c>
      <c r="J197" t="n">
        <v>0</v>
      </c>
      <c r="K197" t="n">
        <v>0</v>
      </c>
      <c r="L197" t="n">
        <v>0</v>
      </c>
      <c r="M197" t="n">
        <v>0</v>
      </c>
      <c r="N197" t="n">
        <v>0</v>
      </c>
      <c r="O197" t="n">
        <v>0</v>
      </c>
      <c r="P197" t="n">
        <v>0</v>
      </c>
      <c r="Q197" t="n">
        <v>0</v>
      </c>
      <c r="R197" t="n">
        <v>0</v>
      </c>
      <c r="S197" t="n">
        <v>0</v>
      </c>
      <c r="T197" t="n">
        <v>0</v>
      </c>
      <c r="U197" s="2" t="inlineStr"/>
    </row>
    <row r="198" ht="15" customHeight="1">
      <c r="A198" t="inlineStr">
        <is>
          <t>A 28626-2025</t>
        </is>
      </c>
      <c r="B198" t="inlineStr">
        <is>
          <t>avverkningsanmälan</t>
        </is>
      </c>
      <c r="C198" t="inlineStr">
        <is>
          <t>Föryngringsavverkning</t>
        </is>
      </c>
      <c r="D198" s="1" t="n">
        <v>45819</v>
      </c>
      <c r="E198" s="1" t="n">
        <v>46222</v>
      </c>
      <c r="F198" t="inlineStr">
        <is>
          <t>GÄVLEBORGS LÄN</t>
        </is>
      </c>
      <c r="G198" t="inlineStr">
        <is>
          <t>OVANÅKER</t>
        </is>
      </c>
      <c r="H198" t="inlineStr">
        <is>
          <t>Bergvik skog väst AB</t>
        </is>
      </c>
      <c r="I198" t="n">
        <v>4.5</v>
      </c>
      <c r="J198" t="n">
        <v>0</v>
      </c>
      <c r="K198" t="n">
        <v>0</v>
      </c>
      <c r="L198" t="n">
        <v>0</v>
      </c>
      <c r="M198" t="n">
        <v>0</v>
      </c>
      <c r="N198" t="n">
        <v>0</v>
      </c>
      <c r="O198" t="n">
        <v>0</v>
      </c>
      <c r="P198" t="n">
        <v>0</v>
      </c>
      <c r="Q198" t="n">
        <v>0</v>
      </c>
      <c r="R198" t="n">
        <v>0</v>
      </c>
      <c r="S198" t="n">
        <v>0</v>
      </c>
      <c r="T198" t="n">
        <v>0</v>
      </c>
      <c r="U198" s="2" t="inlineStr"/>
    </row>
    <row r="199" ht="15" customHeight="1">
      <c r="A199" t="inlineStr">
        <is>
          <t>A 28622-2025</t>
        </is>
      </c>
      <c r="B199" t="inlineStr">
        <is>
          <t>avverkningsanmälan</t>
        </is>
      </c>
      <c r="C199" t="inlineStr">
        <is>
          <t>Föryngringsavverkning</t>
        </is>
      </c>
      <c r="D199" s="1" t="n">
        <v>45819</v>
      </c>
      <c r="E199" s="1" t="n">
        <v>46222</v>
      </c>
      <c r="F199" t="inlineStr">
        <is>
          <t>GÄVLEBORGS LÄN</t>
        </is>
      </c>
      <c r="G199" t="inlineStr">
        <is>
          <t>OVANÅKER</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28585-2025</t>
        </is>
      </c>
      <c r="B200" t="inlineStr">
        <is>
          <t>avverkningsanmälan</t>
        </is>
      </c>
      <c r="C200" t="inlineStr">
        <is>
          <t>Föryngringsavverkning</t>
        </is>
      </c>
      <c r="D200" s="1" t="n">
        <v>45819</v>
      </c>
      <c r="E200" s="1" t="n">
        <v>46222</v>
      </c>
      <c r="F200" t="inlineStr">
        <is>
          <t>GÄVLEBORGS LÄN</t>
        </is>
      </c>
      <c r="G200" t="inlineStr">
        <is>
          <t>OVANÅKER</t>
        </is>
      </c>
      <c r="H200" t="inlineStr">
        <is>
          <t>Bergvik skog väst AB</t>
        </is>
      </c>
      <c r="I200" t="n">
        <v>4.9</v>
      </c>
      <c r="J200" t="n">
        <v>0</v>
      </c>
      <c r="K200" t="n">
        <v>0</v>
      </c>
      <c r="L200" t="n">
        <v>0</v>
      </c>
      <c r="M200" t="n">
        <v>0</v>
      </c>
      <c r="N200" t="n">
        <v>0</v>
      </c>
      <c r="O200" t="n">
        <v>0</v>
      </c>
      <c r="P200" t="n">
        <v>0</v>
      </c>
      <c r="Q200" t="n">
        <v>0</v>
      </c>
      <c r="R200" t="n">
        <v>0</v>
      </c>
      <c r="S200" t="n">
        <v>0</v>
      </c>
      <c r="T200" t="n">
        <v>0</v>
      </c>
      <c r="U200" s="2" t="inlineStr"/>
    </row>
    <row r="201" ht="15" customHeight="1">
      <c r="A201" t="inlineStr">
        <is>
          <t>A 28776-2025</t>
        </is>
      </c>
      <c r="B201" t="inlineStr">
        <is>
          <t>avverkningsanmälan</t>
        </is>
      </c>
      <c r="C201" t="inlineStr">
        <is>
          <t>Föryngringsavverkning</t>
        </is>
      </c>
      <c r="D201" s="1" t="n">
        <v>45820</v>
      </c>
      <c r="E201" s="1" t="n">
        <v>46222</v>
      </c>
      <c r="F201" t="inlineStr">
        <is>
          <t>GÄVLEBORGS LÄN</t>
        </is>
      </c>
      <c r="G201" t="inlineStr">
        <is>
          <t>OVANÅKER</t>
        </is>
      </c>
      <c r="I201" t="n">
        <v>4.8</v>
      </c>
      <c r="J201" t="n">
        <v>0</v>
      </c>
      <c r="K201" t="n">
        <v>0</v>
      </c>
      <c r="L201" t="n">
        <v>0</v>
      </c>
      <c r="M201" t="n">
        <v>0</v>
      </c>
      <c r="N201" t="n">
        <v>0</v>
      </c>
      <c r="O201" t="n">
        <v>0</v>
      </c>
      <c r="P201" t="n">
        <v>0</v>
      </c>
      <c r="Q201" t="n">
        <v>0</v>
      </c>
      <c r="R201" t="n">
        <v>0</v>
      </c>
      <c r="S201" t="n">
        <v>0</v>
      </c>
      <c r="T201" t="n">
        <v>0</v>
      </c>
      <c r="U201" s="2" t="inlineStr"/>
    </row>
    <row r="202" ht="15" customHeight="1">
      <c r="A202" t="inlineStr">
        <is>
          <t>A 60778-2022</t>
        </is>
      </c>
      <c r="B202" t="inlineStr">
        <is>
          <t>avverkningsanmälan</t>
        </is>
      </c>
      <c r="C202" t="inlineStr">
        <is>
          <t>Föryngringsavverkning</t>
        </is>
      </c>
      <c r="D202" s="1" t="n">
        <v>44914</v>
      </c>
      <c r="E202" s="1" t="n">
        <v>46222</v>
      </c>
      <c r="F202" t="inlineStr">
        <is>
          <t>GÄVLEBORGS LÄN</t>
        </is>
      </c>
      <c r="G202" t="inlineStr">
        <is>
          <t>OVANÅKER</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28532-2025</t>
        </is>
      </c>
      <c r="B203" t="inlineStr">
        <is>
          <t>avverkningsanmälan</t>
        </is>
      </c>
      <c r="C203" t="inlineStr">
        <is>
          <t>Föryngringsavverkning</t>
        </is>
      </c>
      <c r="D203" s="1" t="n">
        <v>45819</v>
      </c>
      <c r="E203" s="1" t="n">
        <v>46222</v>
      </c>
      <c r="F203" t="inlineStr">
        <is>
          <t>GÄVLEBORGS LÄN</t>
        </is>
      </c>
      <c r="G203" t="inlineStr">
        <is>
          <t>OVANÅKER</t>
        </is>
      </c>
      <c r="H203" t="inlineStr">
        <is>
          <t>Bergvik skog väst AB</t>
        </is>
      </c>
      <c r="I203" t="n">
        <v>6.3</v>
      </c>
      <c r="J203" t="n">
        <v>0</v>
      </c>
      <c r="K203" t="n">
        <v>0</v>
      </c>
      <c r="L203" t="n">
        <v>0</v>
      </c>
      <c r="M203" t="n">
        <v>0</v>
      </c>
      <c r="N203" t="n">
        <v>0</v>
      </c>
      <c r="O203" t="n">
        <v>0</v>
      </c>
      <c r="P203" t="n">
        <v>0</v>
      </c>
      <c r="Q203" t="n">
        <v>0</v>
      </c>
      <c r="R203" t="n">
        <v>0</v>
      </c>
      <c r="S203" t="n">
        <v>0</v>
      </c>
      <c r="T203" t="n">
        <v>0</v>
      </c>
      <c r="U203" s="2" t="inlineStr"/>
    </row>
    <row r="204" ht="15" customHeight="1">
      <c r="A204" t="inlineStr">
        <is>
          <t>A 28496-2025</t>
        </is>
      </c>
      <c r="B204" t="inlineStr">
        <is>
          <t>avverkningsanmälan</t>
        </is>
      </c>
      <c r="C204" t="inlineStr">
        <is>
          <t>Föryngringsavverkning</t>
        </is>
      </c>
      <c r="D204" s="1" t="n">
        <v>45819</v>
      </c>
      <c r="E204" s="1" t="n">
        <v>46222</v>
      </c>
      <c r="F204" t="inlineStr">
        <is>
          <t>GÄVLEBORGS LÄN</t>
        </is>
      </c>
      <c r="G204" t="inlineStr">
        <is>
          <t>OVANÅKER</t>
        </is>
      </c>
      <c r="H204" t="inlineStr">
        <is>
          <t>Bergvik skog väst AB</t>
        </is>
      </c>
      <c r="I204" t="n">
        <v>4.7</v>
      </c>
      <c r="J204" t="n">
        <v>0</v>
      </c>
      <c r="K204" t="n">
        <v>0</v>
      </c>
      <c r="L204" t="n">
        <v>0</v>
      </c>
      <c r="M204" t="n">
        <v>0</v>
      </c>
      <c r="N204" t="n">
        <v>0</v>
      </c>
      <c r="O204" t="n">
        <v>0</v>
      </c>
      <c r="P204" t="n">
        <v>0</v>
      </c>
      <c r="Q204" t="n">
        <v>0</v>
      </c>
      <c r="R204" t="n">
        <v>0</v>
      </c>
      <c r="S204" t="n">
        <v>0</v>
      </c>
      <c r="T204" t="n">
        <v>0</v>
      </c>
      <c r="U204" s="2" t="inlineStr"/>
    </row>
    <row r="205" ht="15" customHeight="1">
      <c r="A205" t="inlineStr">
        <is>
          <t>A 28562-2025</t>
        </is>
      </c>
      <c r="B205" t="inlineStr">
        <is>
          <t>avverkningsanmälan</t>
        </is>
      </c>
      <c r="C205" t="inlineStr">
        <is>
          <t>Föryngringsavverkning</t>
        </is>
      </c>
      <c r="D205" s="1" t="n">
        <v>45819</v>
      </c>
      <c r="E205" s="1" t="n">
        <v>46222</v>
      </c>
      <c r="F205" t="inlineStr">
        <is>
          <t>GÄVLEBORGS LÄN</t>
        </is>
      </c>
      <c r="G205" t="inlineStr">
        <is>
          <t>OVANÅKER</t>
        </is>
      </c>
      <c r="H205" t="inlineStr">
        <is>
          <t>Bergvik skog väst AB</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43544-2024</t>
        </is>
      </c>
      <c r="B206" t="inlineStr">
        <is>
          <t>avverkningsanmälan</t>
        </is>
      </c>
      <c r="C206" t="inlineStr">
        <is>
          <t>Föryngringsavverkning</t>
        </is>
      </c>
      <c r="D206" s="1" t="n">
        <v>45569</v>
      </c>
      <c r="E206" s="1" t="n">
        <v>46222</v>
      </c>
      <c r="F206" t="inlineStr">
        <is>
          <t>GÄVLEBORGS LÄN</t>
        </is>
      </c>
      <c r="G206" t="inlineStr">
        <is>
          <t>OVANÅKER</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28387-2025</t>
        </is>
      </c>
      <c r="B207" t="inlineStr">
        <is>
          <t>avverkningsanmälan</t>
        </is>
      </c>
      <c r="C207" t="inlineStr">
        <is>
          <t>Föryngringsavverkning</t>
        </is>
      </c>
      <c r="D207" s="1" t="n">
        <v>45819</v>
      </c>
      <c r="E207" s="1" t="n">
        <v>46222</v>
      </c>
      <c r="F207" t="inlineStr">
        <is>
          <t>GÄVLEBORGS LÄN</t>
        </is>
      </c>
      <c r="G207" t="inlineStr">
        <is>
          <t>OVANÅKER</t>
        </is>
      </c>
      <c r="H207" t="inlineStr">
        <is>
          <t>Holmen skog AB</t>
        </is>
      </c>
      <c r="I207" t="n">
        <v>10.6</v>
      </c>
      <c r="J207" t="n">
        <v>0</v>
      </c>
      <c r="K207" t="n">
        <v>0</v>
      </c>
      <c r="L207" t="n">
        <v>0</v>
      </c>
      <c r="M207" t="n">
        <v>0</v>
      </c>
      <c r="N207" t="n">
        <v>0</v>
      </c>
      <c r="O207" t="n">
        <v>0</v>
      </c>
      <c r="P207" t="n">
        <v>0</v>
      </c>
      <c r="Q207" t="n">
        <v>0</v>
      </c>
      <c r="R207" t="n">
        <v>0</v>
      </c>
      <c r="S207" t="n">
        <v>0</v>
      </c>
      <c r="T207" t="n">
        <v>0</v>
      </c>
      <c r="U207" s="2" t="inlineStr"/>
    </row>
    <row r="208" ht="15" customHeight="1">
      <c r="A208" t="inlineStr">
        <is>
          <t>A 4354-2026</t>
        </is>
      </c>
      <c r="B208" t="inlineStr">
        <is>
          <t>avverkningsanmälan</t>
        </is>
      </c>
      <c r="C208" t="inlineStr">
        <is>
          <t>Föryngringsavverkning</t>
        </is>
      </c>
      <c r="D208" s="1" t="n">
        <v>46045</v>
      </c>
      <c r="E208" s="1" t="n">
        <v>46222</v>
      </c>
      <c r="F208" t="inlineStr">
        <is>
          <t>GÄVLEBORGS LÄN</t>
        </is>
      </c>
      <c r="G208" t="inlineStr">
        <is>
          <t>OVANÅKER</t>
        </is>
      </c>
      <c r="I208" t="n">
        <v>3.7</v>
      </c>
      <c r="J208" t="n">
        <v>0</v>
      </c>
      <c r="K208" t="n">
        <v>0</v>
      </c>
      <c r="L208" t="n">
        <v>0</v>
      </c>
      <c r="M208" t="n">
        <v>0</v>
      </c>
      <c r="N208" t="n">
        <v>0</v>
      </c>
      <c r="O208" t="n">
        <v>0</v>
      </c>
      <c r="P208" t="n">
        <v>0</v>
      </c>
      <c r="Q208" t="n">
        <v>0</v>
      </c>
      <c r="R208" t="n">
        <v>0</v>
      </c>
      <c r="S208" t="n">
        <v>0</v>
      </c>
      <c r="T208" t="n">
        <v>0</v>
      </c>
      <c r="U208" s="2" t="inlineStr"/>
    </row>
    <row r="209" ht="15" customHeight="1">
      <c r="A209" t="inlineStr">
        <is>
          <t>A 28460-2025</t>
        </is>
      </c>
      <c r="B209" t="inlineStr">
        <is>
          <t>avverkningsanmälan</t>
        </is>
      </c>
      <c r="C209" t="inlineStr">
        <is>
          <t>Föryngringsavverkning</t>
        </is>
      </c>
      <c r="D209" s="1" t="n">
        <v>45819</v>
      </c>
      <c r="E209" s="1" t="n">
        <v>46222</v>
      </c>
      <c r="F209" t="inlineStr">
        <is>
          <t>GÄVLEBORGS LÄN</t>
        </is>
      </c>
      <c r="G209" t="inlineStr">
        <is>
          <t>OVANÅKER</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28474-2025</t>
        </is>
      </c>
      <c r="B210" t="inlineStr">
        <is>
          <t>avverkningsanmälan</t>
        </is>
      </c>
      <c r="C210" t="inlineStr">
        <is>
          <t>Föryngringsavverkning</t>
        </is>
      </c>
      <c r="D210" s="1" t="n">
        <v>45819</v>
      </c>
      <c r="E210" s="1" t="n">
        <v>46222</v>
      </c>
      <c r="F210" t="inlineStr">
        <is>
          <t>GÄVLEBORGS LÄN</t>
        </is>
      </c>
      <c r="G210" t="inlineStr">
        <is>
          <t>OVANÅKER</t>
        </is>
      </c>
      <c r="H210" t="inlineStr">
        <is>
          <t>Bergvik skog väst AB</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28600-2025</t>
        </is>
      </c>
      <c r="B211" t="inlineStr">
        <is>
          <t>avverkningsanmälan</t>
        </is>
      </c>
      <c r="C211" t="inlineStr">
        <is>
          <t>Föryngringsavverkning</t>
        </is>
      </c>
      <c r="D211" s="1" t="n">
        <v>45819</v>
      </c>
      <c r="E211" s="1" t="n">
        <v>46222</v>
      </c>
      <c r="F211" t="inlineStr">
        <is>
          <t>GÄVLEBORGS LÄN</t>
        </is>
      </c>
      <c r="G211" t="inlineStr">
        <is>
          <t>OVANÅKER</t>
        </is>
      </c>
      <c r="H211" t="inlineStr">
        <is>
          <t>Bergvik skog väst AB</t>
        </is>
      </c>
      <c r="I211" t="n">
        <v>4.2</v>
      </c>
      <c r="J211" t="n">
        <v>0</v>
      </c>
      <c r="K211" t="n">
        <v>0</v>
      </c>
      <c r="L211" t="n">
        <v>0</v>
      </c>
      <c r="M211" t="n">
        <v>0</v>
      </c>
      <c r="N211" t="n">
        <v>0</v>
      </c>
      <c r="O211" t="n">
        <v>0</v>
      </c>
      <c r="P211" t="n">
        <v>0</v>
      </c>
      <c r="Q211" t="n">
        <v>0</v>
      </c>
      <c r="R211" t="n">
        <v>0</v>
      </c>
      <c r="S211" t="n">
        <v>0</v>
      </c>
      <c r="T211" t="n">
        <v>0</v>
      </c>
      <c r="U211" s="2" t="inlineStr"/>
    </row>
    <row r="212" ht="15" customHeight="1">
      <c r="A212" t="inlineStr">
        <is>
          <t>A 23014-2022</t>
        </is>
      </c>
      <c r="B212" t="inlineStr">
        <is>
          <t>avverkningsanmälan</t>
        </is>
      </c>
      <c r="C212" t="inlineStr">
        <is>
          <t>Föryngringsavverkning</t>
        </is>
      </c>
      <c r="D212" s="1" t="n">
        <v>44719</v>
      </c>
      <c r="E212" s="1" t="n">
        <v>46222</v>
      </c>
      <c r="F212" t="inlineStr">
        <is>
          <t>GÄVLEBORGS LÄN</t>
        </is>
      </c>
      <c r="G212" t="inlineStr">
        <is>
          <t>OVANÅKER</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29423-2025</t>
        </is>
      </c>
      <c r="B213" t="inlineStr">
        <is>
          <t>avverkningsanmälan</t>
        </is>
      </c>
      <c r="C213" t="inlineStr">
        <is>
          <t>Föryngringsavverkning</t>
        </is>
      </c>
      <c r="D213" s="1" t="n">
        <v>45824</v>
      </c>
      <c r="E213" s="1" t="n">
        <v>46222</v>
      </c>
      <c r="F213" t="inlineStr">
        <is>
          <t>GÄVLEBORGS LÄN</t>
        </is>
      </c>
      <c r="G213" t="inlineStr">
        <is>
          <t>OVANÅKER</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39542-2025</t>
        </is>
      </c>
      <c r="B214" t="inlineStr">
        <is>
          <t>avverkningsanmälan</t>
        </is>
      </c>
      <c r="C214" t="inlineStr">
        <is>
          <t>Föryngringsavverkning</t>
        </is>
      </c>
      <c r="D214" s="1" t="n">
        <v>45890</v>
      </c>
      <c r="E214" s="1" t="n">
        <v>46222</v>
      </c>
      <c r="F214" t="inlineStr">
        <is>
          <t>GÄVLEBORGS LÄN</t>
        </is>
      </c>
      <c r="G214" t="inlineStr">
        <is>
          <t>OVANÅKER</t>
        </is>
      </c>
      <c r="H214" t="inlineStr">
        <is>
          <t>Sveaskog</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29054-2025</t>
        </is>
      </c>
      <c r="B215" t="inlineStr">
        <is>
          <t>avverkningsanmälan</t>
        </is>
      </c>
      <c r="C215" t="inlineStr">
        <is>
          <t>Föryngringsavverkning</t>
        </is>
      </c>
      <c r="D215" s="1" t="n">
        <v>45821</v>
      </c>
      <c r="E215" s="1" t="n">
        <v>46222</v>
      </c>
      <c r="F215" t="inlineStr">
        <is>
          <t>GÄVLEBORGS LÄN</t>
        </is>
      </c>
      <c r="G215" t="inlineStr">
        <is>
          <t>OVANÅKER</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39449-2025</t>
        </is>
      </c>
      <c r="B216" t="inlineStr">
        <is>
          <t>avverkningsanmälan</t>
        </is>
      </c>
      <c r="C216" t="inlineStr">
        <is>
          <t>Föryngringsavverkning</t>
        </is>
      </c>
      <c r="D216" s="1" t="n">
        <v>45889</v>
      </c>
      <c r="E216" s="1" t="n">
        <v>46222</v>
      </c>
      <c r="F216" t="inlineStr">
        <is>
          <t>GÄVLEBORGS LÄN</t>
        </is>
      </c>
      <c r="G216" t="inlineStr">
        <is>
          <t>OVANÅKER</t>
        </is>
      </c>
      <c r="I216" t="n">
        <v>2.9</v>
      </c>
      <c r="J216" t="n">
        <v>0</v>
      </c>
      <c r="K216" t="n">
        <v>0</v>
      </c>
      <c r="L216" t="n">
        <v>0</v>
      </c>
      <c r="M216" t="n">
        <v>0</v>
      </c>
      <c r="N216" t="n">
        <v>0</v>
      </c>
      <c r="O216" t="n">
        <v>0</v>
      </c>
      <c r="P216" t="n">
        <v>0</v>
      </c>
      <c r="Q216" t="n">
        <v>0</v>
      </c>
      <c r="R216" t="n">
        <v>0</v>
      </c>
      <c r="S216" t="n">
        <v>0</v>
      </c>
      <c r="T216" t="n">
        <v>0</v>
      </c>
      <c r="U216" s="2" t="inlineStr"/>
    </row>
    <row r="217" ht="15" customHeight="1">
      <c r="A217" t="inlineStr">
        <is>
          <t>A 36257-2024</t>
        </is>
      </c>
      <c r="B217" t="inlineStr">
        <is>
          <t>avverkningsanmälan</t>
        </is>
      </c>
      <c r="C217" t="inlineStr">
        <is>
          <t>Avverkning för annat ändamål</t>
        </is>
      </c>
      <c r="D217" s="1" t="n">
        <v>45534</v>
      </c>
      <c r="E217" s="1" t="n">
        <v>46222</v>
      </c>
      <c r="F217" t="inlineStr">
        <is>
          <t>GÄVLEBORGS LÄN</t>
        </is>
      </c>
      <c r="G217" t="inlineStr">
        <is>
          <t>OVANÅKER</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39626-2025</t>
        </is>
      </c>
      <c r="B218" t="inlineStr">
        <is>
          <t>avverkningsanmälan</t>
        </is>
      </c>
      <c r="C218" t="inlineStr">
        <is>
          <t>Föryngringsavverkning</t>
        </is>
      </c>
      <c r="D218" s="1" t="n">
        <v>45890</v>
      </c>
      <c r="E218" s="1" t="n">
        <v>46222</v>
      </c>
      <c r="F218" t="inlineStr">
        <is>
          <t>GÄVLEBORGS LÄN</t>
        </is>
      </c>
      <c r="G218" t="inlineStr">
        <is>
          <t>OVANÅKER</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4516-2026</t>
        </is>
      </c>
      <c r="B219" t="inlineStr">
        <is>
          <t>avverkningsanmälan</t>
        </is>
      </c>
      <c r="C219" t="inlineStr">
        <is>
          <t>Föryngringsavverkning</t>
        </is>
      </c>
      <c r="D219" s="1" t="n">
        <v>46045</v>
      </c>
      <c r="E219" s="1" t="n">
        <v>46222</v>
      </c>
      <c r="F219" t="inlineStr">
        <is>
          <t>GÄVLEBORGS LÄN</t>
        </is>
      </c>
      <c r="G219" t="inlineStr">
        <is>
          <t>OVANÅKER</t>
        </is>
      </c>
      <c r="I219" t="n">
        <v>2.1</v>
      </c>
      <c r="J219" t="n">
        <v>0</v>
      </c>
      <c r="K219" t="n">
        <v>0</v>
      </c>
      <c r="L219" t="n">
        <v>0</v>
      </c>
      <c r="M219" t="n">
        <v>0</v>
      </c>
      <c r="N219" t="n">
        <v>0</v>
      </c>
      <c r="O219" t="n">
        <v>0</v>
      </c>
      <c r="P219" t="n">
        <v>0</v>
      </c>
      <c r="Q219" t="n">
        <v>0</v>
      </c>
      <c r="R219" t="n">
        <v>0</v>
      </c>
      <c r="S219" t="n">
        <v>0</v>
      </c>
      <c r="T219" t="n">
        <v>0</v>
      </c>
      <c r="U219" s="2" t="inlineStr"/>
    </row>
    <row r="220" ht="15" customHeight="1">
      <c r="A220" t="inlineStr">
        <is>
          <t>A 8967-2022</t>
        </is>
      </c>
      <c r="B220" t="inlineStr">
        <is>
          <t>avverkningsanmälan</t>
        </is>
      </c>
      <c r="C220" t="inlineStr">
        <is>
          <t>Föryngringsavverkning</t>
        </is>
      </c>
      <c r="D220" s="1" t="n">
        <v>44614</v>
      </c>
      <c r="E220" s="1" t="n">
        <v>46222</v>
      </c>
      <c r="F220" t="inlineStr">
        <is>
          <t>GÄVLEBORGS LÄN</t>
        </is>
      </c>
      <c r="G220" t="inlineStr">
        <is>
          <t>OVANÅKER</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29046-2025</t>
        </is>
      </c>
      <c r="B221" t="inlineStr">
        <is>
          <t>avverkningsanmälan</t>
        </is>
      </c>
      <c r="C221" t="inlineStr">
        <is>
          <t>Föryngringsavverkning</t>
        </is>
      </c>
      <c r="D221" s="1" t="n">
        <v>45821</v>
      </c>
      <c r="E221" s="1" t="n">
        <v>46222</v>
      </c>
      <c r="F221" t="inlineStr">
        <is>
          <t>GÄVLEBORGS LÄN</t>
        </is>
      </c>
      <c r="G221" t="inlineStr">
        <is>
          <t>OVANÅKER</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29922-2025</t>
        </is>
      </c>
      <c r="B222" t="inlineStr">
        <is>
          <t>avverkningsanmälan</t>
        </is>
      </c>
      <c r="C222" t="inlineStr">
        <is>
          <t>Föryngringsavverkning</t>
        </is>
      </c>
      <c r="D222" s="1" t="n">
        <v>45826</v>
      </c>
      <c r="E222" s="1" t="n">
        <v>46222</v>
      </c>
      <c r="F222" t="inlineStr">
        <is>
          <t>GÄVLEBORGS LÄN</t>
        </is>
      </c>
      <c r="G222" t="inlineStr">
        <is>
          <t>OVANÅKER</t>
        </is>
      </c>
      <c r="H222" t="inlineStr">
        <is>
          <t>Holmen skog AB</t>
        </is>
      </c>
      <c r="I222" t="n">
        <v>30</v>
      </c>
      <c r="J222" t="n">
        <v>0</v>
      </c>
      <c r="K222" t="n">
        <v>0</v>
      </c>
      <c r="L222" t="n">
        <v>0</v>
      </c>
      <c r="M222" t="n">
        <v>0</v>
      </c>
      <c r="N222" t="n">
        <v>0</v>
      </c>
      <c r="O222" t="n">
        <v>0</v>
      </c>
      <c r="P222" t="n">
        <v>0</v>
      </c>
      <c r="Q222" t="n">
        <v>0</v>
      </c>
      <c r="R222" t="n">
        <v>0</v>
      </c>
      <c r="S222" t="n">
        <v>0</v>
      </c>
      <c r="T222" t="n">
        <v>0</v>
      </c>
      <c r="U222" s="2" t="inlineStr"/>
    </row>
    <row r="223" ht="15" customHeight="1">
      <c r="A223" t="inlineStr">
        <is>
          <t>A 30013-2025</t>
        </is>
      </c>
      <c r="B223" t="inlineStr">
        <is>
          <t>avverkningsanmälan</t>
        </is>
      </c>
      <c r="C223" t="inlineStr">
        <is>
          <t>Föryngringsavverkning</t>
        </is>
      </c>
      <c r="D223" s="1" t="n">
        <v>45826</v>
      </c>
      <c r="E223" s="1" t="n">
        <v>46222</v>
      </c>
      <c r="F223" t="inlineStr">
        <is>
          <t>GÄVLEBORGS LÄN</t>
        </is>
      </c>
      <c r="G223" t="inlineStr">
        <is>
          <t>OVANÅKER</t>
        </is>
      </c>
      <c r="H223" t="inlineStr">
        <is>
          <t>Holmen skog AB</t>
        </is>
      </c>
      <c r="I223" t="n">
        <v>4.6</v>
      </c>
      <c r="J223" t="n">
        <v>0</v>
      </c>
      <c r="K223" t="n">
        <v>0</v>
      </c>
      <c r="L223" t="n">
        <v>0</v>
      </c>
      <c r="M223" t="n">
        <v>0</v>
      </c>
      <c r="N223" t="n">
        <v>0</v>
      </c>
      <c r="O223" t="n">
        <v>0</v>
      </c>
      <c r="P223" t="n">
        <v>0</v>
      </c>
      <c r="Q223" t="n">
        <v>0</v>
      </c>
      <c r="R223" t="n">
        <v>0</v>
      </c>
      <c r="S223" t="n">
        <v>0</v>
      </c>
      <c r="T223" t="n">
        <v>0</v>
      </c>
      <c r="U223" s="2" t="inlineStr"/>
    </row>
    <row r="224" ht="15" customHeight="1">
      <c r="A224" t="inlineStr">
        <is>
          <t>A 33945-2024</t>
        </is>
      </c>
      <c r="B224" t="inlineStr">
        <is>
          <t>avverkningsanmälan</t>
        </is>
      </c>
      <c r="C224" t="inlineStr">
        <is>
          <t>Föryngringsavverkning</t>
        </is>
      </c>
      <c r="D224" s="1" t="n">
        <v>45523</v>
      </c>
      <c r="E224" s="1" t="n">
        <v>46222</v>
      </c>
      <c r="F224" t="inlineStr">
        <is>
          <t>GÄVLEBORGS LÄN</t>
        </is>
      </c>
      <c r="G224" t="inlineStr">
        <is>
          <t>OVANÅKER</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29855-2025</t>
        </is>
      </c>
      <c r="B225" t="inlineStr">
        <is>
          <t>avverkningsanmälan</t>
        </is>
      </c>
      <c r="C225" t="inlineStr">
        <is>
          <t>Föryngringsavverkning</t>
        </is>
      </c>
      <c r="D225" s="1" t="n">
        <v>45826</v>
      </c>
      <c r="E225" s="1" t="n">
        <v>46222</v>
      </c>
      <c r="F225" t="inlineStr">
        <is>
          <t>GÄVLEBORGS LÄN</t>
        </is>
      </c>
      <c r="G225" t="inlineStr">
        <is>
          <t>OVANÅKER</t>
        </is>
      </c>
      <c r="H225" t="inlineStr">
        <is>
          <t>Bergvik skog väst AB</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29887-2025</t>
        </is>
      </c>
      <c r="B226" t="inlineStr">
        <is>
          <t>avverkningsanmälan</t>
        </is>
      </c>
      <c r="C226" t="inlineStr">
        <is>
          <t>Föryngringsavverkning</t>
        </is>
      </c>
      <c r="D226" s="1" t="n">
        <v>45826</v>
      </c>
      <c r="E226" s="1" t="n">
        <v>46222</v>
      </c>
      <c r="F226" t="inlineStr">
        <is>
          <t>GÄVLEBORGS LÄN</t>
        </is>
      </c>
      <c r="G226" t="inlineStr">
        <is>
          <t>OVANÅKER</t>
        </is>
      </c>
      <c r="H226" t="inlineStr">
        <is>
          <t>Holmen skog AB</t>
        </is>
      </c>
      <c r="I226" t="n">
        <v>13.7</v>
      </c>
      <c r="J226" t="n">
        <v>0</v>
      </c>
      <c r="K226" t="n">
        <v>0</v>
      </c>
      <c r="L226" t="n">
        <v>0</v>
      </c>
      <c r="M226" t="n">
        <v>0</v>
      </c>
      <c r="N226" t="n">
        <v>0</v>
      </c>
      <c r="O226" t="n">
        <v>0</v>
      </c>
      <c r="P226" t="n">
        <v>0</v>
      </c>
      <c r="Q226" t="n">
        <v>0</v>
      </c>
      <c r="R226" t="n">
        <v>0</v>
      </c>
      <c r="S226" t="n">
        <v>0</v>
      </c>
      <c r="T226" t="n">
        <v>0</v>
      </c>
      <c r="U226" s="2" t="inlineStr"/>
    </row>
    <row r="227" ht="15" customHeight="1">
      <c r="A227" t="inlineStr">
        <is>
          <t>A 30029-2025</t>
        </is>
      </c>
      <c r="B227" t="inlineStr">
        <is>
          <t>avverkningsanmälan</t>
        </is>
      </c>
      <c r="C227" t="inlineStr">
        <is>
          <t>Avverkning för annat ändamål</t>
        </is>
      </c>
      <c r="D227" s="1" t="n">
        <v>45826</v>
      </c>
      <c r="E227" s="1" t="n">
        <v>46222</v>
      </c>
      <c r="F227" t="inlineStr">
        <is>
          <t>GÄVLEBORGS LÄN</t>
        </is>
      </c>
      <c r="G227" t="inlineStr">
        <is>
          <t>OVANÅKER</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29635-2025</t>
        </is>
      </c>
      <c r="B228" t="inlineStr">
        <is>
          <t>avverkningsanmälan</t>
        </is>
      </c>
      <c r="C228" t="inlineStr">
        <is>
          <t>Föryngringsavverkning</t>
        </is>
      </c>
      <c r="D228" s="1" t="n">
        <v>45825</v>
      </c>
      <c r="E228" s="1" t="n">
        <v>46222</v>
      </c>
      <c r="F228" t="inlineStr">
        <is>
          <t>GÄVLEBORGS LÄN</t>
        </is>
      </c>
      <c r="G228" t="inlineStr">
        <is>
          <t>OVANÅKER</t>
        </is>
      </c>
      <c r="H228" t="inlineStr">
        <is>
          <t>Bergvik skog väst AB</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29892-2025</t>
        </is>
      </c>
      <c r="B229" t="inlineStr">
        <is>
          <t>avverkningsanmälan</t>
        </is>
      </c>
      <c r="C229" t="inlineStr">
        <is>
          <t>Föryngringsavverkning</t>
        </is>
      </c>
      <c r="D229" s="1" t="n">
        <v>45826</v>
      </c>
      <c r="E229" s="1" t="n">
        <v>46222</v>
      </c>
      <c r="F229" t="inlineStr">
        <is>
          <t>GÄVLEBORGS LÄN</t>
        </is>
      </c>
      <c r="G229" t="inlineStr">
        <is>
          <t>OVANÅKER</t>
        </is>
      </c>
      <c r="H229" t="inlineStr">
        <is>
          <t>Holmen skog AB</t>
        </is>
      </c>
      <c r="I229" t="n">
        <v>10.5</v>
      </c>
      <c r="J229" t="n">
        <v>0</v>
      </c>
      <c r="K229" t="n">
        <v>0</v>
      </c>
      <c r="L229" t="n">
        <v>0</v>
      </c>
      <c r="M229" t="n">
        <v>0</v>
      </c>
      <c r="N229" t="n">
        <v>0</v>
      </c>
      <c r="O229" t="n">
        <v>0</v>
      </c>
      <c r="P229" t="n">
        <v>0</v>
      </c>
      <c r="Q229" t="n">
        <v>0</v>
      </c>
      <c r="R229" t="n">
        <v>0</v>
      </c>
      <c r="S229" t="n">
        <v>0</v>
      </c>
      <c r="T229" t="n">
        <v>0</v>
      </c>
      <c r="U229" s="2" t="inlineStr"/>
    </row>
    <row r="230" ht="15" customHeight="1">
      <c r="A230" t="inlineStr">
        <is>
          <t>A 10593-2025</t>
        </is>
      </c>
      <c r="B230" t="inlineStr">
        <is>
          <t>avverkningsanmälan</t>
        </is>
      </c>
      <c r="C230" t="inlineStr">
        <is>
          <t>Föryngringsavverkning</t>
        </is>
      </c>
      <c r="D230" s="1" t="n">
        <v>45721</v>
      </c>
      <c r="E230" s="1" t="n">
        <v>46222</v>
      </c>
      <c r="F230" t="inlineStr">
        <is>
          <t>GÄVLEBORGS LÄN</t>
        </is>
      </c>
      <c r="G230" t="inlineStr">
        <is>
          <t>OVANÅKER</t>
        </is>
      </c>
      <c r="H230" t="inlineStr">
        <is>
          <t>Bergvik skog öst AB</t>
        </is>
      </c>
      <c r="I230" t="n">
        <v>2.9</v>
      </c>
      <c r="J230" t="n">
        <v>0</v>
      </c>
      <c r="K230" t="n">
        <v>0</v>
      </c>
      <c r="L230" t="n">
        <v>0</v>
      </c>
      <c r="M230" t="n">
        <v>0</v>
      </c>
      <c r="N230" t="n">
        <v>0</v>
      </c>
      <c r="O230" t="n">
        <v>0</v>
      </c>
      <c r="P230" t="n">
        <v>0</v>
      </c>
      <c r="Q230" t="n">
        <v>0</v>
      </c>
      <c r="R230" t="n">
        <v>0</v>
      </c>
      <c r="S230" t="n">
        <v>0</v>
      </c>
      <c r="T230" t="n">
        <v>0</v>
      </c>
      <c r="U230" s="2" t="inlineStr"/>
    </row>
    <row r="231" ht="15" customHeight="1">
      <c r="A231" t="inlineStr">
        <is>
          <t>A 40489-2025</t>
        </is>
      </c>
      <c r="B231" t="inlineStr">
        <is>
          <t>avverkningsanmälan</t>
        </is>
      </c>
      <c r="C231" t="inlineStr">
        <is>
          <t>Föryngringsavverkning</t>
        </is>
      </c>
      <c r="D231" s="1" t="n">
        <v>45895</v>
      </c>
      <c r="E231" s="1" t="n">
        <v>46222</v>
      </c>
      <c r="F231" t="inlineStr">
        <is>
          <t>GÄVLEBORGS LÄN</t>
        </is>
      </c>
      <c r="G231" t="inlineStr">
        <is>
          <t>OVANÅKER</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4632-2026</t>
        </is>
      </c>
      <c r="B232" t="inlineStr">
        <is>
          <t>avverkningsanmälan</t>
        </is>
      </c>
      <c r="C232" t="inlineStr">
        <is>
          <t>Föryngringsavverkning</t>
        </is>
      </c>
      <c r="D232" s="1" t="n">
        <v>46048</v>
      </c>
      <c r="E232" s="1" t="n">
        <v>46222</v>
      </c>
      <c r="F232" t="inlineStr">
        <is>
          <t>GÄVLEBORGS LÄN</t>
        </is>
      </c>
      <c r="G232" t="inlineStr">
        <is>
          <t>OVANÅKER</t>
        </is>
      </c>
      <c r="I232" t="n">
        <v>2.9</v>
      </c>
      <c r="J232" t="n">
        <v>0</v>
      </c>
      <c r="K232" t="n">
        <v>0</v>
      </c>
      <c r="L232" t="n">
        <v>0</v>
      </c>
      <c r="M232" t="n">
        <v>0</v>
      </c>
      <c r="N232" t="n">
        <v>0</v>
      </c>
      <c r="O232" t="n">
        <v>0</v>
      </c>
      <c r="P232" t="n">
        <v>0</v>
      </c>
      <c r="Q232" t="n">
        <v>0</v>
      </c>
      <c r="R232" t="n">
        <v>0</v>
      </c>
      <c r="S232" t="n">
        <v>0</v>
      </c>
      <c r="T232" t="n">
        <v>0</v>
      </c>
      <c r="U232" s="2" t="inlineStr"/>
    </row>
    <row r="233" ht="15" customHeight="1">
      <c r="A233" t="inlineStr">
        <is>
          <t>A 10689-2025</t>
        </is>
      </c>
      <c r="B233" t="inlineStr">
        <is>
          <t>avverkningsanmälan</t>
        </is>
      </c>
      <c r="C233" t="inlineStr">
        <is>
          <t>Föryngringsavverkning</t>
        </is>
      </c>
      <c r="D233" s="1" t="n">
        <v>45722</v>
      </c>
      <c r="E233" s="1" t="n">
        <v>46222</v>
      </c>
      <c r="F233" t="inlineStr">
        <is>
          <t>GÄVLEBORGS LÄN</t>
        </is>
      </c>
      <c r="G233" t="inlineStr">
        <is>
          <t>OVANÅKER</t>
        </is>
      </c>
      <c r="H233" t="inlineStr">
        <is>
          <t>Bergvik skog öst AB</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40488-2025</t>
        </is>
      </c>
      <c r="B234" t="inlineStr">
        <is>
          <t>avverkningsanmälan</t>
        </is>
      </c>
      <c r="C234" t="inlineStr">
        <is>
          <t>Föryngringsavverkning</t>
        </is>
      </c>
      <c r="D234" s="1" t="n">
        <v>45895</v>
      </c>
      <c r="E234" s="1" t="n">
        <v>46222</v>
      </c>
      <c r="F234" t="inlineStr">
        <is>
          <t>GÄVLEBORGS LÄN</t>
        </is>
      </c>
      <c r="G234" t="inlineStr">
        <is>
          <t>OVANÅKER</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60417-2023</t>
        </is>
      </c>
      <c r="B235" t="inlineStr">
        <is>
          <t>avverkningsanmälan</t>
        </is>
      </c>
      <c r="C235" t="inlineStr">
        <is>
          <t>Föryngringsavverkning</t>
        </is>
      </c>
      <c r="D235" s="1" t="n">
        <v>45259</v>
      </c>
      <c r="E235" s="1" t="n">
        <v>46222</v>
      </c>
      <c r="F235" t="inlineStr">
        <is>
          <t>GÄVLEBORGS LÄN</t>
        </is>
      </c>
      <c r="G235" t="inlineStr">
        <is>
          <t>OVANÅKER</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29931-2025</t>
        </is>
      </c>
      <c r="B236" t="inlineStr">
        <is>
          <t>avverkningsanmälan</t>
        </is>
      </c>
      <c r="C236" t="inlineStr">
        <is>
          <t>Föryngringsavverkning</t>
        </is>
      </c>
      <c r="D236" s="1" t="n">
        <v>45826</v>
      </c>
      <c r="E236" s="1" t="n">
        <v>46222</v>
      </c>
      <c r="F236" t="inlineStr">
        <is>
          <t>GÄVLEBORGS LÄN</t>
        </is>
      </c>
      <c r="G236" t="inlineStr">
        <is>
          <t>OVANÅKER</t>
        </is>
      </c>
      <c r="H236" t="inlineStr">
        <is>
          <t>Bergvik skog öst AB</t>
        </is>
      </c>
      <c r="I236" t="n">
        <v>10</v>
      </c>
      <c r="J236" t="n">
        <v>0</v>
      </c>
      <c r="K236" t="n">
        <v>0</v>
      </c>
      <c r="L236" t="n">
        <v>0</v>
      </c>
      <c r="M236" t="n">
        <v>0</v>
      </c>
      <c r="N236" t="n">
        <v>0</v>
      </c>
      <c r="O236" t="n">
        <v>0</v>
      </c>
      <c r="P236" t="n">
        <v>0</v>
      </c>
      <c r="Q236" t="n">
        <v>0</v>
      </c>
      <c r="R236" t="n">
        <v>0</v>
      </c>
      <c r="S236" t="n">
        <v>0</v>
      </c>
      <c r="T236" t="n">
        <v>0</v>
      </c>
      <c r="U236" s="2" t="inlineStr"/>
    </row>
    <row r="237" ht="15" customHeight="1">
      <c r="A237" t="inlineStr">
        <is>
          <t>A 3106-2026</t>
        </is>
      </c>
      <c r="B237" t="inlineStr">
        <is>
          <t>avverkningsanmälan</t>
        </is>
      </c>
      <c r="C237" t="inlineStr">
        <is>
          <t>Föryngringsavverkning</t>
        </is>
      </c>
      <c r="D237" s="1" t="n">
        <v>46041</v>
      </c>
      <c r="E237" s="1" t="n">
        <v>46222</v>
      </c>
      <c r="F237" t="inlineStr">
        <is>
          <t>GÄVLEBORGS LÄN</t>
        </is>
      </c>
      <c r="G237" t="inlineStr">
        <is>
          <t>OVANÅKER</t>
        </is>
      </c>
      <c r="I237" t="n">
        <v>19.1</v>
      </c>
      <c r="J237" t="n">
        <v>0</v>
      </c>
      <c r="K237" t="n">
        <v>0</v>
      </c>
      <c r="L237" t="n">
        <v>0</v>
      </c>
      <c r="M237" t="n">
        <v>0</v>
      </c>
      <c r="N237" t="n">
        <v>0</v>
      </c>
      <c r="O237" t="n">
        <v>0</v>
      </c>
      <c r="P237" t="n">
        <v>0</v>
      </c>
      <c r="Q237" t="n">
        <v>0</v>
      </c>
      <c r="R237" t="n">
        <v>0</v>
      </c>
      <c r="S237" t="n">
        <v>0</v>
      </c>
      <c r="T237" t="n">
        <v>0</v>
      </c>
      <c r="U237" s="2" t="inlineStr"/>
    </row>
    <row r="238" ht="15" customHeight="1">
      <c r="A238" t="inlineStr">
        <is>
          <t>A 4546-2026</t>
        </is>
      </c>
      <c r="B238" t="inlineStr">
        <is>
          <t>avverkningsanmälan</t>
        </is>
      </c>
      <c r="C238" t="inlineStr">
        <is>
          <t>Föryngringsavverkning</t>
        </is>
      </c>
      <c r="D238" s="1" t="n">
        <v>46047</v>
      </c>
      <c r="E238" s="1" t="n">
        <v>46222</v>
      </c>
      <c r="F238" t="inlineStr">
        <is>
          <t>GÄVLEBORGS LÄN</t>
        </is>
      </c>
      <c r="G238" t="inlineStr">
        <is>
          <t>OVANÅKER</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4548-2026</t>
        </is>
      </c>
      <c r="B239" t="inlineStr">
        <is>
          <t>avverkningsanmälan</t>
        </is>
      </c>
      <c r="C239" t="inlineStr">
        <is>
          <t>Föryngringsavverkning</t>
        </is>
      </c>
      <c r="D239" s="1" t="n">
        <v>46047</v>
      </c>
      <c r="E239" s="1" t="n">
        <v>46222</v>
      </c>
      <c r="F239" t="inlineStr">
        <is>
          <t>GÄVLEBORGS LÄN</t>
        </is>
      </c>
      <c r="G239" t="inlineStr">
        <is>
          <t>OVANÅKER</t>
        </is>
      </c>
      <c r="I239" t="n">
        <v>2.3</v>
      </c>
      <c r="J239" t="n">
        <v>0</v>
      </c>
      <c r="K239" t="n">
        <v>0</v>
      </c>
      <c r="L239" t="n">
        <v>0</v>
      </c>
      <c r="M239" t="n">
        <v>0</v>
      </c>
      <c r="N239" t="n">
        <v>0</v>
      </c>
      <c r="O239" t="n">
        <v>0</v>
      </c>
      <c r="P239" t="n">
        <v>0</v>
      </c>
      <c r="Q239" t="n">
        <v>0</v>
      </c>
      <c r="R239" t="n">
        <v>0</v>
      </c>
      <c r="S239" t="n">
        <v>0</v>
      </c>
      <c r="T239" t="n">
        <v>0</v>
      </c>
      <c r="U239" s="2" t="inlineStr"/>
    </row>
    <row r="240" ht="15" customHeight="1">
      <c r="A240" t="inlineStr">
        <is>
          <t>A 40986-2025</t>
        </is>
      </c>
      <c r="B240" t="inlineStr">
        <is>
          <t>avverkningsanmälan</t>
        </is>
      </c>
      <c r="C240" t="inlineStr">
        <is>
          <t>Föryngringsavverkning</t>
        </is>
      </c>
      <c r="D240" s="1" t="n">
        <v>45898</v>
      </c>
      <c r="E240" s="1" t="n">
        <v>46222</v>
      </c>
      <c r="F240" t="inlineStr">
        <is>
          <t>GÄVLEBORGS LÄN</t>
        </is>
      </c>
      <c r="G240" t="inlineStr">
        <is>
          <t>OVANÅKER</t>
        </is>
      </c>
      <c r="I240" t="n">
        <v>3.2</v>
      </c>
      <c r="J240" t="n">
        <v>0</v>
      </c>
      <c r="K240" t="n">
        <v>0</v>
      </c>
      <c r="L240" t="n">
        <v>0</v>
      </c>
      <c r="M240" t="n">
        <v>0</v>
      </c>
      <c r="N240" t="n">
        <v>0</v>
      </c>
      <c r="O240" t="n">
        <v>0</v>
      </c>
      <c r="P240" t="n">
        <v>0</v>
      </c>
      <c r="Q240" t="n">
        <v>0</v>
      </c>
      <c r="R240" t="n">
        <v>0</v>
      </c>
      <c r="S240" t="n">
        <v>0</v>
      </c>
      <c r="T240" t="n">
        <v>0</v>
      </c>
      <c r="U240" s="2" t="inlineStr"/>
    </row>
    <row r="241" ht="15" customHeight="1">
      <c r="A241" t="inlineStr">
        <is>
          <t>A 41120-2025</t>
        </is>
      </c>
      <c r="B241" t="inlineStr">
        <is>
          <t>avverkningsanmälan</t>
        </is>
      </c>
      <c r="C241" t="inlineStr">
        <is>
          <t>Föryngringsavverkning</t>
        </is>
      </c>
      <c r="D241" s="1" t="n">
        <v>45898</v>
      </c>
      <c r="E241" s="1" t="n">
        <v>46222</v>
      </c>
      <c r="F241" t="inlineStr">
        <is>
          <t>GÄVLEBORGS LÄN</t>
        </is>
      </c>
      <c r="G241" t="inlineStr">
        <is>
          <t>OVANÅKER</t>
        </is>
      </c>
      <c r="I241" t="n">
        <v>4.6</v>
      </c>
      <c r="J241" t="n">
        <v>0</v>
      </c>
      <c r="K241" t="n">
        <v>0</v>
      </c>
      <c r="L241" t="n">
        <v>0</v>
      </c>
      <c r="M241" t="n">
        <v>0</v>
      </c>
      <c r="N241" t="n">
        <v>0</v>
      </c>
      <c r="O241" t="n">
        <v>0</v>
      </c>
      <c r="P241" t="n">
        <v>0</v>
      </c>
      <c r="Q241" t="n">
        <v>0</v>
      </c>
      <c r="R241" t="n">
        <v>0</v>
      </c>
      <c r="S241" t="n">
        <v>0</v>
      </c>
      <c r="T241" t="n">
        <v>0</v>
      </c>
      <c r="U241" s="2" t="inlineStr"/>
    </row>
    <row r="242" ht="15" customHeight="1">
      <c r="A242" t="inlineStr">
        <is>
          <t>A 30196-2025</t>
        </is>
      </c>
      <c r="B242" t="inlineStr">
        <is>
          <t>avverkningsanmälan</t>
        </is>
      </c>
      <c r="C242" t="inlineStr">
        <is>
          <t>Föryngringsavverkning</t>
        </is>
      </c>
      <c r="D242" s="1" t="n">
        <v>45827</v>
      </c>
      <c r="E242" s="1" t="n">
        <v>46222</v>
      </c>
      <c r="F242" t="inlineStr">
        <is>
          <t>GÄVLEBORGS LÄN</t>
        </is>
      </c>
      <c r="G242" t="inlineStr">
        <is>
          <t>OVANÅKER</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30382-2025</t>
        </is>
      </c>
      <c r="B243" t="inlineStr">
        <is>
          <t>avverkningsanmälan</t>
        </is>
      </c>
      <c r="C243" t="inlineStr">
        <is>
          <t>Föryngringsavverkning</t>
        </is>
      </c>
      <c r="D243" s="1" t="n">
        <v>45827</v>
      </c>
      <c r="E243" s="1" t="n">
        <v>46222</v>
      </c>
      <c r="F243" t="inlineStr">
        <is>
          <t>GÄVLEBORGS LÄN</t>
        </is>
      </c>
      <c r="G243" t="inlineStr">
        <is>
          <t>OVANÅKER</t>
        </is>
      </c>
      <c r="H243" t="inlineStr">
        <is>
          <t>Holmen skog AB</t>
        </is>
      </c>
      <c r="I243" t="n">
        <v>6.4</v>
      </c>
      <c r="J243" t="n">
        <v>0</v>
      </c>
      <c r="K243" t="n">
        <v>0</v>
      </c>
      <c r="L243" t="n">
        <v>0</v>
      </c>
      <c r="M243" t="n">
        <v>0</v>
      </c>
      <c r="N243" t="n">
        <v>0</v>
      </c>
      <c r="O243" t="n">
        <v>0</v>
      </c>
      <c r="P243" t="n">
        <v>0</v>
      </c>
      <c r="Q243" t="n">
        <v>0</v>
      </c>
      <c r="R243" t="n">
        <v>0</v>
      </c>
      <c r="S243" t="n">
        <v>0</v>
      </c>
      <c r="T243" t="n">
        <v>0</v>
      </c>
      <c r="U243" s="2" t="inlineStr"/>
    </row>
    <row r="244" ht="15" customHeight="1">
      <c r="A244" t="inlineStr">
        <is>
          <t>A 5254-2026</t>
        </is>
      </c>
      <c r="B244" t="inlineStr">
        <is>
          <t>avverkningsanmälan</t>
        </is>
      </c>
      <c r="C244" t="inlineStr">
        <is>
          <t>Föryngringsavverkning</t>
        </is>
      </c>
      <c r="D244" s="1" t="n">
        <v>46050</v>
      </c>
      <c r="E244" s="1" t="n">
        <v>46222</v>
      </c>
      <c r="F244" t="inlineStr">
        <is>
          <t>GÄVLEBORGS LÄN</t>
        </is>
      </c>
      <c r="G244" t="inlineStr">
        <is>
          <t>OVANÅKER</t>
        </is>
      </c>
      <c r="I244" t="n">
        <v>6.8</v>
      </c>
      <c r="J244" t="n">
        <v>0</v>
      </c>
      <c r="K244" t="n">
        <v>0</v>
      </c>
      <c r="L244" t="n">
        <v>0</v>
      </c>
      <c r="M244" t="n">
        <v>0</v>
      </c>
      <c r="N244" t="n">
        <v>0</v>
      </c>
      <c r="O244" t="n">
        <v>0</v>
      </c>
      <c r="P244" t="n">
        <v>0</v>
      </c>
      <c r="Q244" t="n">
        <v>0</v>
      </c>
      <c r="R244" t="n">
        <v>0</v>
      </c>
      <c r="S244" t="n">
        <v>0</v>
      </c>
      <c r="T244" t="n">
        <v>0</v>
      </c>
      <c r="U244" s="2" t="inlineStr"/>
    </row>
    <row r="245" ht="15" customHeight="1">
      <c r="A245" t="inlineStr">
        <is>
          <t>A 44859-2024</t>
        </is>
      </c>
      <c r="B245" t="inlineStr">
        <is>
          <t>avverkningsanmälan</t>
        </is>
      </c>
      <c r="C245" t="inlineStr">
        <is>
          <t>Föryngringsavverkning</t>
        </is>
      </c>
      <c r="D245" s="1" t="n">
        <v>45575</v>
      </c>
      <c r="E245" s="1" t="n">
        <v>46222</v>
      </c>
      <c r="F245" t="inlineStr">
        <is>
          <t>GÄVLEBORGS LÄN</t>
        </is>
      </c>
      <c r="G245" t="inlineStr">
        <is>
          <t>OVANÅKER</t>
        </is>
      </c>
      <c r="I245" t="n">
        <v>0.2</v>
      </c>
      <c r="J245" t="n">
        <v>0</v>
      </c>
      <c r="K245" t="n">
        <v>0</v>
      </c>
      <c r="L245" t="n">
        <v>0</v>
      </c>
      <c r="M245" t="n">
        <v>0</v>
      </c>
      <c r="N245" t="n">
        <v>0</v>
      </c>
      <c r="O245" t="n">
        <v>0</v>
      </c>
      <c r="P245" t="n">
        <v>0</v>
      </c>
      <c r="Q245" t="n">
        <v>0</v>
      </c>
      <c r="R245" t="n">
        <v>0</v>
      </c>
      <c r="S245" t="n">
        <v>0</v>
      </c>
      <c r="T245" t="n">
        <v>0</v>
      </c>
      <c r="U245" s="2" t="inlineStr"/>
    </row>
    <row r="246" ht="15" customHeight="1">
      <c r="A246" t="inlineStr">
        <is>
          <t>A 30826-2025</t>
        </is>
      </c>
      <c r="B246" t="inlineStr">
        <is>
          <t>avverkningsanmälan</t>
        </is>
      </c>
      <c r="C246" t="inlineStr">
        <is>
          <t>Föryngringsavverkning</t>
        </is>
      </c>
      <c r="D246" s="1" t="n">
        <v>45831</v>
      </c>
      <c r="E246" s="1" t="n">
        <v>46222</v>
      </c>
      <c r="F246" t="inlineStr">
        <is>
          <t>GÄVLEBORGS LÄN</t>
        </is>
      </c>
      <c r="G246" t="inlineStr">
        <is>
          <t>OVANÅKER</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17962-2025</t>
        </is>
      </c>
      <c r="B247" t="inlineStr">
        <is>
          <t>avverkningsanmälan</t>
        </is>
      </c>
      <c r="C247" t="inlineStr">
        <is>
          <t>Föryngringsavverkning</t>
        </is>
      </c>
      <c r="D247" s="1" t="n">
        <v>45761</v>
      </c>
      <c r="E247" s="1" t="n">
        <v>46222</v>
      </c>
      <c r="F247" t="inlineStr">
        <is>
          <t>GÄVLEBORGS LÄN</t>
        </is>
      </c>
      <c r="G247" t="inlineStr">
        <is>
          <t>OVANÅKER</t>
        </is>
      </c>
      <c r="H247" t="inlineStr">
        <is>
          <t>Holmen skog AB</t>
        </is>
      </c>
      <c r="I247" t="n">
        <v>12.6</v>
      </c>
      <c r="J247" t="n">
        <v>0</v>
      </c>
      <c r="K247" t="n">
        <v>0</v>
      </c>
      <c r="L247" t="n">
        <v>0</v>
      </c>
      <c r="M247" t="n">
        <v>0</v>
      </c>
      <c r="N247" t="n">
        <v>0</v>
      </c>
      <c r="O247" t="n">
        <v>0</v>
      </c>
      <c r="P247" t="n">
        <v>0</v>
      </c>
      <c r="Q247" t="n">
        <v>0</v>
      </c>
      <c r="R247" t="n">
        <v>0</v>
      </c>
      <c r="S247" t="n">
        <v>0</v>
      </c>
      <c r="T247" t="n">
        <v>0</v>
      </c>
      <c r="U247" s="2" t="inlineStr"/>
    </row>
    <row r="248" ht="15" customHeight="1">
      <c r="A248" t="inlineStr">
        <is>
          <t>A 5479-2026</t>
        </is>
      </c>
      <c r="B248" t="inlineStr">
        <is>
          <t>avverkningsanmälan</t>
        </is>
      </c>
      <c r="C248" t="inlineStr">
        <is>
          <t>Föryngringsavverkning</t>
        </is>
      </c>
      <c r="D248" s="1" t="n">
        <v>46050</v>
      </c>
      <c r="E248" s="1" t="n">
        <v>46222</v>
      </c>
      <c r="F248" t="inlineStr">
        <is>
          <t>GÄVLEBORGS LÄN</t>
        </is>
      </c>
      <c r="G248" t="inlineStr">
        <is>
          <t>OVANÅKER</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42263-2025</t>
        </is>
      </c>
      <c r="B249" t="inlineStr">
        <is>
          <t>avverkningsanmälan</t>
        </is>
      </c>
      <c r="C249" t="inlineStr">
        <is>
          <t>Föryngringsavverkning</t>
        </is>
      </c>
      <c r="D249" s="1" t="n">
        <v>45904</v>
      </c>
      <c r="E249" s="1" t="n">
        <v>46222</v>
      </c>
      <c r="F249" t="inlineStr">
        <is>
          <t>GÄVLEBORGS LÄN</t>
        </is>
      </c>
      <c r="G249" t="inlineStr">
        <is>
          <t>OVANÅKER</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62215-2022</t>
        </is>
      </c>
      <c r="B250" t="inlineStr">
        <is>
          <t>avverkningsanmälan</t>
        </is>
      </c>
      <c r="C250" t="inlineStr">
        <is>
          <t>Föryngringsavverkning</t>
        </is>
      </c>
      <c r="D250" s="1" t="n">
        <v>44922</v>
      </c>
      <c r="E250" s="1" t="n">
        <v>46222</v>
      </c>
      <c r="F250" t="inlineStr">
        <is>
          <t>GÄVLEBORGS LÄN</t>
        </is>
      </c>
      <c r="G250" t="inlineStr">
        <is>
          <t>OVANÅKER</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42266-2025</t>
        </is>
      </c>
      <c r="B251" t="inlineStr">
        <is>
          <t>avverkningsanmälan</t>
        </is>
      </c>
      <c r="C251" t="inlineStr">
        <is>
          <t>Föryngringsavverkning</t>
        </is>
      </c>
      <c r="D251" s="1" t="n">
        <v>45904</v>
      </c>
      <c r="E251" s="1" t="n">
        <v>46222</v>
      </c>
      <c r="F251" t="inlineStr">
        <is>
          <t>GÄVLEBORGS LÄN</t>
        </is>
      </c>
      <c r="G251" t="inlineStr">
        <is>
          <t>OVANÅKER</t>
        </is>
      </c>
      <c r="I251" t="n">
        <v>3.1</v>
      </c>
      <c r="J251" t="n">
        <v>0</v>
      </c>
      <c r="K251" t="n">
        <v>0</v>
      </c>
      <c r="L251" t="n">
        <v>0</v>
      </c>
      <c r="M251" t="n">
        <v>0</v>
      </c>
      <c r="N251" t="n">
        <v>0</v>
      </c>
      <c r="O251" t="n">
        <v>0</v>
      </c>
      <c r="P251" t="n">
        <v>0</v>
      </c>
      <c r="Q251" t="n">
        <v>0</v>
      </c>
      <c r="R251" t="n">
        <v>0</v>
      </c>
      <c r="S251" t="n">
        <v>0</v>
      </c>
      <c r="T251" t="n">
        <v>0</v>
      </c>
      <c r="U251" s="2" t="inlineStr"/>
    </row>
    <row r="252" ht="15" customHeight="1">
      <c r="A252" t="inlineStr">
        <is>
          <t>A 42272-2025</t>
        </is>
      </c>
      <c r="B252" t="inlineStr">
        <is>
          <t>avverkningsanmälan</t>
        </is>
      </c>
      <c r="C252" t="inlineStr">
        <is>
          <t>Föryngringsavverkning</t>
        </is>
      </c>
      <c r="D252" s="1" t="n">
        <v>45904</v>
      </c>
      <c r="E252" s="1" t="n">
        <v>46222</v>
      </c>
      <c r="F252" t="inlineStr">
        <is>
          <t>GÄVLEBORGS LÄN</t>
        </is>
      </c>
      <c r="G252" t="inlineStr">
        <is>
          <t>OVANÅKER</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31458-2025</t>
        </is>
      </c>
      <c r="B253" t="inlineStr">
        <is>
          <t>avverkningsanmälan</t>
        </is>
      </c>
      <c r="C253" t="inlineStr">
        <is>
          <t>Föryngringsavverkning</t>
        </is>
      </c>
      <c r="D253" s="1" t="n">
        <v>45833</v>
      </c>
      <c r="E253" s="1" t="n">
        <v>46222</v>
      </c>
      <c r="F253" t="inlineStr">
        <is>
          <t>GÄVLEBORGS LÄN</t>
        </is>
      </c>
      <c r="G253" t="inlineStr">
        <is>
          <t>OVANÅKER</t>
        </is>
      </c>
      <c r="I253" t="n">
        <v>2.5</v>
      </c>
      <c r="J253" t="n">
        <v>0</v>
      </c>
      <c r="K253" t="n">
        <v>0</v>
      </c>
      <c r="L253" t="n">
        <v>0</v>
      </c>
      <c r="M253" t="n">
        <v>0</v>
      </c>
      <c r="N253" t="n">
        <v>0</v>
      </c>
      <c r="O253" t="n">
        <v>0</v>
      </c>
      <c r="P253" t="n">
        <v>0</v>
      </c>
      <c r="Q253" t="n">
        <v>0</v>
      </c>
      <c r="R253" t="n">
        <v>0</v>
      </c>
      <c r="S253" t="n">
        <v>0</v>
      </c>
      <c r="T253" t="n">
        <v>0</v>
      </c>
      <c r="U253" s="2" t="inlineStr"/>
    </row>
    <row r="254" ht="15" customHeight="1">
      <c r="A254" t="inlineStr">
        <is>
          <t>A 42259-2025</t>
        </is>
      </c>
      <c r="B254" t="inlineStr">
        <is>
          <t>avverkningsanmälan</t>
        </is>
      </c>
      <c r="C254" t="inlineStr">
        <is>
          <t>Föryngringsavverkning</t>
        </is>
      </c>
      <c r="D254" s="1" t="n">
        <v>45904</v>
      </c>
      <c r="E254" s="1" t="n">
        <v>46222</v>
      </c>
      <c r="F254" t="inlineStr">
        <is>
          <t>GÄVLEBORGS LÄN</t>
        </is>
      </c>
      <c r="G254" t="inlineStr">
        <is>
          <t>OVANÅKER</t>
        </is>
      </c>
      <c r="I254" t="n">
        <v>0.3</v>
      </c>
      <c r="J254" t="n">
        <v>0</v>
      </c>
      <c r="K254" t="n">
        <v>0</v>
      </c>
      <c r="L254" t="n">
        <v>0</v>
      </c>
      <c r="M254" t="n">
        <v>0</v>
      </c>
      <c r="N254" t="n">
        <v>0</v>
      </c>
      <c r="O254" t="n">
        <v>0</v>
      </c>
      <c r="P254" t="n">
        <v>0</v>
      </c>
      <c r="Q254" t="n">
        <v>0</v>
      </c>
      <c r="R254" t="n">
        <v>0</v>
      </c>
      <c r="S254" t="n">
        <v>0</v>
      </c>
      <c r="T254" t="n">
        <v>0</v>
      </c>
      <c r="U254" s="2" t="inlineStr"/>
    </row>
    <row r="255" ht="15" customHeight="1">
      <c r="A255" t="inlineStr">
        <is>
          <t>A 37391-2025</t>
        </is>
      </c>
      <c r="B255" t="inlineStr">
        <is>
          <t>avverkningsanmälan</t>
        </is>
      </c>
      <c r="C255" t="inlineStr">
        <is>
          <t>Föryngringsavverkning</t>
        </is>
      </c>
      <c r="D255" s="1" t="n">
        <v>45877</v>
      </c>
      <c r="E255" s="1" t="n">
        <v>46222</v>
      </c>
      <c r="F255" t="inlineStr">
        <is>
          <t>GÄVLEBORGS LÄN</t>
        </is>
      </c>
      <c r="G255" t="inlineStr">
        <is>
          <t>OVANÅKER</t>
        </is>
      </c>
      <c r="I255" t="n">
        <v>1.7</v>
      </c>
      <c r="J255" t="n">
        <v>0</v>
      </c>
      <c r="K255" t="n">
        <v>0</v>
      </c>
      <c r="L255" t="n">
        <v>0</v>
      </c>
      <c r="M255" t="n">
        <v>0</v>
      </c>
      <c r="N255" t="n">
        <v>0</v>
      </c>
      <c r="O255" t="n">
        <v>0</v>
      </c>
      <c r="P255" t="n">
        <v>0</v>
      </c>
      <c r="Q255" t="n">
        <v>0</v>
      </c>
      <c r="R255" t="n">
        <v>0</v>
      </c>
      <c r="S255" t="n">
        <v>0</v>
      </c>
      <c r="T255" t="n">
        <v>0</v>
      </c>
      <c r="U255" s="2" t="inlineStr"/>
    </row>
    <row r="256" ht="15" customHeight="1">
      <c r="A256" t="inlineStr">
        <is>
          <t>A 14575-2024</t>
        </is>
      </c>
      <c r="B256" t="inlineStr">
        <is>
          <t>avverkningsanmälan</t>
        </is>
      </c>
      <c r="C256" t="inlineStr">
        <is>
          <t>Föryngringsavverkning</t>
        </is>
      </c>
      <c r="D256" s="1" t="n">
        <v>45394</v>
      </c>
      <c r="E256" s="1" t="n">
        <v>46222</v>
      </c>
      <c r="F256" t="inlineStr">
        <is>
          <t>GÄVLEBORGS LÄN</t>
        </is>
      </c>
      <c r="G256" t="inlineStr">
        <is>
          <t>OVANÅKER</t>
        </is>
      </c>
      <c r="I256" t="n">
        <v>4.4</v>
      </c>
      <c r="J256" t="n">
        <v>0</v>
      </c>
      <c r="K256" t="n">
        <v>0</v>
      </c>
      <c r="L256" t="n">
        <v>0</v>
      </c>
      <c r="M256" t="n">
        <v>0</v>
      </c>
      <c r="N256" t="n">
        <v>0</v>
      </c>
      <c r="O256" t="n">
        <v>0</v>
      </c>
      <c r="P256" t="n">
        <v>0</v>
      </c>
      <c r="Q256" t="n">
        <v>0</v>
      </c>
      <c r="R256" t="n">
        <v>0</v>
      </c>
      <c r="S256" t="n">
        <v>0</v>
      </c>
      <c r="T256" t="n">
        <v>0</v>
      </c>
      <c r="U256" s="2" t="inlineStr"/>
    </row>
    <row r="257" ht="15" customHeight="1">
      <c r="A257" t="inlineStr">
        <is>
          <t>A 42356-2025</t>
        </is>
      </c>
      <c r="B257" t="inlineStr">
        <is>
          <t>avverkningsanmälan</t>
        </is>
      </c>
      <c r="C257" t="inlineStr">
        <is>
          <t>Föryngringsavverkning</t>
        </is>
      </c>
      <c r="D257" s="1" t="n">
        <v>45905</v>
      </c>
      <c r="E257" s="1" t="n">
        <v>46222</v>
      </c>
      <c r="F257" t="inlineStr">
        <is>
          <t>GÄVLEBORGS LÄN</t>
        </is>
      </c>
      <c r="G257" t="inlineStr">
        <is>
          <t>OVANÅKER</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5368-2026</t>
        </is>
      </c>
      <c r="B258" t="inlineStr">
        <is>
          <t>avverkningsanmälan</t>
        </is>
      </c>
      <c r="C258" t="inlineStr">
        <is>
          <t>Föryngringsavverkning</t>
        </is>
      </c>
      <c r="D258" s="1" t="n">
        <v>46050</v>
      </c>
      <c r="E258" s="1" t="n">
        <v>46222</v>
      </c>
      <c r="F258" t="inlineStr">
        <is>
          <t>GÄVLEBORGS LÄN</t>
        </is>
      </c>
      <c r="G258" t="inlineStr">
        <is>
          <t>OVANÅKER</t>
        </is>
      </c>
      <c r="I258" t="n">
        <v>4.7</v>
      </c>
      <c r="J258" t="n">
        <v>0</v>
      </c>
      <c r="K258" t="n">
        <v>0</v>
      </c>
      <c r="L258" t="n">
        <v>0</v>
      </c>
      <c r="M258" t="n">
        <v>0</v>
      </c>
      <c r="N258" t="n">
        <v>0</v>
      </c>
      <c r="O258" t="n">
        <v>0</v>
      </c>
      <c r="P258" t="n">
        <v>0</v>
      </c>
      <c r="Q258" t="n">
        <v>0</v>
      </c>
      <c r="R258" t="n">
        <v>0</v>
      </c>
      <c r="S258" t="n">
        <v>0</v>
      </c>
      <c r="T258" t="n">
        <v>0</v>
      </c>
      <c r="U258" s="2" t="inlineStr"/>
    </row>
    <row r="259" ht="15" customHeight="1">
      <c r="A259" t="inlineStr">
        <is>
          <t>A 5187-2026</t>
        </is>
      </c>
      <c r="B259" t="inlineStr">
        <is>
          <t>avverkningsanmälan</t>
        </is>
      </c>
      <c r="C259" t="inlineStr">
        <is>
          <t>Föryngringsavverkning</t>
        </is>
      </c>
      <c r="D259" s="1" t="n">
        <v>46049</v>
      </c>
      <c r="E259" s="1" t="n">
        <v>46222</v>
      </c>
      <c r="F259" t="inlineStr">
        <is>
          <t>GÄVLEBORGS LÄN</t>
        </is>
      </c>
      <c r="G259" t="inlineStr">
        <is>
          <t>OVANÅKER</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3586-2025</t>
        </is>
      </c>
      <c r="B260" t="inlineStr">
        <is>
          <t>avverkningsanmälan</t>
        </is>
      </c>
      <c r="C260" t="inlineStr">
        <is>
          <t>Föryngringsavverkning</t>
        </is>
      </c>
      <c r="D260" s="1" t="n">
        <v>45680</v>
      </c>
      <c r="E260" s="1" t="n">
        <v>46222</v>
      </c>
      <c r="F260" t="inlineStr">
        <is>
          <t>GÄVLEBORGS LÄN</t>
        </is>
      </c>
      <c r="G260" t="inlineStr">
        <is>
          <t>OVANÅKER</t>
        </is>
      </c>
      <c r="I260" t="n">
        <v>4.5</v>
      </c>
      <c r="J260" t="n">
        <v>0</v>
      </c>
      <c r="K260" t="n">
        <v>0</v>
      </c>
      <c r="L260" t="n">
        <v>0</v>
      </c>
      <c r="M260" t="n">
        <v>0</v>
      </c>
      <c r="N260" t="n">
        <v>0</v>
      </c>
      <c r="O260" t="n">
        <v>0</v>
      </c>
      <c r="P260" t="n">
        <v>0</v>
      </c>
      <c r="Q260" t="n">
        <v>0</v>
      </c>
      <c r="R260" t="n">
        <v>0</v>
      </c>
      <c r="S260" t="n">
        <v>0</v>
      </c>
      <c r="T260" t="n">
        <v>0</v>
      </c>
      <c r="U260" s="2" t="inlineStr"/>
    </row>
    <row r="261" ht="15" customHeight="1">
      <c r="A261" t="inlineStr">
        <is>
          <t>A 41415-2025</t>
        </is>
      </c>
      <c r="B261" t="inlineStr">
        <is>
          <t>avverkningsanmälan</t>
        </is>
      </c>
      <c r="C261" t="inlineStr">
        <is>
          <t>Föryngringsavverkning</t>
        </is>
      </c>
      <c r="D261" s="1" t="n">
        <v>45901</v>
      </c>
      <c r="E261" s="1" t="n">
        <v>46222</v>
      </c>
      <c r="F261" t="inlineStr">
        <is>
          <t>GÄVLEBORGS LÄN</t>
        </is>
      </c>
      <c r="G261" t="inlineStr">
        <is>
          <t>OVANÅKER</t>
        </is>
      </c>
      <c r="I261" t="n">
        <v>4.5</v>
      </c>
      <c r="J261" t="n">
        <v>0</v>
      </c>
      <c r="K261" t="n">
        <v>0</v>
      </c>
      <c r="L261" t="n">
        <v>0</v>
      </c>
      <c r="M261" t="n">
        <v>0</v>
      </c>
      <c r="N261" t="n">
        <v>0</v>
      </c>
      <c r="O261" t="n">
        <v>0</v>
      </c>
      <c r="P261" t="n">
        <v>0</v>
      </c>
      <c r="Q261" t="n">
        <v>0</v>
      </c>
      <c r="R261" t="n">
        <v>0</v>
      </c>
      <c r="S261" t="n">
        <v>0</v>
      </c>
      <c r="T261" t="n">
        <v>0</v>
      </c>
      <c r="U261" s="2" t="inlineStr"/>
    </row>
    <row r="262" ht="15" customHeight="1">
      <c r="A262" t="inlineStr">
        <is>
          <t>A 43018-2025</t>
        </is>
      </c>
      <c r="B262" t="inlineStr">
        <is>
          <t>avverkningsanmälan</t>
        </is>
      </c>
      <c r="C262" t="inlineStr">
        <is>
          <t>Föryngringsavverkning</t>
        </is>
      </c>
      <c r="D262" s="1" t="n">
        <v>45909</v>
      </c>
      <c r="E262" s="1" t="n">
        <v>46222</v>
      </c>
      <c r="F262" t="inlineStr">
        <is>
          <t>GÄVLEBORGS LÄN</t>
        </is>
      </c>
      <c r="G262" t="inlineStr">
        <is>
          <t>OVANÅKER</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5499-2026</t>
        </is>
      </c>
      <c r="B263" t="inlineStr">
        <is>
          <t>avverkningsanmälan</t>
        </is>
      </c>
      <c r="C263" t="inlineStr">
        <is>
          <t>Föryngringsavverkning</t>
        </is>
      </c>
      <c r="D263" s="1" t="n">
        <v>46050</v>
      </c>
      <c r="E263" s="1" t="n">
        <v>46222</v>
      </c>
      <c r="F263" t="inlineStr">
        <is>
          <t>GÄVLEBORGS LÄN</t>
        </is>
      </c>
      <c r="G263" t="inlineStr">
        <is>
          <t>OVANÅKER</t>
        </is>
      </c>
      <c r="I263" t="n">
        <v>8.300000000000001</v>
      </c>
      <c r="J263" t="n">
        <v>0</v>
      </c>
      <c r="K263" t="n">
        <v>0</v>
      </c>
      <c r="L263" t="n">
        <v>0</v>
      </c>
      <c r="M263" t="n">
        <v>0</v>
      </c>
      <c r="N263" t="n">
        <v>0</v>
      </c>
      <c r="O263" t="n">
        <v>0</v>
      </c>
      <c r="P263" t="n">
        <v>0</v>
      </c>
      <c r="Q263" t="n">
        <v>0</v>
      </c>
      <c r="R263" t="n">
        <v>0</v>
      </c>
      <c r="S263" t="n">
        <v>0</v>
      </c>
      <c r="T263" t="n">
        <v>0</v>
      </c>
      <c r="U263" s="2" t="inlineStr"/>
    </row>
    <row r="264" ht="15" customHeight="1">
      <c r="A264" t="inlineStr">
        <is>
          <t>A 5426-2026</t>
        </is>
      </c>
      <c r="B264" t="inlineStr">
        <is>
          <t>avverkningsanmälan</t>
        </is>
      </c>
      <c r="C264" t="inlineStr">
        <is>
          <t>Föryngringsavverkning</t>
        </is>
      </c>
      <c r="D264" s="1" t="n">
        <v>46050</v>
      </c>
      <c r="E264" s="1" t="n">
        <v>46222</v>
      </c>
      <c r="F264" t="inlineStr">
        <is>
          <t>GÄVLEBORGS LÄN</t>
        </is>
      </c>
      <c r="G264" t="inlineStr">
        <is>
          <t>OVANÅKER</t>
        </is>
      </c>
      <c r="I264" t="n">
        <v>2.8</v>
      </c>
      <c r="J264" t="n">
        <v>0</v>
      </c>
      <c r="K264" t="n">
        <v>0</v>
      </c>
      <c r="L264" t="n">
        <v>0</v>
      </c>
      <c r="M264" t="n">
        <v>0</v>
      </c>
      <c r="N264" t="n">
        <v>0</v>
      </c>
      <c r="O264" t="n">
        <v>0</v>
      </c>
      <c r="P264" t="n">
        <v>0</v>
      </c>
      <c r="Q264" t="n">
        <v>0</v>
      </c>
      <c r="R264" t="n">
        <v>0</v>
      </c>
      <c r="S264" t="n">
        <v>0</v>
      </c>
      <c r="T264" t="n">
        <v>0</v>
      </c>
      <c r="U264" s="2" t="inlineStr"/>
    </row>
    <row r="265" ht="15" customHeight="1">
      <c r="A265" t="inlineStr">
        <is>
          <t>A 5444-2026</t>
        </is>
      </c>
      <c r="B265" t="inlineStr">
        <is>
          <t>avverkningsanmälan</t>
        </is>
      </c>
      <c r="C265" t="inlineStr">
        <is>
          <t>Föryngringsavverkning</t>
        </is>
      </c>
      <c r="D265" s="1" t="n">
        <v>46050</v>
      </c>
      <c r="E265" s="1" t="n">
        <v>46222</v>
      </c>
      <c r="F265" t="inlineStr">
        <is>
          <t>GÄVLEBORGS LÄN</t>
        </is>
      </c>
      <c r="G265" t="inlineStr">
        <is>
          <t>OVANÅKER</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5862-2026</t>
        </is>
      </c>
      <c r="B266" t="inlineStr">
        <is>
          <t>avverkningsanmälan</t>
        </is>
      </c>
      <c r="C266" t="inlineStr">
        <is>
          <t>Föryngringsavverkning</t>
        </is>
      </c>
      <c r="D266" s="1" t="n">
        <v>46052</v>
      </c>
      <c r="E266" s="1" t="n">
        <v>46222</v>
      </c>
      <c r="F266" t="inlineStr">
        <is>
          <t>GÄVLEBORGS LÄN</t>
        </is>
      </c>
      <c r="G266" t="inlineStr">
        <is>
          <t>OVANÅKER</t>
        </is>
      </c>
      <c r="I266" t="n">
        <v>2</v>
      </c>
      <c r="J266" t="n">
        <v>0</v>
      </c>
      <c r="K266" t="n">
        <v>0</v>
      </c>
      <c r="L266" t="n">
        <v>0</v>
      </c>
      <c r="M266" t="n">
        <v>0</v>
      </c>
      <c r="N266" t="n">
        <v>0</v>
      </c>
      <c r="O266" t="n">
        <v>0</v>
      </c>
      <c r="P266" t="n">
        <v>0</v>
      </c>
      <c r="Q266" t="n">
        <v>0</v>
      </c>
      <c r="R266" t="n">
        <v>0</v>
      </c>
      <c r="S266" t="n">
        <v>0</v>
      </c>
      <c r="T266" t="n">
        <v>0</v>
      </c>
      <c r="U266" s="2" t="inlineStr"/>
    </row>
    <row r="267" ht="15" customHeight="1">
      <c r="A267" t="inlineStr">
        <is>
          <t>A 43807-2025</t>
        </is>
      </c>
      <c r="B267" t="inlineStr">
        <is>
          <t>avverkningsanmälan</t>
        </is>
      </c>
      <c r="C267" t="inlineStr">
        <is>
          <t>Föryngringsavverkning</t>
        </is>
      </c>
      <c r="D267" s="1" t="n">
        <v>45912</v>
      </c>
      <c r="E267" s="1" t="n">
        <v>46222</v>
      </c>
      <c r="F267" t="inlineStr">
        <is>
          <t>GÄVLEBORGS LÄN</t>
        </is>
      </c>
      <c r="G267" t="inlineStr">
        <is>
          <t>OVANÅKER</t>
        </is>
      </c>
      <c r="I267" t="n">
        <v>2.4</v>
      </c>
      <c r="J267" t="n">
        <v>0</v>
      </c>
      <c r="K267" t="n">
        <v>0</v>
      </c>
      <c r="L267" t="n">
        <v>0</v>
      </c>
      <c r="M267" t="n">
        <v>0</v>
      </c>
      <c r="N267" t="n">
        <v>0</v>
      </c>
      <c r="O267" t="n">
        <v>0</v>
      </c>
      <c r="P267" t="n">
        <v>0</v>
      </c>
      <c r="Q267" t="n">
        <v>0</v>
      </c>
      <c r="R267" t="n">
        <v>0</v>
      </c>
      <c r="S267" t="n">
        <v>0</v>
      </c>
      <c r="T267" t="n">
        <v>0</v>
      </c>
      <c r="U267" s="2" t="inlineStr"/>
    </row>
    <row r="268" ht="15" customHeight="1">
      <c r="A268" t="inlineStr">
        <is>
          <t>A 32926-2025</t>
        </is>
      </c>
      <c r="B268" t="inlineStr">
        <is>
          <t>avverkningsanmälan</t>
        </is>
      </c>
      <c r="C268" t="inlineStr">
        <is>
          <t>Föryngringsavverkning</t>
        </is>
      </c>
      <c r="D268" s="1" t="n">
        <v>45839</v>
      </c>
      <c r="E268" s="1" t="n">
        <v>46222</v>
      </c>
      <c r="F268" t="inlineStr">
        <is>
          <t>GÄVLEBORGS LÄN</t>
        </is>
      </c>
      <c r="G268" t="inlineStr">
        <is>
          <t>OVANÅKER</t>
        </is>
      </c>
      <c r="H268" t="inlineStr">
        <is>
          <t>Bergvik skog öst AB</t>
        </is>
      </c>
      <c r="I268" t="n">
        <v>2.6</v>
      </c>
      <c r="J268" t="n">
        <v>0</v>
      </c>
      <c r="K268" t="n">
        <v>0</v>
      </c>
      <c r="L268" t="n">
        <v>0</v>
      </c>
      <c r="M268" t="n">
        <v>0</v>
      </c>
      <c r="N268" t="n">
        <v>0</v>
      </c>
      <c r="O268" t="n">
        <v>0</v>
      </c>
      <c r="P268" t="n">
        <v>0</v>
      </c>
      <c r="Q268" t="n">
        <v>0</v>
      </c>
      <c r="R268" t="n">
        <v>0</v>
      </c>
      <c r="S268" t="n">
        <v>0</v>
      </c>
      <c r="T268" t="n">
        <v>0</v>
      </c>
      <c r="U268" s="2" t="inlineStr"/>
    </row>
    <row r="269" ht="15" customHeight="1">
      <c r="A269" t="inlineStr">
        <is>
          <t>A 5579-2026</t>
        </is>
      </c>
      <c r="B269" t="inlineStr">
        <is>
          <t>avverkningsanmälan</t>
        </is>
      </c>
      <c r="C269" t="inlineStr">
        <is>
          <t>Föryngringsavverkning</t>
        </is>
      </c>
      <c r="D269" s="1" t="n">
        <v>46051</v>
      </c>
      <c r="E269" s="1" t="n">
        <v>46222</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32914-2025</t>
        </is>
      </c>
      <c r="B270" t="inlineStr">
        <is>
          <t>avverkningsanmälan</t>
        </is>
      </c>
      <c r="C270" t="inlineStr">
        <is>
          <t>Föryngringsavverkning</t>
        </is>
      </c>
      <c r="D270" s="1" t="n">
        <v>45839</v>
      </c>
      <c r="E270" s="1" t="n">
        <v>46222</v>
      </c>
      <c r="F270" t="inlineStr">
        <is>
          <t>GÄVLEBORGS LÄN</t>
        </is>
      </c>
      <c r="G270" t="inlineStr">
        <is>
          <t>OVANÅKER</t>
        </is>
      </c>
      <c r="H270" t="inlineStr">
        <is>
          <t>Bergvik skog öst AB</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32886-2025</t>
        </is>
      </c>
      <c r="B271" t="inlineStr">
        <is>
          <t>avverkningsanmälan</t>
        </is>
      </c>
      <c r="C271" t="inlineStr">
        <is>
          <t>Föryngringsavverkning</t>
        </is>
      </c>
      <c r="D271" s="1" t="n">
        <v>45839</v>
      </c>
      <c r="E271" s="1" t="n">
        <v>46222</v>
      </c>
      <c r="F271" t="inlineStr">
        <is>
          <t>GÄVLEBORGS LÄN</t>
        </is>
      </c>
      <c r="G271" t="inlineStr">
        <is>
          <t>OVANÅKER</t>
        </is>
      </c>
      <c r="H271" t="inlineStr">
        <is>
          <t>Bergvik skog öst AB</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32930-2025</t>
        </is>
      </c>
      <c r="B272" t="inlineStr">
        <is>
          <t>avverkningsanmälan</t>
        </is>
      </c>
      <c r="C272" t="inlineStr">
        <is>
          <t>Föryngringsavverkning</t>
        </is>
      </c>
      <c r="D272" s="1" t="n">
        <v>45839</v>
      </c>
      <c r="E272" s="1" t="n">
        <v>46222</v>
      </c>
      <c r="F272" t="inlineStr">
        <is>
          <t>GÄVLEBORGS LÄN</t>
        </is>
      </c>
      <c r="G272" t="inlineStr">
        <is>
          <t>OVANÅKER</t>
        </is>
      </c>
      <c r="H272" t="inlineStr">
        <is>
          <t>Bergvik skog öst AB</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32932-2025</t>
        </is>
      </c>
      <c r="B273" t="inlineStr">
        <is>
          <t>avverkningsanmälan</t>
        </is>
      </c>
      <c r="C273" t="inlineStr">
        <is>
          <t>Föryngringsavverkning</t>
        </is>
      </c>
      <c r="D273" s="1" t="n">
        <v>45839</v>
      </c>
      <c r="E273" s="1" t="n">
        <v>46222</v>
      </c>
      <c r="F273" t="inlineStr">
        <is>
          <t>GÄVLEBORGS LÄN</t>
        </is>
      </c>
      <c r="G273" t="inlineStr">
        <is>
          <t>OVANÅKER</t>
        </is>
      </c>
      <c r="H273" t="inlineStr">
        <is>
          <t>Bergvik skog öst AB</t>
        </is>
      </c>
      <c r="I273" t="n">
        <v>9.6</v>
      </c>
      <c r="J273" t="n">
        <v>0</v>
      </c>
      <c r="K273" t="n">
        <v>0</v>
      </c>
      <c r="L273" t="n">
        <v>0</v>
      </c>
      <c r="M273" t="n">
        <v>0</v>
      </c>
      <c r="N273" t="n">
        <v>0</v>
      </c>
      <c r="O273" t="n">
        <v>0</v>
      </c>
      <c r="P273" t="n">
        <v>0</v>
      </c>
      <c r="Q273" t="n">
        <v>0</v>
      </c>
      <c r="R273" t="n">
        <v>0</v>
      </c>
      <c r="S273" t="n">
        <v>0</v>
      </c>
      <c r="T273" t="n">
        <v>0</v>
      </c>
      <c r="U273" s="2" t="inlineStr"/>
    </row>
    <row r="274" ht="15" customHeight="1">
      <c r="A274" t="inlineStr">
        <is>
          <t>A 44398-2025</t>
        </is>
      </c>
      <c r="B274" t="inlineStr">
        <is>
          <t>avverkningsanmälan</t>
        </is>
      </c>
      <c r="C274" t="inlineStr">
        <is>
          <t>Föryngringsavverkning</t>
        </is>
      </c>
      <c r="D274" s="1" t="n">
        <v>45916</v>
      </c>
      <c r="E274" s="1" t="n">
        <v>46222</v>
      </c>
      <c r="F274" t="inlineStr">
        <is>
          <t>GÄVLEBORGS LÄN</t>
        </is>
      </c>
      <c r="G274" t="inlineStr">
        <is>
          <t>OVANÅKER</t>
        </is>
      </c>
      <c r="I274" t="n">
        <v>9.199999999999999</v>
      </c>
      <c r="J274" t="n">
        <v>0</v>
      </c>
      <c r="K274" t="n">
        <v>0</v>
      </c>
      <c r="L274" t="n">
        <v>0</v>
      </c>
      <c r="M274" t="n">
        <v>0</v>
      </c>
      <c r="N274" t="n">
        <v>0</v>
      </c>
      <c r="O274" t="n">
        <v>0</v>
      </c>
      <c r="P274" t="n">
        <v>0</v>
      </c>
      <c r="Q274" t="n">
        <v>0</v>
      </c>
      <c r="R274" t="n">
        <v>0</v>
      </c>
      <c r="S274" t="n">
        <v>0</v>
      </c>
      <c r="T274" t="n">
        <v>0</v>
      </c>
      <c r="U274" s="2" t="inlineStr"/>
    </row>
    <row r="275" ht="15" customHeight="1">
      <c r="A275" t="inlineStr">
        <is>
          <t>A 33459-2025</t>
        </is>
      </c>
      <c r="B275" t="inlineStr">
        <is>
          <t>avverkningsanmälan</t>
        </is>
      </c>
      <c r="C275" t="inlineStr">
        <is>
          <t>Föryngringsavverkning</t>
        </is>
      </c>
      <c r="D275" s="1" t="n">
        <v>45841</v>
      </c>
      <c r="E275" s="1" t="n">
        <v>46222</v>
      </c>
      <c r="F275" t="inlineStr">
        <is>
          <t>GÄVLEBORGS LÄN</t>
        </is>
      </c>
      <c r="G275" t="inlineStr">
        <is>
          <t>OVANÅKER</t>
        </is>
      </c>
      <c r="H275" t="inlineStr">
        <is>
          <t>Bergvik skog väst AB</t>
        </is>
      </c>
      <c r="I275" t="n">
        <v>4.7</v>
      </c>
      <c r="J275" t="n">
        <v>0</v>
      </c>
      <c r="K275" t="n">
        <v>0</v>
      </c>
      <c r="L275" t="n">
        <v>0</v>
      </c>
      <c r="M275" t="n">
        <v>0</v>
      </c>
      <c r="N275" t="n">
        <v>0</v>
      </c>
      <c r="O275" t="n">
        <v>0</v>
      </c>
      <c r="P275" t="n">
        <v>0</v>
      </c>
      <c r="Q275" t="n">
        <v>0</v>
      </c>
      <c r="R275" t="n">
        <v>0</v>
      </c>
      <c r="S275" t="n">
        <v>0</v>
      </c>
      <c r="T275" t="n">
        <v>0</v>
      </c>
      <c r="U275" s="2" t="inlineStr"/>
    </row>
    <row r="276" ht="15" customHeight="1">
      <c r="A276" t="inlineStr">
        <is>
          <t>A 5588-2026</t>
        </is>
      </c>
      <c r="B276" t="inlineStr">
        <is>
          <t>avverkningsanmälan</t>
        </is>
      </c>
      <c r="C276" t="inlineStr">
        <is>
          <t>Föryngringsavverkning</t>
        </is>
      </c>
      <c r="D276" s="1" t="n">
        <v>46051</v>
      </c>
      <c r="E276" s="1" t="n">
        <v>46222</v>
      </c>
      <c r="F276" t="inlineStr">
        <is>
          <t>GÄVLEBORGS LÄN</t>
        </is>
      </c>
      <c r="G276" t="inlineStr">
        <is>
          <t>OVANÅKER</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44538-2025</t>
        </is>
      </c>
      <c r="B277" t="inlineStr">
        <is>
          <t>avverkningsanmälan</t>
        </is>
      </c>
      <c r="C277" t="inlineStr">
        <is>
          <t>Föryngringsavverkning</t>
        </is>
      </c>
      <c r="D277" s="1" t="n">
        <v>45917</v>
      </c>
      <c r="E277" s="1" t="n">
        <v>46222</v>
      </c>
      <c r="F277" t="inlineStr">
        <is>
          <t>GÄVLEBORGS LÄN</t>
        </is>
      </c>
      <c r="G277" t="inlineStr">
        <is>
          <t>OVANÅKER</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5868-2026</t>
        </is>
      </c>
      <c r="B278" t="inlineStr">
        <is>
          <t>avverkningsanmälan</t>
        </is>
      </c>
      <c r="C278" t="inlineStr">
        <is>
          <t>Föryngringsavverkning</t>
        </is>
      </c>
      <c r="D278" s="1" t="n">
        <v>46052</v>
      </c>
      <c r="E278" s="1" t="n">
        <v>46222</v>
      </c>
      <c r="F278" t="inlineStr">
        <is>
          <t>GÄVLEBORGS LÄN</t>
        </is>
      </c>
      <c r="G278" t="inlineStr">
        <is>
          <t>OVANÅKER</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45069-2025</t>
        </is>
      </c>
      <c r="B279" t="inlineStr">
        <is>
          <t>avverkningsanmälan</t>
        </is>
      </c>
      <c r="C279" t="inlineStr">
        <is>
          <t>Föryngringsavverkning</t>
        </is>
      </c>
      <c r="D279" s="1" t="n">
        <v>45919</v>
      </c>
      <c r="E279" s="1" t="n">
        <v>46222</v>
      </c>
      <c r="F279" t="inlineStr">
        <is>
          <t>GÄVLEBORGS LÄN</t>
        </is>
      </c>
      <c r="G279" t="inlineStr">
        <is>
          <t>OVANÅKER</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6032-2026</t>
        </is>
      </c>
      <c r="B280" t="inlineStr">
        <is>
          <t>avverkningsanmälan</t>
        </is>
      </c>
      <c r="C280" t="inlineStr">
        <is>
          <t>Föryngringsavverkning</t>
        </is>
      </c>
      <c r="D280" s="1" t="n">
        <v>46052</v>
      </c>
      <c r="E280" s="1" t="n">
        <v>46222</v>
      </c>
      <c r="F280" t="inlineStr">
        <is>
          <t>GÄVLEBORGS LÄN</t>
        </is>
      </c>
      <c r="G280" t="inlineStr">
        <is>
          <t>OVANÅKER</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5889-2026</t>
        </is>
      </c>
      <c r="B281" t="inlineStr">
        <is>
          <t>avverkningsanmälan</t>
        </is>
      </c>
      <c r="C281" t="inlineStr">
        <is>
          <t>Föryngringsavverkning</t>
        </is>
      </c>
      <c r="D281" s="1" t="n">
        <v>46052</v>
      </c>
      <c r="E281" s="1" t="n">
        <v>46222</v>
      </c>
      <c r="F281" t="inlineStr">
        <is>
          <t>GÄVLEBORGS LÄN</t>
        </is>
      </c>
      <c r="G281" t="inlineStr">
        <is>
          <t>OVANÅKER</t>
        </is>
      </c>
      <c r="I281" t="n">
        <v>3.4</v>
      </c>
      <c r="J281" t="n">
        <v>0</v>
      </c>
      <c r="K281" t="n">
        <v>0</v>
      </c>
      <c r="L281" t="n">
        <v>0</v>
      </c>
      <c r="M281" t="n">
        <v>0</v>
      </c>
      <c r="N281" t="n">
        <v>0</v>
      </c>
      <c r="O281" t="n">
        <v>0</v>
      </c>
      <c r="P281" t="n">
        <v>0</v>
      </c>
      <c r="Q281" t="n">
        <v>0</v>
      </c>
      <c r="R281" t="n">
        <v>0</v>
      </c>
      <c r="S281" t="n">
        <v>0</v>
      </c>
      <c r="T281" t="n">
        <v>0</v>
      </c>
      <c r="U281" s="2" t="inlineStr"/>
    </row>
    <row r="282" ht="15" customHeight="1">
      <c r="A282" t="inlineStr">
        <is>
          <t>A 45193-2025</t>
        </is>
      </c>
      <c r="B282" t="inlineStr">
        <is>
          <t>avverkningsanmälan</t>
        </is>
      </c>
      <c r="C282" t="inlineStr">
        <is>
          <t>Föryngringsavverkning</t>
        </is>
      </c>
      <c r="D282" s="1" t="n">
        <v>45919</v>
      </c>
      <c r="E282" s="1" t="n">
        <v>46222</v>
      </c>
      <c r="F282" t="inlineStr">
        <is>
          <t>GÄVLEBORGS LÄN</t>
        </is>
      </c>
      <c r="G282" t="inlineStr">
        <is>
          <t>OVANÅKER</t>
        </is>
      </c>
      <c r="H282" t="inlineStr">
        <is>
          <t>Holmen skog AB</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6752-2026</t>
        </is>
      </c>
      <c r="B283" t="inlineStr">
        <is>
          <t>avverkningsanmälan</t>
        </is>
      </c>
      <c r="C283" t="inlineStr">
        <is>
          <t>Föryngringsavverkning</t>
        </is>
      </c>
      <c r="D283" s="1" t="n">
        <v>46056</v>
      </c>
      <c r="E283" s="1" t="n">
        <v>46222</v>
      </c>
      <c r="F283" t="inlineStr">
        <is>
          <t>GÄVLEBORGS LÄN</t>
        </is>
      </c>
      <c r="G283" t="inlineStr">
        <is>
          <t>OVANÅKER</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45204-2025</t>
        </is>
      </c>
      <c r="B284" t="inlineStr">
        <is>
          <t>avverkningsanmälan</t>
        </is>
      </c>
      <c r="C284" t="inlineStr">
        <is>
          <t>Föryngringsavverkning</t>
        </is>
      </c>
      <c r="D284" s="1" t="n">
        <v>45919</v>
      </c>
      <c r="E284" s="1" t="n">
        <v>46222</v>
      </c>
      <c r="F284" t="inlineStr">
        <is>
          <t>GÄVLEBORGS LÄN</t>
        </is>
      </c>
      <c r="G284" t="inlineStr">
        <is>
          <t>OVANÅKER</t>
        </is>
      </c>
      <c r="H284" t="inlineStr">
        <is>
          <t>Holmen skog AB</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6148-2026</t>
        </is>
      </c>
      <c r="B285" t="inlineStr">
        <is>
          <t>avverkningsanmälan</t>
        </is>
      </c>
      <c r="C285" t="inlineStr">
        <is>
          <t>Föryngringsavverkning</t>
        </is>
      </c>
      <c r="D285" s="1" t="n">
        <v>46054</v>
      </c>
      <c r="E285" s="1" t="n">
        <v>46222</v>
      </c>
      <c r="F285" t="inlineStr">
        <is>
          <t>GÄVLEBORGS LÄN</t>
        </is>
      </c>
      <c r="G285" t="inlineStr">
        <is>
          <t>OVANÅKER</t>
        </is>
      </c>
      <c r="I285" t="n">
        <v>3.9</v>
      </c>
      <c r="J285" t="n">
        <v>0</v>
      </c>
      <c r="K285" t="n">
        <v>0</v>
      </c>
      <c r="L285" t="n">
        <v>0</v>
      </c>
      <c r="M285" t="n">
        <v>0</v>
      </c>
      <c r="N285" t="n">
        <v>0</v>
      </c>
      <c r="O285" t="n">
        <v>0</v>
      </c>
      <c r="P285" t="n">
        <v>0</v>
      </c>
      <c r="Q285" t="n">
        <v>0</v>
      </c>
      <c r="R285" t="n">
        <v>0</v>
      </c>
      <c r="S285" t="n">
        <v>0</v>
      </c>
      <c r="T285" t="n">
        <v>0</v>
      </c>
      <c r="U285" s="2" t="inlineStr"/>
    </row>
    <row r="286" ht="15" customHeight="1">
      <c r="A286" t="inlineStr">
        <is>
          <t>A 49856-2024</t>
        </is>
      </c>
      <c r="B286" t="inlineStr">
        <is>
          <t>avverkningsanmälan</t>
        </is>
      </c>
      <c r="C286" t="inlineStr">
        <is>
          <t>Föryngringsavverkning</t>
        </is>
      </c>
      <c r="D286" s="1" t="n">
        <v>45597</v>
      </c>
      <c r="E286" s="1" t="n">
        <v>46222</v>
      </c>
      <c r="F286" t="inlineStr">
        <is>
          <t>GÄVLEBORGS LÄN</t>
        </is>
      </c>
      <c r="G286" t="inlineStr">
        <is>
          <t>OVANÅKER</t>
        </is>
      </c>
      <c r="I286" t="n">
        <v>3.4</v>
      </c>
      <c r="J286" t="n">
        <v>0</v>
      </c>
      <c r="K286" t="n">
        <v>0</v>
      </c>
      <c r="L286" t="n">
        <v>0</v>
      </c>
      <c r="M286" t="n">
        <v>0</v>
      </c>
      <c r="N286" t="n">
        <v>0</v>
      </c>
      <c r="O286" t="n">
        <v>0</v>
      </c>
      <c r="P286" t="n">
        <v>0</v>
      </c>
      <c r="Q286" t="n">
        <v>0</v>
      </c>
      <c r="R286" t="n">
        <v>0</v>
      </c>
      <c r="S286" t="n">
        <v>0</v>
      </c>
      <c r="T286" t="n">
        <v>0</v>
      </c>
      <c r="U286" s="2" t="inlineStr"/>
    </row>
    <row r="287" ht="15" customHeight="1">
      <c r="A287" t="inlineStr">
        <is>
          <t>A 49857-2024</t>
        </is>
      </c>
      <c r="B287" t="inlineStr">
        <is>
          <t>avverkningsanmälan</t>
        </is>
      </c>
      <c r="C287" t="inlineStr">
        <is>
          <t>Föryngringsavverkning</t>
        </is>
      </c>
      <c r="D287" s="1" t="n">
        <v>45597</v>
      </c>
      <c r="E287" s="1" t="n">
        <v>46222</v>
      </c>
      <c r="F287" t="inlineStr">
        <is>
          <t>GÄVLEBORGS LÄN</t>
        </is>
      </c>
      <c r="G287" t="inlineStr">
        <is>
          <t>OVANÅKER</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6150-2026</t>
        </is>
      </c>
      <c r="B288" t="inlineStr">
        <is>
          <t>avverkningsanmälan</t>
        </is>
      </c>
      <c r="C288" t="inlineStr">
        <is>
          <t>Föryngringsavverkning</t>
        </is>
      </c>
      <c r="D288" s="1" t="n">
        <v>46054</v>
      </c>
      <c r="E288" s="1" t="n">
        <v>46222</v>
      </c>
      <c r="F288" t="inlineStr">
        <is>
          <t>GÄVLEBORGS LÄN</t>
        </is>
      </c>
      <c r="G288" t="inlineStr">
        <is>
          <t>OVANÅKER</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34321-2025</t>
        </is>
      </c>
      <c r="B289" t="inlineStr">
        <is>
          <t>avverkningsanmälan</t>
        </is>
      </c>
      <c r="C289" t="inlineStr">
        <is>
          <t>Föryngringsavverkning</t>
        </is>
      </c>
      <c r="D289" s="1" t="n">
        <v>45846</v>
      </c>
      <c r="E289" s="1" t="n">
        <v>46222</v>
      </c>
      <c r="F289" t="inlineStr">
        <is>
          <t>GÄVLEBORGS LÄN</t>
        </is>
      </c>
      <c r="G289" t="inlineStr">
        <is>
          <t>OVANÅKER</t>
        </is>
      </c>
      <c r="H289" t="inlineStr">
        <is>
          <t>Sveaskog</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45939-2025</t>
        </is>
      </c>
      <c r="B290" t="inlineStr">
        <is>
          <t>avverkningsanmälan</t>
        </is>
      </c>
      <c r="C290" t="inlineStr">
        <is>
          <t>Föryngringsavverkning</t>
        </is>
      </c>
      <c r="D290" s="1" t="n">
        <v>45924</v>
      </c>
      <c r="E290" s="1" t="n">
        <v>46222</v>
      </c>
      <c r="F290" t="inlineStr">
        <is>
          <t>GÄVLEBORGS LÄN</t>
        </is>
      </c>
      <c r="G290" t="inlineStr">
        <is>
          <t>OVANÅKER</t>
        </is>
      </c>
      <c r="I290" t="n">
        <v>2.7</v>
      </c>
      <c r="J290" t="n">
        <v>0</v>
      </c>
      <c r="K290" t="n">
        <v>0</v>
      </c>
      <c r="L290" t="n">
        <v>0</v>
      </c>
      <c r="M290" t="n">
        <v>0</v>
      </c>
      <c r="N290" t="n">
        <v>0</v>
      </c>
      <c r="O290" t="n">
        <v>0</v>
      </c>
      <c r="P290" t="n">
        <v>0</v>
      </c>
      <c r="Q290" t="n">
        <v>0</v>
      </c>
      <c r="R290" t="n">
        <v>0</v>
      </c>
      <c r="S290" t="n">
        <v>0</v>
      </c>
      <c r="T290" t="n">
        <v>0</v>
      </c>
      <c r="U290" s="2" t="inlineStr"/>
    </row>
    <row r="291" ht="15" customHeight="1">
      <c r="A291" t="inlineStr">
        <is>
          <t>A 46188-2025</t>
        </is>
      </c>
      <c r="B291" t="inlineStr">
        <is>
          <t>avverkningsanmälan</t>
        </is>
      </c>
      <c r="C291" t="inlineStr">
        <is>
          <t>Föryngringsavverkning</t>
        </is>
      </c>
      <c r="D291" s="1" t="n">
        <v>45924</v>
      </c>
      <c r="E291" s="1" t="n">
        <v>46222</v>
      </c>
      <c r="F291" t="inlineStr">
        <is>
          <t>GÄVLEBORGS LÄN</t>
        </is>
      </c>
      <c r="G291" t="inlineStr">
        <is>
          <t>OVANÅKER</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46399-2025</t>
        </is>
      </c>
      <c r="B292" t="inlineStr">
        <is>
          <t>avverkningsanmälan</t>
        </is>
      </c>
      <c r="C292" t="inlineStr">
        <is>
          <t>Föryngringsavverkning</t>
        </is>
      </c>
      <c r="D292" s="1" t="n">
        <v>45925</v>
      </c>
      <c r="E292" s="1" t="n">
        <v>46222</v>
      </c>
      <c r="F292" t="inlineStr">
        <is>
          <t>GÄVLEBORGS LÄN</t>
        </is>
      </c>
      <c r="G292" t="inlineStr">
        <is>
          <t>OVANÅKER</t>
        </is>
      </c>
      <c r="I292" t="n">
        <v>6</v>
      </c>
      <c r="J292" t="n">
        <v>0</v>
      </c>
      <c r="K292" t="n">
        <v>0</v>
      </c>
      <c r="L292" t="n">
        <v>0</v>
      </c>
      <c r="M292" t="n">
        <v>0</v>
      </c>
      <c r="N292" t="n">
        <v>0</v>
      </c>
      <c r="O292" t="n">
        <v>0</v>
      </c>
      <c r="P292" t="n">
        <v>0</v>
      </c>
      <c r="Q292" t="n">
        <v>0</v>
      </c>
      <c r="R292" t="n">
        <v>0</v>
      </c>
      <c r="S292" t="n">
        <v>0</v>
      </c>
      <c r="T292" t="n">
        <v>0</v>
      </c>
      <c r="U292" s="2" t="inlineStr"/>
    </row>
    <row r="293" ht="15" customHeight="1">
      <c r="A293" t="inlineStr">
        <is>
          <t>A 46614-2025</t>
        </is>
      </c>
      <c r="B293" t="inlineStr">
        <is>
          <t>avverkningsanmälan</t>
        </is>
      </c>
      <c r="C293" t="inlineStr">
        <is>
          <t>Föryngringsavverkning</t>
        </is>
      </c>
      <c r="D293" s="1" t="n">
        <v>45926</v>
      </c>
      <c r="E293" s="1" t="n">
        <v>46222</v>
      </c>
      <c r="F293" t="inlineStr">
        <is>
          <t>GÄVLEBORGS LÄN</t>
        </is>
      </c>
      <c r="G293" t="inlineStr">
        <is>
          <t>OVANÅKER</t>
        </is>
      </c>
      <c r="I293" t="n">
        <v>7</v>
      </c>
      <c r="J293" t="n">
        <v>0</v>
      </c>
      <c r="K293" t="n">
        <v>0</v>
      </c>
      <c r="L293" t="n">
        <v>0</v>
      </c>
      <c r="M293" t="n">
        <v>0</v>
      </c>
      <c r="N293" t="n">
        <v>0</v>
      </c>
      <c r="O293" t="n">
        <v>0</v>
      </c>
      <c r="P293" t="n">
        <v>0</v>
      </c>
      <c r="Q293" t="n">
        <v>0</v>
      </c>
      <c r="R293" t="n">
        <v>0</v>
      </c>
      <c r="S293" t="n">
        <v>0</v>
      </c>
      <c r="T293" t="n">
        <v>0</v>
      </c>
      <c r="U293" s="2" t="inlineStr"/>
    </row>
    <row r="294" ht="15" customHeight="1">
      <c r="A294" t="inlineStr">
        <is>
          <t>A 35075-2025</t>
        </is>
      </c>
      <c r="B294" t="inlineStr">
        <is>
          <t>avverkningsanmälan</t>
        </is>
      </c>
      <c r="C294" t="inlineStr">
        <is>
          <t>Föryngringsavverkning</t>
        </is>
      </c>
      <c r="D294" s="1" t="n">
        <v>45852</v>
      </c>
      <c r="E294" s="1" t="n">
        <v>46222</v>
      </c>
      <c r="F294" t="inlineStr">
        <is>
          <t>GÄVLEBORGS LÄN</t>
        </is>
      </c>
      <c r="G294" t="inlineStr">
        <is>
          <t>OVANÅKER</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35069-2025</t>
        </is>
      </c>
      <c r="B295" t="inlineStr">
        <is>
          <t>avverkningsanmälan</t>
        </is>
      </c>
      <c r="C295" t="inlineStr">
        <is>
          <t>Föryngringsavverkning</t>
        </is>
      </c>
      <c r="D295" s="1" t="n">
        <v>45852</v>
      </c>
      <c r="E295" s="1" t="n">
        <v>46222</v>
      </c>
      <c r="F295" t="inlineStr">
        <is>
          <t>GÄVLEBORGS LÄN</t>
        </is>
      </c>
      <c r="G295" t="inlineStr">
        <is>
          <t>OVANÅKER</t>
        </is>
      </c>
      <c r="H295" t="inlineStr">
        <is>
          <t>Bergvik skog väst AB</t>
        </is>
      </c>
      <c r="I295" t="n">
        <v>5.6</v>
      </c>
      <c r="J295" t="n">
        <v>0</v>
      </c>
      <c r="K295" t="n">
        <v>0</v>
      </c>
      <c r="L295" t="n">
        <v>0</v>
      </c>
      <c r="M295" t="n">
        <v>0</v>
      </c>
      <c r="N295" t="n">
        <v>0</v>
      </c>
      <c r="O295" t="n">
        <v>0</v>
      </c>
      <c r="P295" t="n">
        <v>0</v>
      </c>
      <c r="Q295" t="n">
        <v>0</v>
      </c>
      <c r="R295" t="n">
        <v>0</v>
      </c>
      <c r="S295" t="n">
        <v>0</v>
      </c>
      <c r="T295" t="n">
        <v>0</v>
      </c>
      <c r="U295" s="2" t="inlineStr"/>
    </row>
    <row r="296" ht="15" customHeight="1">
      <c r="A296" t="inlineStr">
        <is>
          <t>A 6113-2026</t>
        </is>
      </c>
      <c r="B296" t="inlineStr">
        <is>
          <t>avverkningsanmälan</t>
        </is>
      </c>
      <c r="C296" t="inlineStr">
        <is>
          <t>Föryngringsavverkning</t>
        </is>
      </c>
      <c r="D296" s="1" t="n">
        <v>46053</v>
      </c>
      <c r="E296" s="1" t="n">
        <v>46222</v>
      </c>
      <c r="F296" t="inlineStr">
        <is>
          <t>GÄVLEBORGS LÄN</t>
        </is>
      </c>
      <c r="G296" t="inlineStr">
        <is>
          <t>OVANÅKER</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5271-2023</t>
        </is>
      </c>
      <c r="B297" t="inlineStr">
        <is>
          <t>avverkningsanmälan</t>
        </is>
      </c>
      <c r="C297" t="inlineStr">
        <is>
          <t>Föryngringsavverkning</t>
        </is>
      </c>
      <c r="D297" s="1" t="n">
        <v>44959</v>
      </c>
      <c r="E297" s="1" t="n">
        <v>46222</v>
      </c>
      <c r="F297" t="inlineStr">
        <is>
          <t>GÄVLEBORGS LÄN</t>
        </is>
      </c>
      <c r="G297" t="inlineStr">
        <is>
          <t>OVANÅKER</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5300-2023</t>
        </is>
      </c>
      <c r="B298" t="inlineStr">
        <is>
          <t>avverkningsanmälan</t>
        </is>
      </c>
      <c r="C298" t="inlineStr">
        <is>
          <t>Föryngringsavverkning</t>
        </is>
      </c>
      <c r="D298" s="1" t="n">
        <v>44959</v>
      </c>
      <c r="E298" s="1" t="n">
        <v>46222</v>
      </c>
      <c r="F298" t="inlineStr">
        <is>
          <t>GÄVLEBORGS LÄN</t>
        </is>
      </c>
      <c r="G298" t="inlineStr">
        <is>
          <t>OVANÅKER</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13365-2023</t>
        </is>
      </c>
      <c r="B299" t="inlineStr">
        <is>
          <t>avverkningsanmälan</t>
        </is>
      </c>
      <c r="C299" t="inlineStr">
        <is>
          <t>Föryngringsavverkning</t>
        </is>
      </c>
      <c r="D299" s="1" t="n">
        <v>45005</v>
      </c>
      <c r="E299" s="1" t="n">
        <v>46222</v>
      </c>
      <c r="F299" t="inlineStr">
        <is>
          <t>GÄVLEBORGS LÄN</t>
        </is>
      </c>
      <c r="G299" t="inlineStr">
        <is>
          <t>OVANÅKER</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35302-2025</t>
        </is>
      </c>
      <c r="B300" t="inlineStr">
        <is>
          <t>avverkningsanmälan</t>
        </is>
      </c>
      <c r="C300" t="inlineStr">
        <is>
          <t>Föryngringsavverkning</t>
        </is>
      </c>
      <c r="D300" s="1" t="n">
        <v>45854</v>
      </c>
      <c r="E300" s="1" t="n">
        <v>46222</v>
      </c>
      <c r="F300" t="inlineStr">
        <is>
          <t>GÄVLEBORGS LÄN</t>
        </is>
      </c>
      <c r="G300" t="inlineStr">
        <is>
          <t>OVANÅKER</t>
        </is>
      </c>
      <c r="H300" t="inlineStr">
        <is>
          <t>Bergvik skog väst AB</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35311-2025</t>
        </is>
      </c>
      <c r="B301" t="inlineStr">
        <is>
          <t>avverkningsanmälan</t>
        </is>
      </c>
      <c r="C301" t="inlineStr">
        <is>
          <t>Föryngringsavverkning</t>
        </is>
      </c>
      <c r="D301" s="1" t="n">
        <v>45854</v>
      </c>
      <c r="E301" s="1" t="n">
        <v>46222</v>
      </c>
      <c r="F301" t="inlineStr">
        <is>
          <t>GÄVLEBORGS LÄN</t>
        </is>
      </c>
      <c r="G301" t="inlineStr">
        <is>
          <t>OVANÅKER</t>
        </is>
      </c>
      <c r="H301" t="inlineStr">
        <is>
          <t>Bergvik skog väst AB</t>
        </is>
      </c>
      <c r="I301" t="n">
        <v>4.2</v>
      </c>
      <c r="J301" t="n">
        <v>0</v>
      </c>
      <c r="K301" t="n">
        <v>0</v>
      </c>
      <c r="L301" t="n">
        <v>0</v>
      </c>
      <c r="M301" t="n">
        <v>0</v>
      </c>
      <c r="N301" t="n">
        <v>0</v>
      </c>
      <c r="O301" t="n">
        <v>0</v>
      </c>
      <c r="P301" t="n">
        <v>0</v>
      </c>
      <c r="Q301" t="n">
        <v>0</v>
      </c>
      <c r="R301" t="n">
        <v>0</v>
      </c>
      <c r="S301" t="n">
        <v>0</v>
      </c>
      <c r="T301" t="n">
        <v>0</v>
      </c>
      <c r="U301" s="2" t="inlineStr"/>
    </row>
    <row r="302" ht="15" customHeight="1">
      <c r="A302" t="inlineStr">
        <is>
          <t>A 47310-2025</t>
        </is>
      </c>
      <c r="B302" t="inlineStr">
        <is>
          <t>avverkningsanmälan</t>
        </is>
      </c>
      <c r="C302" t="inlineStr">
        <is>
          <t>Föryngringsavverkning</t>
        </is>
      </c>
      <c r="D302" s="1" t="n">
        <v>45930</v>
      </c>
      <c r="E302" s="1" t="n">
        <v>46222</v>
      </c>
      <c r="F302" t="inlineStr">
        <is>
          <t>GÄVLEBORGS LÄN</t>
        </is>
      </c>
      <c r="G302" t="inlineStr">
        <is>
          <t>OVANÅKER</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47382-2025</t>
        </is>
      </c>
      <c r="B303" t="inlineStr">
        <is>
          <t>avverkningsanmälan</t>
        </is>
      </c>
      <c r="C303" t="inlineStr">
        <is>
          <t>Föryngringsavverkning</t>
        </is>
      </c>
      <c r="D303" s="1" t="n">
        <v>45930</v>
      </c>
      <c r="E303" s="1" t="n">
        <v>46222</v>
      </c>
      <c r="F303" t="inlineStr">
        <is>
          <t>GÄVLEBORGS LÄN</t>
        </is>
      </c>
      <c r="G303" t="inlineStr">
        <is>
          <t>OVANÅKER</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47384-2025</t>
        </is>
      </c>
      <c r="B304" t="inlineStr">
        <is>
          <t>avverkningsanmälan</t>
        </is>
      </c>
      <c r="C304" t="inlineStr">
        <is>
          <t>Föryngringsavverkning</t>
        </is>
      </c>
      <c r="D304" s="1" t="n">
        <v>45930</v>
      </c>
      <c r="E304" s="1" t="n">
        <v>46222</v>
      </c>
      <c r="F304" t="inlineStr">
        <is>
          <t>GÄVLEBORGS LÄN</t>
        </is>
      </c>
      <c r="G304" t="inlineStr">
        <is>
          <t>OVANÅKER</t>
        </is>
      </c>
      <c r="I304" t="n">
        <v>2.6</v>
      </c>
      <c r="J304" t="n">
        <v>0</v>
      </c>
      <c r="K304" t="n">
        <v>0</v>
      </c>
      <c r="L304" t="n">
        <v>0</v>
      </c>
      <c r="M304" t="n">
        <v>0</v>
      </c>
      <c r="N304" t="n">
        <v>0</v>
      </c>
      <c r="O304" t="n">
        <v>0</v>
      </c>
      <c r="P304" t="n">
        <v>0</v>
      </c>
      <c r="Q304" t="n">
        <v>0</v>
      </c>
      <c r="R304" t="n">
        <v>0</v>
      </c>
      <c r="S304" t="n">
        <v>0</v>
      </c>
      <c r="T304" t="n">
        <v>0</v>
      </c>
      <c r="U304" s="2" t="inlineStr"/>
    </row>
    <row r="305" ht="15" customHeight="1">
      <c r="A305" t="inlineStr">
        <is>
          <t>A 6175-2026</t>
        </is>
      </c>
      <c r="B305" t="inlineStr">
        <is>
          <t>avverkningsanmälan</t>
        </is>
      </c>
      <c r="C305" t="inlineStr">
        <is>
          <t>Föryngringsavverkning</t>
        </is>
      </c>
      <c r="D305" s="1" t="n">
        <v>46055</v>
      </c>
      <c r="E305" s="1" t="n">
        <v>46222</v>
      </c>
      <c r="F305" t="inlineStr">
        <is>
          <t>GÄVLEBORGS LÄN</t>
        </is>
      </c>
      <c r="G305" t="inlineStr">
        <is>
          <t>OVANÅKER</t>
        </is>
      </c>
      <c r="I305" t="n">
        <v>2.8</v>
      </c>
      <c r="J305" t="n">
        <v>0</v>
      </c>
      <c r="K305" t="n">
        <v>0</v>
      </c>
      <c r="L305" t="n">
        <v>0</v>
      </c>
      <c r="M305" t="n">
        <v>0</v>
      </c>
      <c r="N305" t="n">
        <v>0</v>
      </c>
      <c r="O305" t="n">
        <v>0</v>
      </c>
      <c r="P305" t="n">
        <v>0</v>
      </c>
      <c r="Q305" t="n">
        <v>0</v>
      </c>
      <c r="R305" t="n">
        <v>0</v>
      </c>
      <c r="S305" t="n">
        <v>0</v>
      </c>
      <c r="T305" t="n">
        <v>0</v>
      </c>
      <c r="U305" s="2" t="inlineStr"/>
    </row>
    <row r="306" ht="15" customHeight="1">
      <c r="A306" t="inlineStr">
        <is>
          <t>A 55672-2024</t>
        </is>
      </c>
      <c r="B306" t="inlineStr">
        <is>
          <t>avverkningsanmälan</t>
        </is>
      </c>
      <c r="C306" t="inlineStr">
        <is>
          <t>Föryngringsavverkning</t>
        </is>
      </c>
      <c r="D306" s="1" t="n">
        <v>45622</v>
      </c>
      <c r="E306" s="1" t="n">
        <v>46222</v>
      </c>
      <c r="F306" t="inlineStr">
        <is>
          <t>GÄVLEBORGS LÄN</t>
        </is>
      </c>
      <c r="G306" t="inlineStr">
        <is>
          <t>OVANÅKER</t>
        </is>
      </c>
      <c r="I306" t="n">
        <v>4.9</v>
      </c>
      <c r="J306" t="n">
        <v>0</v>
      </c>
      <c r="K306" t="n">
        <v>0</v>
      </c>
      <c r="L306" t="n">
        <v>0</v>
      </c>
      <c r="M306" t="n">
        <v>0</v>
      </c>
      <c r="N306" t="n">
        <v>0</v>
      </c>
      <c r="O306" t="n">
        <v>0</v>
      </c>
      <c r="P306" t="n">
        <v>0</v>
      </c>
      <c r="Q306" t="n">
        <v>0</v>
      </c>
      <c r="R306" t="n">
        <v>0</v>
      </c>
      <c r="S306" t="n">
        <v>0</v>
      </c>
      <c r="T306" t="n">
        <v>0</v>
      </c>
      <c r="U306" s="2" t="inlineStr"/>
    </row>
    <row r="307" ht="15" customHeight="1">
      <c r="A307" t="inlineStr">
        <is>
          <t>A 46932-2025</t>
        </is>
      </c>
      <c r="B307" t="inlineStr">
        <is>
          <t>avverkningsanmälan</t>
        </is>
      </c>
      <c r="C307" t="inlineStr">
        <is>
          <t>Föryngringsavverkning</t>
        </is>
      </c>
      <c r="D307" s="1" t="n">
        <v>45929</v>
      </c>
      <c r="E307" s="1" t="n">
        <v>46222</v>
      </c>
      <c r="F307" t="inlineStr">
        <is>
          <t>GÄVLEBORGS LÄN</t>
        </is>
      </c>
      <c r="G307" t="inlineStr">
        <is>
          <t>OVANÅKER</t>
        </is>
      </c>
      <c r="I307" t="n">
        <v>3</v>
      </c>
      <c r="J307" t="n">
        <v>0</v>
      </c>
      <c r="K307" t="n">
        <v>0</v>
      </c>
      <c r="L307" t="n">
        <v>0</v>
      </c>
      <c r="M307" t="n">
        <v>0</v>
      </c>
      <c r="N307" t="n">
        <v>0</v>
      </c>
      <c r="O307" t="n">
        <v>0</v>
      </c>
      <c r="P307" t="n">
        <v>0</v>
      </c>
      <c r="Q307" t="n">
        <v>0</v>
      </c>
      <c r="R307" t="n">
        <v>0</v>
      </c>
      <c r="S307" t="n">
        <v>0</v>
      </c>
      <c r="T307" t="n">
        <v>0</v>
      </c>
      <c r="U307" s="2" t="inlineStr"/>
    </row>
    <row r="308" ht="15" customHeight="1">
      <c r="A308" t="inlineStr">
        <is>
          <t>A 47374-2025</t>
        </is>
      </c>
      <c r="B308" t="inlineStr">
        <is>
          <t>avverkningsanmälan</t>
        </is>
      </c>
      <c r="C308" t="inlineStr">
        <is>
          <t>Föryngringsavverkning</t>
        </is>
      </c>
      <c r="D308" s="1" t="n">
        <v>45930</v>
      </c>
      <c r="E308" s="1" t="n">
        <v>46222</v>
      </c>
      <c r="F308" t="inlineStr">
        <is>
          <t>GÄVLEBORGS LÄN</t>
        </is>
      </c>
      <c r="G308" t="inlineStr">
        <is>
          <t>OVANÅKER</t>
        </is>
      </c>
      <c r="I308" t="n">
        <v>7.2</v>
      </c>
      <c r="J308" t="n">
        <v>0</v>
      </c>
      <c r="K308" t="n">
        <v>0</v>
      </c>
      <c r="L308" t="n">
        <v>0</v>
      </c>
      <c r="M308" t="n">
        <v>0</v>
      </c>
      <c r="N308" t="n">
        <v>0</v>
      </c>
      <c r="O308" t="n">
        <v>0</v>
      </c>
      <c r="P308" t="n">
        <v>0</v>
      </c>
      <c r="Q308" t="n">
        <v>0</v>
      </c>
      <c r="R308" t="n">
        <v>0</v>
      </c>
      <c r="S308" t="n">
        <v>0</v>
      </c>
      <c r="T308" t="n">
        <v>0</v>
      </c>
      <c r="U308" s="2" t="inlineStr"/>
    </row>
    <row r="309" ht="15" customHeight="1">
      <c r="A309" t="inlineStr">
        <is>
          <t>A 6735-2026</t>
        </is>
      </c>
      <c r="B309" t="inlineStr">
        <is>
          <t>avverkningsanmälan</t>
        </is>
      </c>
      <c r="C309" t="inlineStr">
        <is>
          <t>Föryngringsavverkning</t>
        </is>
      </c>
      <c r="D309" s="1" t="n">
        <v>46056</v>
      </c>
      <c r="E309" s="1" t="n">
        <v>46222</v>
      </c>
      <c r="F309" t="inlineStr">
        <is>
          <t>GÄVLEBORGS LÄN</t>
        </is>
      </c>
      <c r="G309" t="inlineStr">
        <is>
          <t>OVANÅKER</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1892-2024</t>
        </is>
      </c>
      <c r="B310" t="inlineStr">
        <is>
          <t>avverkningsanmälan</t>
        </is>
      </c>
      <c r="C310" t="inlineStr">
        <is>
          <t>Föryngringsavverkning</t>
        </is>
      </c>
      <c r="D310" s="1" t="n">
        <v>45308</v>
      </c>
      <c r="E310" s="1" t="n">
        <v>46222</v>
      </c>
      <c r="F310" t="inlineStr">
        <is>
          <t>GÄVLEBORGS LÄN</t>
        </is>
      </c>
      <c r="G310" t="inlineStr">
        <is>
          <t>OVANÅKER</t>
        </is>
      </c>
      <c r="I310" t="n">
        <v>0.3</v>
      </c>
      <c r="J310" t="n">
        <v>0</v>
      </c>
      <c r="K310" t="n">
        <v>0</v>
      </c>
      <c r="L310" t="n">
        <v>0</v>
      </c>
      <c r="M310" t="n">
        <v>0</v>
      </c>
      <c r="N310" t="n">
        <v>0</v>
      </c>
      <c r="O310" t="n">
        <v>0</v>
      </c>
      <c r="P310" t="n">
        <v>0</v>
      </c>
      <c r="Q310" t="n">
        <v>0</v>
      </c>
      <c r="R310" t="n">
        <v>0</v>
      </c>
      <c r="S310" t="n">
        <v>0</v>
      </c>
      <c r="T310" t="n">
        <v>0</v>
      </c>
      <c r="U310" s="2" t="inlineStr"/>
    </row>
    <row r="311" ht="15" customHeight="1">
      <c r="A311" t="inlineStr">
        <is>
          <t>A 47367-2025</t>
        </is>
      </c>
      <c r="B311" t="inlineStr">
        <is>
          <t>avverkningsanmälan</t>
        </is>
      </c>
      <c r="C311" t="inlineStr">
        <is>
          <t>Föryngringsavverkning</t>
        </is>
      </c>
      <c r="D311" s="1" t="n">
        <v>45930</v>
      </c>
      <c r="E311" s="1" t="n">
        <v>46222</v>
      </c>
      <c r="F311" t="inlineStr">
        <is>
          <t>GÄVLEBORGS LÄN</t>
        </is>
      </c>
      <c r="G311" t="inlineStr">
        <is>
          <t>OVANÅKER</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6734-2026</t>
        </is>
      </c>
      <c r="B312" t="inlineStr">
        <is>
          <t>avverkningsanmälan</t>
        </is>
      </c>
      <c r="C312" t="inlineStr">
        <is>
          <t>Föryngringsavverkning</t>
        </is>
      </c>
      <c r="D312" s="1" t="n">
        <v>46056</v>
      </c>
      <c r="E312" s="1" t="n">
        <v>46222</v>
      </c>
      <c r="F312" t="inlineStr">
        <is>
          <t>GÄVLEBORGS LÄN</t>
        </is>
      </c>
      <c r="G312" t="inlineStr">
        <is>
          <t>OVANÅKER</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6196-2026</t>
        </is>
      </c>
      <c r="B313" t="inlineStr">
        <is>
          <t>avverkningsanmälan</t>
        </is>
      </c>
      <c r="C313" t="inlineStr">
        <is>
          <t>Föryngringsavverkning</t>
        </is>
      </c>
      <c r="D313" s="1" t="n">
        <v>46055</v>
      </c>
      <c r="E313" s="1" t="n">
        <v>46222</v>
      </c>
      <c r="F313" t="inlineStr">
        <is>
          <t>GÄVLEBORGS LÄN</t>
        </is>
      </c>
      <c r="G313" t="inlineStr">
        <is>
          <t>OVANÅKER</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16911-2025</t>
        </is>
      </c>
      <c r="B314" t="inlineStr">
        <is>
          <t>avverkningsanmälan</t>
        </is>
      </c>
      <c r="C314" t="inlineStr">
        <is>
          <t>Föryngringsavverkning</t>
        </is>
      </c>
      <c r="D314" s="1" t="n">
        <v>45755</v>
      </c>
      <c r="E314" s="1" t="n">
        <v>46222</v>
      </c>
      <c r="F314" t="inlineStr">
        <is>
          <t>GÄVLEBORGS LÄN</t>
        </is>
      </c>
      <c r="G314" t="inlineStr">
        <is>
          <t>OVANÅKER</t>
        </is>
      </c>
      <c r="I314" t="n">
        <v>2.8</v>
      </c>
      <c r="J314" t="n">
        <v>0</v>
      </c>
      <c r="K314" t="n">
        <v>0</v>
      </c>
      <c r="L314" t="n">
        <v>0</v>
      </c>
      <c r="M314" t="n">
        <v>0</v>
      </c>
      <c r="N314" t="n">
        <v>0</v>
      </c>
      <c r="O314" t="n">
        <v>0</v>
      </c>
      <c r="P314" t="n">
        <v>0</v>
      </c>
      <c r="Q314" t="n">
        <v>0</v>
      </c>
      <c r="R314" t="n">
        <v>0</v>
      </c>
      <c r="S314" t="n">
        <v>0</v>
      </c>
      <c r="T314" t="n">
        <v>0</v>
      </c>
      <c r="U314" s="2" t="inlineStr"/>
    </row>
    <row r="315" ht="15" customHeight="1">
      <c r="A315" t="inlineStr">
        <is>
          <t>A 35846-2025</t>
        </is>
      </c>
      <c r="B315" t="inlineStr">
        <is>
          <t>avverkningsanmälan</t>
        </is>
      </c>
      <c r="C315" t="inlineStr">
        <is>
          <t>Föryngringsavverkning</t>
        </is>
      </c>
      <c r="D315" s="1" t="n">
        <v>45861</v>
      </c>
      <c r="E315" s="1" t="n">
        <v>46222</v>
      </c>
      <c r="F315" t="inlineStr">
        <is>
          <t>GÄVLEBORGS LÄN</t>
        </is>
      </c>
      <c r="G315" t="inlineStr">
        <is>
          <t>OVANÅKER</t>
        </is>
      </c>
      <c r="H315" t="inlineStr">
        <is>
          <t>Bergvik skog väst AB</t>
        </is>
      </c>
      <c r="I315" t="n">
        <v>3.2</v>
      </c>
      <c r="J315" t="n">
        <v>0</v>
      </c>
      <c r="K315" t="n">
        <v>0</v>
      </c>
      <c r="L315" t="n">
        <v>0</v>
      </c>
      <c r="M315" t="n">
        <v>0</v>
      </c>
      <c r="N315" t="n">
        <v>0</v>
      </c>
      <c r="O315" t="n">
        <v>0</v>
      </c>
      <c r="P315" t="n">
        <v>0</v>
      </c>
      <c r="Q315" t="n">
        <v>0</v>
      </c>
      <c r="R315" t="n">
        <v>0</v>
      </c>
      <c r="S315" t="n">
        <v>0</v>
      </c>
      <c r="T315" t="n">
        <v>0</v>
      </c>
      <c r="U315" s="2" t="inlineStr"/>
    </row>
    <row r="316" ht="15" customHeight="1">
      <c r="A316" t="inlineStr">
        <is>
          <t>A 6870-2026</t>
        </is>
      </c>
      <c r="B316" t="inlineStr">
        <is>
          <t>avverkningsanmälan</t>
        </is>
      </c>
      <c r="C316" t="inlineStr">
        <is>
          <t>Föryngringsavverkning</t>
        </is>
      </c>
      <c r="D316" s="1" t="n">
        <v>46057</v>
      </c>
      <c r="E316" s="1" t="n">
        <v>46222</v>
      </c>
      <c r="F316" t="inlineStr">
        <is>
          <t>GÄVLEBORGS LÄN</t>
        </is>
      </c>
      <c r="G316" t="inlineStr">
        <is>
          <t>OVANÅKER</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36076-2025</t>
        </is>
      </c>
      <c r="B317" t="inlineStr">
        <is>
          <t>avverkningsanmälan</t>
        </is>
      </c>
      <c r="C317" t="inlineStr">
        <is>
          <t>Föryngringsavverkning</t>
        </is>
      </c>
      <c r="D317" s="1" t="n">
        <v>45866</v>
      </c>
      <c r="E317" s="1" t="n">
        <v>46222</v>
      </c>
      <c r="F317" t="inlineStr">
        <is>
          <t>GÄVLEBORGS LÄN</t>
        </is>
      </c>
      <c r="G317" t="inlineStr">
        <is>
          <t>OVANÅKER</t>
        </is>
      </c>
      <c r="H317" t="inlineStr">
        <is>
          <t>Bergvik skog väst AB</t>
        </is>
      </c>
      <c r="I317" t="n">
        <v>23.7</v>
      </c>
      <c r="J317" t="n">
        <v>0</v>
      </c>
      <c r="K317" t="n">
        <v>0</v>
      </c>
      <c r="L317" t="n">
        <v>0</v>
      </c>
      <c r="M317" t="n">
        <v>0</v>
      </c>
      <c r="N317" t="n">
        <v>0</v>
      </c>
      <c r="O317" t="n">
        <v>0</v>
      </c>
      <c r="P317" t="n">
        <v>0</v>
      </c>
      <c r="Q317" t="n">
        <v>0</v>
      </c>
      <c r="R317" t="n">
        <v>0</v>
      </c>
      <c r="S317" t="n">
        <v>0</v>
      </c>
      <c r="T317" t="n">
        <v>0</v>
      </c>
      <c r="U317" s="2" t="inlineStr"/>
    </row>
    <row r="318" ht="15" customHeight="1">
      <c r="A318" t="inlineStr">
        <is>
          <t>A 6821-2026</t>
        </is>
      </c>
      <c r="B318" t="inlineStr">
        <is>
          <t>avverkningsanmälan</t>
        </is>
      </c>
      <c r="C318" t="inlineStr">
        <is>
          <t>Föryngringsavverkning</t>
        </is>
      </c>
      <c r="D318" s="1" t="n">
        <v>46057</v>
      </c>
      <c r="E318" s="1" t="n">
        <v>46222</v>
      </c>
      <c r="F318" t="inlineStr">
        <is>
          <t>GÄVLEBORGS LÄN</t>
        </is>
      </c>
      <c r="G318" t="inlineStr">
        <is>
          <t>OVANÅKER</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6913-2026</t>
        </is>
      </c>
      <c r="B319" t="inlineStr">
        <is>
          <t>avverkningsanmälan</t>
        </is>
      </c>
      <c r="C319" t="inlineStr">
        <is>
          <t>Föryngringsavverkning</t>
        </is>
      </c>
      <c r="D319" s="1" t="n">
        <v>46057</v>
      </c>
      <c r="E319" s="1" t="n">
        <v>46222</v>
      </c>
      <c r="F319" t="inlineStr">
        <is>
          <t>GÄVLEBORGS LÄN</t>
        </is>
      </c>
      <c r="G319" t="inlineStr">
        <is>
          <t>OVANÅKER</t>
        </is>
      </c>
      <c r="I319" t="n">
        <v>4.6</v>
      </c>
      <c r="J319" t="n">
        <v>0</v>
      </c>
      <c r="K319" t="n">
        <v>0</v>
      </c>
      <c r="L319" t="n">
        <v>0</v>
      </c>
      <c r="M319" t="n">
        <v>0</v>
      </c>
      <c r="N319" t="n">
        <v>0</v>
      </c>
      <c r="O319" t="n">
        <v>0</v>
      </c>
      <c r="P319" t="n">
        <v>0</v>
      </c>
      <c r="Q319" t="n">
        <v>0</v>
      </c>
      <c r="R319" t="n">
        <v>0</v>
      </c>
      <c r="S319" t="n">
        <v>0</v>
      </c>
      <c r="T319" t="n">
        <v>0</v>
      </c>
      <c r="U319" s="2" t="inlineStr"/>
    </row>
    <row r="320" ht="15" customHeight="1">
      <c r="A320" t="inlineStr">
        <is>
          <t>A 57100-2024</t>
        </is>
      </c>
      <c r="B320" t="inlineStr">
        <is>
          <t>avverkningsanmälan</t>
        </is>
      </c>
      <c r="C320" t="inlineStr">
        <is>
          <t>Avverkning för annat ändamål</t>
        </is>
      </c>
      <c r="D320" s="1" t="n">
        <v>45629</v>
      </c>
      <c r="E320" s="1" t="n">
        <v>46222</v>
      </c>
      <c r="F320" t="inlineStr">
        <is>
          <t>GÄVLEBORGS LÄN</t>
        </is>
      </c>
      <c r="G320" t="inlineStr">
        <is>
          <t>OVANÅKER</t>
        </is>
      </c>
      <c r="H320" t="inlineStr">
        <is>
          <t>Bergvik skog väst AB</t>
        </is>
      </c>
      <c r="I320" t="n">
        <v>0.4</v>
      </c>
      <c r="J320" t="n">
        <v>0</v>
      </c>
      <c r="K320" t="n">
        <v>0</v>
      </c>
      <c r="L320" t="n">
        <v>0</v>
      </c>
      <c r="M320" t="n">
        <v>0</v>
      </c>
      <c r="N320" t="n">
        <v>0</v>
      </c>
      <c r="O320" t="n">
        <v>0</v>
      </c>
      <c r="P320" t="n">
        <v>0</v>
      </c>
      <c r="Q320" t="n">
        <v>0</v>
      </c>
      <c r="R320" t="n">
        <v>0</v>
      </c>
      <c r="S320" t="n">
        <v>0</v>
      </c>
      <c r="T320" t="n">
        <v>0</v>
      </c>
      <c r="U320" s="2" t="inlineStr"/>
    </row>
    <row r="321" ht="15" customHeight="1">
      <c r="A321" t="inlineStr">
        <is>
          <t>A 48757-2024</t>
        </is>
      </c>
      <c r="B321" t="inlineStr">
        <is>
          <t>avverkningsanmälan</t>
        </is>
      </c>
      <c r="C321" t="inlineStr">
        <is>
          <t>Föryngringsavverkning</t>
        </is>
      </c>
      <c r="D321" s="1" t="n">
        <v>45593</v>
      </c>
      <c r="E321" s="1" t="n">
        <v>46222</v>
      </c>
      <c r="F321" t="inlineStr">
        <is>
          <t>GÄVLEBORGS LÄN</t>
        </is>
      </c>
      <c r="G321" t="inlineStr">
        <is>
          <t>OVANÅKER</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36404-2025</t>
        </is>
      </c>
      <c r="B322" t="inlineStr">
        <is>
          <t>avverkningsanmälan</t>
        </is>
      </c>
      <c r="C322" t="inlineStr">
        <is>
          <t>Föryngringsavverkning</t>
        </is>
      </c>
      <c r="D322" s="1" t="n">
        <v>45868</v>
      </c>
      <c r="E322" s="1" t="n">
        <v>46222</v>
      </c>
      <c r="F322" t="inlineStr">
        <is>
          <t>GÄVLEBORGS LÄN</t>
        </is>
      </c>
      <c r="G322" t="inlineStr">
        <is>
          <t>OVANÅKER</t>
        </is>
      </c>
      <c r="I322" t="n">
        <v>2.5</v>
      </c>
      <c r="J322" t="n">
        <v>0</v>
      </c>
      <c r="K322" t="n">
        <v>0</v>
      </c>
      <c r="L322" t="n">
        <v>0</v>
      </c>
      <c r="M322" t="n">
        <v>0</v>
      </c>
      <c r="N322" t="n">
        <v>0</v>
      </c>
      <c r="O322" t="n">
        <v>0</v>
      </c>
      <c r="P322" t="n">
        <v>0</v>
      </c>
      <c r="Q322" t="n">
        <v>0</v>
      </c>
      <c r="R322" t="n">
        <v>0</v>
      </c>
      <c r="S322" t="n">
        <v>0</v>
      </c>
      <c r="T322" t="n">
        <v>0</v>
      </c>
      <c r="U322" s="2" t="inlineStr"/>
    </row>
    <row r="323" ht="15" customHeight="1">
      <c r="A323" t="inlineStr">
        <is>
          <t>A 6912-2026</t>
        </is>
      </c>
      <c r="B323" t="inlineStr">
        <is>
          <t>avverkningsanmälan</t>
        </is>
      </c>
      <c r="C323" t="inlineStr">
        <is>
          <t>Föryngringsavverkning</t>
        </is>
      </c>
      <c r="D323" s="1" t="n">
        <v>46057</v>
      </c>
      <c r="E323" s="1" t="n">
        <v>46222</v>
      </c>
      <c r="F323" t="inlineStr">
        <is>
          <t>GÄVLEBORGS LÄN</t>
        </is>
      </c>
      <c r="G323" t="inlineStr">
        <is>
          <t>OVANÅKER</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50791-2024</t>
        </is>
      </c>
      <c r="B324" t="inlineStr">
        <is>
          <t>avverkningsanmälan</t>
        </is>
      </c>
      <c r="C324" t="inlineStr">
        <is>
          <t>Föryngringsavverkning</t>
        </is>
      </c>
      <c r="D324" s="1" t="n">
        <v>45602</v>
      </c>
      <c r="E324" s="1" t="n">
        <v>46222</v>
      </c>
      <c r="F324" t="inlineStr">
        <is>
          <t>GÄVLEBORGS LÄN</t>
        </is>
      </c>
      <c r="G324" t="inlineStr">
        <is>
          <t>OVANÅKER</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36403-2025</t>
        </is>
      </c>
      <c r="B325" t="inlineStr">
        <is>
          <t>avverkningsanmälan</t>
        </is>
      </c>
      <c r="C325" t="inlineStr">
        <is>
          <t>Föryngringsavverkning</t>
        </is>
      </c>
      <c r="D325" s="1" t="n">
        <v>45868</v>
      </c>
      <c r="E325" s="1" t="n">
        <v>46222</v>
      </c>
      <c r="F325" t="inlineStr">
        <is>
          <t>GÄVLEBORGS LÄN</t>
        </is>
      </c>
      <c r="G325" t="inlineStr">
        <is>
          <t>OVANÅKER</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36406-2025</t>
        </is>
      </c>
      <c r="B326" t="inlineStr">
        <is>
          <t>avverkningsanmälan</t>
        </is>
      </c>
      <c r="C326" t="inlineStr">
        <is>
          <t>Föryngringsavverkning</t>
        </is>
      </c>
      <c r="D326" s="1" t="n">
        <v>45868</v>
      </c>
      <c r="E326" s="1" t="n">
        <v>46222</v>
      </c>
      <c r="F326" t="inlineStr">
        <is>
          <t>GÄVLEBORGS LÄN</t>
        </is>
      </c>
      <c r="G326" t="inlineStr">
        <is>
          <t>OVANÅKER</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49176-2025</t>
        </is>
      </c>
      <c r="B327" t="inlineStr">
        <is>
          <t>avverkningsanmälan</t>
        </is>
      </c>
      <c r="C327" t="inlineStr">
        <is>
          <t>Föryngringsavverkning</t>
        </is>
      </c>
      <c r="D327" s="1" t="n">
        <v>45938</v>
      </c>
      <c r="E327" s="1" t="n">
        <v>46222</v>
      </c>
      <c r="F327" t="inlineStr">
        <is>
          <t>GÄVLEBORGS LÄN</t>
        </is>
      </c>
      <c r="G327" t="inlineStr">
        <is>
          <t>OVANÅKER</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7307-2026</t>
        </is>
      </c>
      <c r="B328" t="inlineStr">
        <is>
          <t>avverkningsanmälan</t>
        </is>
      </c>
      <c r="C328" t="inlineStr">
        <is>
          <t>Föryngringsavverkning</t>
        </is>
      </c>
      <c r="D328" s="1" t="n">
        <v>46058</v>
      </c>
      <c r="E328" s="1" t="n">
        <v>46222</v>
      </c>
      <c r="F328" t="inlineStr">
        <is>
          <t>GÄVLEBORGS LÄN</t>
        </is>
      </c>
      <c r="G328" t="inlineStr">
        <is>
          <t>OVANÅKER</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27422-2024</t>
        </is>
      </c>
      <c r="B329" t="inlineStr">
        <is>
          <t>avverkningsanmälan</t>
        </is>
      </c>
      <c r="C329" t="inlineStr">
        <is>
          <t>Föryngringsavverkning</t>
        </is>
      </c>
      <c r="D329" s="1" t="n">
        <v>45474</v>
      </c>
      <c r="E329" s="1" t="n">
        <v>46222</v>
      </c>
      <c r="F329" t="inlineStr">
        <is>
          <t>GÄVLEBORGS LÄN</t>
        </is>
      </c>
      <c r="G329" t="inlineStr">
        <is>
          <t>OVANÅKER</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36744-2025</t>
        </is>
      </c>
      <c r="B330" t="inlineStr">
        <is>
          <t>avverkningsanmälan</t>
        </is>
      </c>
      <c r="C330" t="inlineStr">
        <is>
          <t>Föryngringsavverkning</t>
        </is>
      </c>
      <c r="D330" s="1" t="n">
        <v>45873</v>
      </c>
      <c r="E330" s="1" t="n">
        <v>46222</v>
      </c>
      <c r="F330" t="inlineStr">
        <is>
          <t>GÄVLEBORGS LÄN</t>
        </is>
      </c>
      <c r="G330" t="inlineStr">
        <is>
          <t>OVANÅKER</t>
        </is>
      </c>
      <c r="H330" t="inlineStr">
        <is>
          <t>Bergvik skog väst AB</t>
        </is>
      </c>
      <c r="I330" t="n">
        <v>18.7</v>
      </c>
      <c r="J330" t="n">
        <v>0</v>
      </c>
      <c r="K330" t="n">
        <v>0</v>
      </c>
      <c r="L330" t="n">
        <v>0</v>
      </c>
      <c r="M330" t="n">
        <v>0</v>
      </c>
      <c r="N330" t="n">
        <v>0</v>
      </c>
      <c r="O330" t="n">
        <v>0</v>
      </c>
      <c r="P330" t="n">
        <v>0</v>
      </c>
      <c r="Q330" t="n">
        <v>0</v>
      </c>
      <c r="R330" t="n">
        <v>0</v>
      </c>
      <c r="S330" t="n">
        <v>0</v>
      </c>
      <c r="T330" t="n">
        <v>0</v>
      </c>
      <c r="U330" s="2" t="inlineStr"/>
    </row>
    <row r="331" ht="15" customHeight="1">
      <c r="A331" t="inlineStr">
        <is>
          <t>A 49173-2025</t>
        </is>
      </c>
      <c r="B331" t="inlineStr">
        <is>
          <t>avverkningsanmälan</t>
        </is>
      </c>
      <c r="C331" t="inlineStr">
        <is>
          <t>Föryngringsavverkning</t>
        </is>
      </c>
      <c r="D331" s="1" t="n">
        <v>45938</v>
      </c>
      <c r="E331" s="1" t="n">
        <v>46222</v>
      </c>
      <c r="F331" t="inlineStr">
        <is>
          <t>GÄVLEBORGS LÄN</t>
        </is>
      </c>
      <c r="G331" t="inlineStr">
        <is>
          <t>OVANÅKER</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6940-2026</t>
        </is>
      </c>
      <c r="B332" t="inlineStr">
        <is>
          <t>avverkningsanmälan</t>
        </is>
      </c>
      <c r="C332" t="inlineStr">
        <is>
          <t>Föryngringsavverkning</t>
        </is>
      </c>
      <c r="D332" s="1" t="n">
        <v>46057</v>
      </c>
      <c r="E332" s="1" t="n">
        <v>46222</v>
      </c>
      <c r="F332" t="inlineStr">
        <is>
          <t>GÄVLEBORGS LÄN</t>
        </is>
      </c>
      <c r="G332" t="inlineStr">
        <is>
          <t>OVANÅKER</t>
        </is>
      </c>
      <c r="I332" t="n">
        <v>5.5</v>
      </c>
      <c r="J332" t="n">
        <v>0</v>
      </c>
      <c r="K332" t="n">
        <v>0</v>
      </c>
      <c r="L332" t="n">
        <v>0</v>
      </c>
      <c r="M332" t="n">
        <v>0</v>
      </c>
      <c r="N332" t="n">
        <v>0</v>
      </c>
      <c r="O332" t="n">
        <v>0</v>
      </c>
      <c r="P332" t="n">
        <v>0</v>
      </c>
      <c r="Q332" t="n">
        <v>0</v>
      </c>
      <c r="R332" t="n">
        <v>0</v>
      </c>
      <c r="S332" t="n">
        <v>0</v>
      </c>
      <c r="T332" t="n">
        <v>0</v>
      </c>
      <c r="U332" s="2" t="inlineStr"/>
    </row>
    <row r="333" ht="15" customHeight="1">
      <c r="A333" t="inlineStr">
        <is>
          <t>A 36659-2025</t>
        </is>
      </c>
      <c r="B333" t="inlineStr">
        <is>
          <t>avverkningsanmälan</t>
        </is>
      </c>
      <c r="C333" t="inlineStr">
        <is>
          <t>Föryngringsavverkning</t>
        </is>
      </c>
      <c r="D333" s="1" t="n">
        <v>45873</v>
      </c>
      <c r="E333" s="1" t="n">
        <v>46222</v>
      </c>
      <c r="F333" t="inlineStr">
        <is>
          <t>GÄVLEBORGS LÄN</t>
        </is>
      </c>
      <c r="G333" t="inlineStr">
        <is>
          <t>OVANÅKER</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44199-2025</t>
        </is>
      </c>
      <c r="B334" t="inlineStr">
        <is>
          <t>avverkningsanmälan</t>
        </is>
      </c>
      <c r="C334" t="inlineStr">
        <is>
          <t>Föryngringsavverkning</t>
        </is>
      </c>
      <c r="D334" s="1" t="n">
        <v>45915</v>
      </c>
      <c r="E334" s="1" t="n">
        <v>46222</v>
      </c>
      <c r="F334" t="inlineStr">
        <is>
          <t>GÄVLEBORGS LÄN</t>
        </is>
      </c>
      <c r="G334" t="inlineStr">
        <is>
          <t>OVANÅKER</t>
        </is>
      </c>
      <c r="I334" t="n">
        <v>2.7</v>
      </c>
      <c r="J334" t="n">
        <v>0</v>
      </c>
      <c r="K334" t="n">
        <v>0</v>
      </c>
      <c r="L334" t="n">
        <v>0</v>
      </c>
      <c r="M334" t="n">
        <v>0</v>
      </c>
      <c r="N334" t="n">
        <v>0</v>
      </c>
      <c r="O334" t="n">
        <v>0</v>
      </c>
      <c r="P334" t="n">
        <v>0</v>
      </c>
      <c r="Q334" t="n">
        <v>0</v>
      </c>
      <c r="R334" t="n">
        <v>0</v>
      </c>
      <c r="S334" t="n">
        <v>0</v>
      </c>
      <c r="T334" t="n">
        <v>0</v>
      </c>
      <c r="U334" s="2" t="inlineStr"/>
    </row>
    <row r="335" ht="15" customHeight="1">
      <c r="A335" t="inlineStr">
        <is>
          <t>A 49551-2025</t>
        </is>
      </c>
      <c r="B335" t="inlineStr">
        <is>
          <t>avverkningsanmälan</t>
        </is>
      </c>
      <c r="C335" t="inlineStr">
        <is>
          <t>Föryngringsavverkning</t>
        </is>
      </c>
      <c r="D335" s="1" t="n">
        <v>45939</v>
      </c>
      <c r="E335" s="1" t="n">
        <v>46222</v>
      </c>
      <c r="F335" t="inlineStr">
        <is>
          <t>GÄVLEBORGS LÄN</t>
        </is>
      </c>
      <c r="G335" t="inlineStr">
        <is>
          <t>OVANÅKER</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36753-2025</t>
        </is>
      </c>
      <c r="B336" t="inlineStr">
        <is>
          <t>avverkningsanmälan</t>
        </is>
      </c>
      <c r="C336" t="inlineStr">
        <is>
          <t>Föryngringsavverkning</t>
        </is>
      </c>
      <c r="D336" s="1" t="n">
        <v>45873</v>
      </c>
      <c r="E336" s="1" t="n">
        <v>46222</v>
      </c>
      <c r="F336" t="inlineStr">
        <is>
          <t>GÄVLEBORGS LÄN</t>
        </is>
      </c>
      <c r="G336" t="inlineStr">
        <is>
          <t>OVANÅKER</t>
        </is>
      </c>
      <c r="H336" t="inlineStr">
        <is>
          <t>Bergvik skog väst AB</t>
        </is>
      </c>
      <c r="I336" t="n">
        <v>6</v>
      </c>
      <c r="J336" t="n">
        <v>0</v>
      </c>
      <c r="K336" t="n">
        <v>0</v>
      </c>
      <c r="L336" t="n">
        <v>0</v>
      </c>
      <c r="M336" t="n">
        <v>0</v>
      </c>
      <c r="N336" t="n">
        <v>0</v>
      </c>
      <c r="O336" t="n">
        <v>0</v>
      </c>
      <c r="P336" t="n">
        <v>0</v>
      </c>
      <c r="Q336" t="n">
        <v>0</v>
      </c>
      <c r="R336" t="n">
        <v>0</v>
      </c>
      <c r="S336" t="n">
        <v>0</v>
      </c>
      <c r="T336" t="n">
        <v>0</v>
      </c>
      <c r="U336" s="2" t="inlineStr"/>
    </row>
    <row r="337" ht="15" customHeight="1">
      <c r="A337" t="inlineStr">
        <is>
          <t>A 36836-2025</t>
        </is>
      </c>
      <c r="B337" t="inlineStr">
        <is>
          <t>avverkningsanmälan</t>
        </is>
      </c>
      <c r="C337" t="inlineStr">
        <is>
          <t>Föryngringsavverkning</t>
        </is>
      </c>
      <c r="D337" s="1" t="n">
        <v>45874</v>
      </c>
      <c r="E337" s="1" t="n">
        <v>46222</v>
      </c>
      <c r="F337" t="inlineStr">
        <is>
          <t>GÄVLEBORGS LÄN</t>
        </is>
      </c>
      <c r="G337" t="inlineStr">
        <is>
          <t>OVANÅKER</t>
        </is>
      </c>
      <c r="I337" t="n">
        <v>4.5</v>
      </c>
      <c r="J337" t="n">
        <v>0</v>
      </c>
      <c r="K337" t="n">
        <v>0</v>
      </c>
      <c r="L337" t="n">
        <v>0</v>
      </c>
      <c r="M337" t="n">
        <v>0</v>
      </c>
      <c r="N337" t="n">
        <v>0</v>
      </c>
      <c r="O337" t="n">
        <v>0</v>
      </c>
      <c r="P337" t="n">
        <v>0</v>
      </c>
      <c r="Q337" t="n">
        <v>0</v>
      </c>
      <c r="R337" t="n">
        <v>0</v>
      </c>
      <c r="S337" t="n">
        <v>0</v>
      </c>
      <c r="T337" t="n">
        <v>0</v>
      </c>
      <c r="U337" s="2" t="inlineStr"/>
    </row>
    <row r="338" ht="15" customHeight="1">
      <c r="A338" t="inlineStr">
        <is>
          <t>A 27113-2023</t>
        </is>
      </c>
      <c r="B338" t="inlineStr">
        <is>
          <t>avverkningsanmälan</t>
        </is>
      </c>
      <c r="C338" t="inlineStr">
        <is>
          <t>Föryngringsavverkning</t>
        </is>
      </c>
      <c r="D338" s="1" t="n">
        <v>45096</v>
      </c>
      <c r="E338" s="1" t="n">
        <v>46222</v>
      </c>
      <c r="F338" t="inlineStr">
        <is>
          <t>GÄVLEBORGS LÄN</t>
        </is>
      </c>
      <c r="G338" t="inlineStr">
        <is>
          <t>OVANÅKER</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36717-2025</t>
        </is>
      </c>
      <c r="B339" t="inlineStr">
        <is>
          <t>avverkningsanmälan</t>
        </is>
      </c>
      <c r="C339" t="inlineStr">
        <is>
          <t>Föryngringsavverkning</t>
        </is>
      </c>
      <c r="D339" s="1" t="n">
        <v>45873</v>
      </c>
      <c r="E339" s="1" t="n">
        <v>46222</v>
      </c>
      <c r="F339" t="inlineStr">
        <is>
          <t>GÄVLEBORGS LÄN</t>
        </is>
      </c>
      <c r="G339" t="inlineStr">
        <is>
          <t>OVANÅKER</t>
        </is>
      </c>
      <c r="H339" t="inlineStr">
        <is>
          <t>Bergvik skog väst AB</t>
        </is>
      </c>
      <c r="I339" t="n">
        <v>8.1</v>
      </c>
      <c r="J339" t="n">
        <v>0</v>
      </c>
      <c r="K339" t="n">
        <v>0</v>
      </c>
      <c r="L339" t="n">
        <v>0</v>
      </c>
      <c r="M339" t="n">
        <v>0</v>
      </c>
      <c r="N339" t="n">
        <v>0</v>
      </c>
      <c r="O339" t="n">
        <v>0</v>
      </c>
      <c r="P339" t="n">
        <v>0</v>
      </c>
      <c r="Q339" t="n">
        <v>0</v>
      </c>
      <c r="R339" t="n">
        <v>0</v>
      </c>
      <c r="S339" t="n">
        <v>0</v>
      </c>
      <c r="T339" t="n">
        <v>0</v>
      </c>
      <c r="U339" s="2" t="inlineStr"/>
    </row>
    <row r="340" ht="15" customHeight="1">
      <c r="A340" t="inlineStr">
        <is>
          <t>A 49672-2025</t>
        </is>
      </c>
      <c r="B340" t="inlineStr">
        <is>
          <t>avverkningsanmälan</t>
        </is>
      </c>
      <c r="C340" t="inlineStr">
        <is>
          <t>Föryngringsavverkning</t>
        </is>
      </c>
      <c r="D340" s="1" t="n">
        <v>45939</v>
      </c>
      <c r="E340" s="1" t="n">
        <v>46222</v>
      </c>
      <c r="F340" t="inlineStr">
        <is>
          <t>GÄVLEBORGS LÄN</t>
        </is>
      </c>
      <c r="G340" t="inlineStr">
        <is>
          <t>OVANÅKER</t>
        </is>
      </c>
      <c r="I340" t="n">
        <v>0.2</v>
      </c>
      <c r="J340" t="n">
        <v>0</v>
      </c>
      <c r="K340" t="n">
        <v>0</v>
      </c>
      <c r="L340" t="n">
        <v>0</v>
      </c>
      <c r="M340" t="n">
        <v>0</v>
      </c>
      <c r="N340" t="n">
        <v>0</v>
      </c>
      <c r="O340" t="n">
        <v>0</v>
      </c>
      <c r="P340" t="n">
        <v>0</v>
      </c>
      <c r="Q340" t="n">
        <v>0</v>
      </c>
      <c r="R340" t="n">
        <v>0</v>
      </c>
      <c r="S340" t="n">
        <v>0</v>
      </c>
      <c r="T340" t="n">
        <v>0</v>
      </c>
      <c r="U340" s="2" t="inlineStr"/>
    </row>
    <row r="341" ht="15" customHeight="1">
      <c r="A341" t="inlineStr">
        <is>
          <t>A 49548-2025</t>
        </is>
      </c>
      <c r="B341" t="inlineStr">
        <is>
          <t>avverkningsanmälan</t>
        </is>
      </c>
      <c r="C341" t="inlineStr">
        <is>
          <t>Föryngringsavverkning</t>
        </is>
      </c>
      <c r="D341" s="1" t="n">
        <v>45939</v>
      </c>
      <c r="E341" s="1" t="n">
        <v>46222</v>
      </c>
      <c r="F341" t="inlineStr">
        <is>
          <t>GÄVLEBORGS LÄN</t>
        </is>
      </c>
      <c r="G341" t="inlineStr">
        <is>
          <t>OVANÅKER</t>
        </is>
      </c>
      <c r="I341" t="n">
        <v>6</v>
      </c>
      <c r="J341" t="n">
        <v>0</v>
      </c>
      <c r="K341" t="n">
        <v>0</v>
      </c>
      <c r="L341" t="n">
        <v>0</v>
      </c>
      <c r="M341" t="n">
        <v>0</v>
      </c>
      <c r="N341" t="n">
        <v>0</v>
      </c>
      <c r="O341" t="n">
        <v>0</v>
      </c>
      <c r="P341" t="n">
        <v>0</v>
      </c>
      <c r="Q341" t="n">
        <v>0</v>
      </c>
      <c r="R341" t="n">
        <v>0</v>
      </c>
      <c r="S341" t="n">
        <v>0</v>
      </c>
      <c r="T341" t="n">
        <v>0</v>
      </c>
      <c r="U341" s="2" t="inlineStr"/>
    </row>
    <row r="342" ht="15" customHeight="1">
      <c r="A342" t="inlineStr">
        <is>
          <t>A 7065-2026</t>
        </is>
      </c>
      <c r="B342" t="inlineStr">
        <is>
          <t>avverkningsanmälan</t>
        </is>
      </c>
      <c r="C342" t="inlineStr">
        <is>
          <t>Föryngringsavverkning</t>
        </is>
      </c>
      <c r="D342" s="1" t="n">
        <v>46058</v>
      </c>
      <c r="E342" s="1" t="n">
        <v>46222</v>
      </c>
      <c r="F342" t="inlineStr">
        <is>
          <t>GÄVLEBORGS LÄN</t>
        </is>
      </c>
      <c r="G342" t="inlineStr">
        <is>
          <t>OVANÅKER</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7061-2026</t>
        </is>
      </c>
      <c r="B343" t="inlineStr">
        <is>
          <t>avverkningsanmälan</t>
        </is>
      </c>
      <c r="C343" t="inlineStr">
        <is>
          <t>Föryngringsavverkning</t>
        </is>
      </c>
      <c r="D343" s="1" t="n">
        <v>46057</v>
      </c>
      <c r="E343" s="1" t="n">
        <v>46222</v>
      </c>
      <c r="F343" t="inlineStr">
        <is>
          <t>GÄVLEBORGS LÄN</t>
        </is>
      </c>
      <c r="G343" t="inlineStr">
        <is>
          <t>OVANÅKER</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7176-2026</t>
        </is>
      </c>
      <c r="B344" t="inlineStr">
        <is>
          <t>avverkningsanmälan</t>
        </is>
      </c>
      <c r="C344" t="inlineStr">
        <is>
          <t>Föryngringsavverkning</t>
        </is>
      </c>
      <c r="D344" s="1" t="n">
        <v>46058</v>
      </c>
      <c r="E344" s="1" t="n">
        <v>46222</v>
      </c>
      <c r="F344" t="inlineStr">
        <is>
          <t>GÄVLEBORGS LÄN</t>
        </is>
      </c>
      <c r="G344" t="inlineStr">
        <is>
          <t>OVANÅKER</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53399-2024</t>
        </is>
      </c>
      <c r="B345" t="inlineStr">
        <is>
          <t>avverkningsanmälan</t>
        </is>
      </c>
      <c r="C345" t="inlineStr">
        <is>
          <t>Föryngringsavverkning</t>
        </is>
      </c>
      <c r="D345" s="1" t="n">
        <v>45614</v>
      </c>
      <c r="E345" s="1" t="n">
        <v>46222</v>
      </c>
      <c r="F345" t="inlineStr">
        <is>
          <t>GÄVLEBORGS LÄN</t>
        </is>
      </c>
      <c r="G345" t="inlineStr">
        <is>
          <t>OVANÅKER</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47737-2025</t>
        </is>
      </c>
      <c r="B346" t="inlineStr">
        <is>
          <t>avverkningsanmälan</t>
        </is>
      </c>
      <c r="C346" t="inlineStr">
        <is>
          <t>Föryngringsavverkning</t>
        </is>
      </c>
      <c r="D346" s="1" t="n">
        <v>45931</v>
      </c>
      <c r="E346" s="1" t="n">
        <v>46222</v>
      </c>
      <c r="F346" t="inlineStr">
        <is>
          <t>GÄVLEBORGS LÄN</t>
        </is>
      </c>
      <c r="G346" t="inlineStr">
        <is>
          <t>OVANÅKER</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50064-2025</t>
        </is>
      </c>
      <c r="B347" t="inlineStr">
        <is>
          <t>avverkningsanmälan</t>
        </is>
      </c>
      <c r="C347" t="inlineStr">
        <is>
          <t>Avverkning för att bevara och utveckla /försöksver</t>
        </is>
      </c>
      <c r="D347" s="1" t="n">
        <v>45943</v>
      </c>
      <c r="E347" s="1" t="n">
        <v>46222</v>
      </c>
      <c r="F347" t="inlineStr">
        <is>
          <t>GÄVLEBORGS LÄN</t>
        </is>
      </c>
      <c r="G347" t="inlineStr">
        <is>
          <t>OVANÅKER</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52961-2024</t>
        </is>
      </c>
      <c r="B348" t="inlineStr">
        <is>
          <t>avverkningsanmälan</t>
        </is>
      </c>
      <c r="C348" t="inlineStr">
        <is>
          <t>Föryngringsavverkning</t>
        </is>
      </c>
      <c r="D348" s="1" t="n">
        <v>45611</v>
      </c>
      <c r="E348" s="1" t="n">
        <v>46222</v>
      </c>
      <c r="F348" t="inlineStr">
        <is>
          <t>GÄVLEBORGS LÄN</t>
        </is>
      </c>
      <c r="G348" t="inlineStr">
        <is>
          <t>OVANÅKER</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7225-2026</t>
        </is>
      </c>
      <c r="B349" t="inlineStr">
        <is>
          <t>avverkningsanmälan</t>
        </is>
      </c>
      <c r="C349" t="inlineStr">
        <is>
          <t>Föryngringsavverkning</t>
        </is>
      </c>
      <c r="D349" s="1" t="n">
        <v>46058</v>
      </c>
      <c r="E349" s="1" t="n">
        <v>46222</v>
      </c>
      <c r="F349" t="inlineStr">
        <is>
          <t>GÄVLEBORGS LÄN</t>
        </is>
      </c>
      <c r="G349" t="inlineStr">
        <is>
          <t>OVANÅKER</t>
        </is>
      </c>
      <c r="I349" t="n">
        <v>1.4</v>
      </c>
      <c r="J349" t="n">
        <v>0</v>
      </c>
      <c r="K349" t="n">
        <v>0</v>
      </c>
      <c r="L349" t="n">
        <v>0</v>
      </c>
      <c r="M349" t="n">
        <v>0</v>
      </c>
      <c r="N349" t="n">
        <v>0</v>
      </c>
      <c r="O349" t="n">
        <v>0</v>
      </c>
      <c r="P349" t="n">
        <v>0</v>
      </c>
      <c r="Q349" t="n">
        <v>0</v>
      </c>
      <c r="R349" t="n">
        <v>0</v>
      </c>
      <c r="S349" t="n">
        <v>0</v>
      </c>
      <c r="T349" t="n">
        <v>0</v>
      </c>
      <c r="U349" s="2" t="inlineStr"/>
    </row>
    <row r="350" ht="15" customHeight="1">
      <c r="A350" t="inlineStr">
        <is>
          <t>A 37540-2025</t>
        </is>
      </c>
      <c r="B350" t="inlineStr">
        <is>
          <t>avverkningsanmälan</t>
        </is>
      </c>
      <c r="C350" t="inlineStr">
        <is>
          <t>Föryngringsavverkning</t>
        </is>
      </c>
      <c r="D350" s="1" t="n">
        <v>45879</v>
      </c>
      <c r="E350" s="1" t="n">
        <v>46222</v>
      </c>
      <c r="F350" t="inlineStr">
        <is>
          <t>GÄVLEBORGS LÄN</t>
        </is>
      </c>
      <c r="G350" t="inlineStr">
        <is>
          <t>OVANÅKER</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37392-2025</t>
        </is>
      </c>
      <c r="B351" t="inlineStr">
        <is>
          <t>avverkningsanmälan</t>
        </is>
      </c>
      <c r="C351" t="inlineStr">
        <is>
          <t>Föryngringsavverkning</t>
        </is>
      </c>
      <c r="D351" s="1" t="n">
        <v>45877</v>
      </c>
      <c r="E351" s="1" t="n">
        <v>46222</v>
      </c>
      <c r="F351" t="inlineStr">
        <is>
          <t>GÄVLEBORGS LÄN</t>
        </is>
      </c>
      <c r="G351" t="inlineStr">
        <is>
          <t>OVANÅKER</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4704-2025</t>
        </is>
      </c>
      <c r="B352" t="inlineStr">
        <is>
          <t>avverkningsanmälan</t>
        </is>
      </c>
      <c r="C352" t="inlineStr">
        <is>
          <t>Föryngringsavverkning</t>
        </is>
      </c>
      <c r="D352" s="1" t="n">
        <v>45688</v>
      </c>
      <c r="E352" s="1" t="n">
        <v>46222</v>
      </c>
      <c r="F352" t="inlineStr">
        <is>
          <t>GÄVLEBORGS LÄN</t>
        </is>
      </c>
      <c r="G352" t="inlineStr">
        <is>
          <t>OVANÅKER</t>
        </is>
      </c>
      <c r="I352" t="n">
        <v>5.6</v>
      </c>
      <c r="J352" t="n">
        <v>0</v>
      </c>
      <c r="K352" t="n">
        <v>0</v>
      </c>
      <c r="L352" t="n">
        <v>0</v>
      </c>
      <c r="M352" t="n">
        <v>0</v>
      </c>
      <c r="N352" t="n">
        <v>0</v>
      </c>
      <c r="O352" t="n">
        <v>0</v>
      </c>
      <c r="P352" t="n">
        <v>0</v>
      </c>
      <c r="Q352" t="n">
        <v>0</v>
      </c>
      <c r="R352" t="n">
        <v>0</v>
      </c>
      <c r="S352" t="n">
        <v>0</v>
      </c>
      <c r="T352" t="n">
        <v>0</v>
      </c>
      <c r="U352" s="2" t="inlineStr"/>
    </row>
    <row r="353" ht="15" customHeight="1">
      <c r="A353" t="inlineStr">
        <is>
          <t>A 37366-2025</t>
        </is>
      </c>
      <c r="B353" t="inlineStr">
        <is>
          <t>avverkningsanmälan</t>
        </is>
      </c>
      <c r="C353" t="inlineStr">
        <is>
          <t>Föryngringsavverkning</t>
        </is>
      </c>
      <c r="D353" s="1" t="n">
        <v>45877</v>
      </c>
      <c r="E353" s="1" t="n">
        <v>46222</v>
      </c>
      <c r="F353" t="inlineStr">
        <is>
          <t>GÄVLEBORGS LÄN</t>
        </is>
      </c>
      <c r="G353" t="inlineStr">
        <is>
          <t>OVANÅKER</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59974-2024</t>
        </is>
      </c>
      <c r="B354" t="inlineStr">
        <is>
          <t>avverkningsanmälan</t>
        </is>
      </c>
      <c r="C354" t="inlineStr">
        <is>
          <t>Föryngringsavverkning</t>
        </is>
      </c>
      <c r="D354" s="1" t="n">
        <v>45642</v>
      </c>
      <c r="E354" s="1" t="n">
        <v>46222</v>
      </c>
      <c r="F354" t="inlineStr">
        <is>
          <t>GÄVLEBORGS LÄN</t>
        </is>
      </c>
      <c r="G354" t="inlineStr">
        <is>
          <t>OVANÅKER</t>
        </is>
      </c>
      <c r="I354" t="n">
        <v>4.6</v>
      </c>
      <c r="J354" t="n">
        <v>0</v>
      </c>
      <c r="K354" t="n">
        <v>0</v>
      </c>
      <c r="L354" t="n">
        <v>0</v>
      </c>
      <c r="M354" t="n">
        <v>0</v>
      </c>
      <c r="N354" t="n">
        <v>0</v>
      </c>
      <c r="O354" t="n">
        <v>0</v>
      </c>
      <c r="P354" t="n">
        <v>0</v>
      </c>
      <c r="Q354" t="n">
        <v>0</v>
      </c>
      <c r="R354" t="n">
        <v>0</v>
      </c>
      <c r="S354" t="n">
        <v>0</v>
      </c>
      <c r="T354" t="n">
        <v>0</v>
      </c>
      <c r="U354" s="2" t="inlineStr"/>
    </row>
    <row r="355" ht="15" customHeight="1">
      <c r="A355" t="inlineStr">
        <is>
          <t>A 50878-2025</t>
        </is>
      </c>
      <c r="B355" t="inlineStr">
        <is>
          <t>avverkningsanmälan</t>
        </is>
      </c>
      <c r="C355" t="inlineStr">
        <is>
          <t>Avverkning för annat ändamål</t>
        </is>
      </c>
      <c r="D355" s="1" t="n">
        <v>45946</v>
      </c>
      <c r="E355" s="1" t="n">
        <v>46222</v>
      </c>
      <c r="F355" t="inlineStr">
        <is>
          <t>GÄVLEBORGS LÄN</t>
        </is>
      </c>
      <c r="G355" t="inlineStr">
        <is>
          <t>OVANÅKER</t>
        </is>
      </c>
      <c r="H355" t="inlineStr">
        <is>
          <t>Bergvik skog väst AB</t>
        </is>
      </c>
      <c r="I355" t="n">
        <v>2.9</v>
      </c>
      <c r="J355" t="n">
        <v>0</v>
      </c>
      <c r="K355" t="n">
        <v>0</v>
      </c>
      <c r="L355" t="n">
        <v>0</v>
      </c>
      <c r="M355" t="n">
        <v>0</v>
      </c>
      <c r="N355" t="n">
        <v>0</v>
      </c>
      <c r="O355" t="n">
        <v>0</v>
      </c>
      <c r="P355" t="n">
        <v>0</v>
      </c>
      <c r="Q355" t="n">
        <v>0</v>
      </c>
      <c r="R355" t="n">
        <v>0</v>
      </c>
      <c r="S355" t="n">
        <v>0</v>
      </c>
      <c r="T355" t="n">
        <v>0</v>
      </c>
      <c r="U355" s="2" t="inlineStr"/>
    </row>
    <row r="356" ht="15" customHeight="1">
      <c r="A356" t="inlineStr">
        <is>
          <t>A 37531-2025</t>
        </is>
      </c>
      <c r="B356" t="inlineStr">
        <is>
          <t>avverkningsanmälan</t>
        </is>
      </c>
      <c r="C356" t="inlineStr">
        <is>
          <t>Föryngringsavverkning</t>
        </is>
      </c>
      <c r="D356" s="1" t="n">
        <v>45878</v>
      </c>
      <c r="E356" s="1" t="n">
        <v>46222</v>
      </c>
      <c r="F356" t="inlineStr">
        <is>
          <t>GÄVLEBORGS LÄN</t>
        </is>
      </c>
      <c r="G356" t="inlineStr">
        <is>
          <t>OVANÅKER</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7750-2026</t>
        </is>
      </c>
      <c r="B357" t="inlineStr">
        <is>
          <t>avverkningsanmälan</t>
        </is>
      </c>
      <c r="C357" t="inlineStr">
        <is>
          <t>Föryngringsavverkning</t>
        </is>
      </c>
      <c r="D357" s="1" t="n">
        <v>46062</v>
      </c>
      <c r="E357" s="1" t="n">
        <v>46222</v>
      </c>
      <c r="F357" t="inlineStr">
        <is>
          <t>GÄVLEBORGS LÄN</t>
        </is>
      </c>
      <c r="G357" t="inlineStr">
        <is>
          <t>OVANÅKER</t>
        </is>
      </c>
      <c r="H357" t="inlineStr">
        <is>
          <t>Sveaskog</t>
        </is>
      </c>
      <c r="I357" t="n">
        <v>3.1</v>
      </c>
      <c r="J357" t="n">
        <v>0</v>
      </c>
      <c r="K357" t="n">
        <v>0</v>
      </c>
      <c r="L357" t="n">
        <v>0</v>
      </c>
      <c r="M357" t="n">
        <v>0</v>
      </c>
      <c r="N357" t="n">
        <v>0</v>
      </c>
      <c r="O357" t="n">
        <v>0</v>
      </c>
      <c r="P357" t="n">
        <v>0</v>
      </c>
      <c r="Q357" t="n">
        <v>0</v>
      </c>
      <c r="R357" t="n">
        <v>0</v>
      </c>
      <c r="S357" t="n">
        <v>0</v>
      </c>
      <c r="T357" t="n">
        <v>0</v>
      </c>
      <c r="U357" s="2" t="inlineStr"/>
    </row>
    <row r="358" ht="15" customHeight="1">
      <c r="A358" t="inlineStr">
        <is>
          <t>A 57478-2024</t>
        </is>
      </c>
      <c r="B358" t="inlineStr">
        <is>
          <t>avverkningsanmälan</t>
        </is>
      </c>
      <c r="C358" t="inlineStr">
        <is>
          <t>Föryngringsavverkning</t>
        </is>
      </c>
      <c r="D358" s="1" t="n">
        <v>45630</v>
      </c>
      <c r="E358" s="1" t="n">
        <v>46222</v>
      </c>
      <c r="F358" t="inlineStr">
        <is>
          <t>GÄVLEBORGS LÄN</t>
        </is>
      </c>
      <c r="G358" t="inlineStr">
        <is>
          <t>OVANÅKER</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50854-2025</t>
        </is>
      </c>
      <c r="B359" t="inlineStr">
        <is>
          <t>avverkningsanmälan</t>
        </is>
      </c>
      <c r="C359" t="inlineStr">
        <is>
          <t>Avverkning för annat ändamål</t>
        </is>
      </c>
      <c r="D359" s="1" t="n">
        <v>45946</v>
      </c>
      <c r="E359" s="1" t="n">
        <v>46222</v>
      </c>
      <c r="F359" t="inlineStr">
        <is>
          <t>GÄVLEBORGS LÄN</t>
        </is>
      </c>
      <c r="G359" t="inlineStr">
        <is>
          <t>OVANÅKER</t>
        </is>
      </c>
      <c r="H359" t="inlineStr">
        <is>
          <t>Bergvik skog väst AB</t>
        </is>
      </c>
      <c r="I359" t="n">
        <v>3</v>
      </c>
      <c r="J359" t="n">
        <v>0</v>
      </c>
      <c r="K359" t="n">
        <v>0</v>
      </c>
      <c r="L359" t="n">
        <v>0</v>
      </c>
      <c r="M359" t="n">
        <v>0</v>
      </c>
      <c r="N359" t="n">
        <v>0</v>
      </c>
      <c r="O359" t="n">
        <v>0</v>
      </c>
      <c r="P359" t="n">
        <v>0</v>
      </c>
      <c r="Q359" t="n">
        <v>0</v>
      </c>
      <c r="R359" t="n">
        <v>0</v>
      </c>
      <c r="S359" t="n">
        <v>0</v>
      </c>
      <c r="T359" t="n">
        <v>0</v>
      </c>
      <c r="U359" s="2" t="inlineStr"/>
    </row>
    <row r="360" ht="15" customHeight="1">
      <c r="A360" t="inlineStr">
        <is>
          <t>A 50446-2025</t>
        </is>
      </c>
      <c r="B360" t="inlineStr">
        <is>
          <t>avverkningsanmälan</t>
        </is>
      </c>
      <c r="C360" t="inlineStr">
        <is>
          <t>Föryngringsavverkning</t>
        </is>
      </c>
      <c r="D360" s="1" t="n">
        <v>45945</v>
      </c>
      <c r="E360" s="1" t="n">
        <v>46222</v>
      </c>
      <c r="F360" t="inlineStr">
        <is>
          <t>GÄVLEBORGS LÄN</t>
        </is>
      </c>
      <c r="G360" t="inlineStr">
        <is>
          <t>OVANÅKER</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51314-2025</t>
        </is>
      </c>
      <c r="B361" t="inlineStr">
        <is>
          <t>avverkningsanmälan</t>
        </is>
      </c>
      <c r="C361" t="inlineStr">
        <is>
          <t>Föryngringsavverkning</t>
        </is>
      </c>
      <c r="D361" s="1" t="n">
        <v>45950</v>
      </c>
      <c r="E361" s="1" t="n">
        <v>46222</v>
      </c>
      <c r="F361" t="inlineStr">
        <is>
          <t>GÄVLEBORGS LÄN</t>
        </is>
      </c>
      <c r="G361" t="inlineStr">
        <is>
          <t>OVANÅKER</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7752-2026</t>
        </is>
      </c>
      <c r="B362" t="inlineStr">
        <is>
          <t>avverkningsanmälan</t>
        </is>
      </c>
      <c r="C362" t="inlineStr">
        <is>
          <t>Föryngringsavverkning</t>
        </is>
      </c>
      <c r="D362" s="1" t="n">
        <v>46062</v>
      </c>
      <c r="E362" s="1" t="n">
        <v>46222</v>
      </c>
      <c r="F362" t="inlineStr">
        <is>
          <t>GÄVLEBORGS LÄN</t>
        </is>
      </c>
      <c r="G362" t="inlineStr">
        <is>
          <t>OVANÅKER</t>
        </is>
      </c>
      <c r="H362" t="inlineStr">
        <is>
          <t>Sveaskog</t>
        </is>
      </c>
      <c r="I362" t="n">
        <v>3.3</v>
      </c>
      <c r="J362" t="n">
        <v>0</v>
      </c>
      <c r="K362" t="n">
        <v>0</v>
      </c>
      <c r="L362" t="n">
        <v>0</v>
      </c>
      <c r="M362" t="n">
        <v>0</v>
      </c>
      <c r="N362" t="n">
        <v>0</v>
      </c>
      <c r="O362" t="n">
        <v>0</v>
      </c>
      <c r="P362" t="n">
        <v>0</v>
      </c>
      <c r="Q362" t="n">
        <v>0</v>
      </c>
      <c r="R362" t="n">
        <v>0</v>
      </c>
      <c r="S362" t="n">
        <v>0</v>
      </c>
      <c r="T362" t="n">
        <v>0</v>
      </c>
      <c r="U362" s="2" t="inlineStr"/>
    </row>
    <row r="363" ht="15" customHeight="1">
      <c r="A363" t="inlineStr">
        <is>
          <t>A 2176-2025</t>
        </is>
      </c>
      <c r="B363" t="inlineStr">
        <is>
          <t>avverkningsanmälan</t>
        </is>
      </c>
      <c r="C363" t="inlineStr">
        <is>
          <t>Föryngringsavverkning</t>
        </is>
      </c>
      <c r="D363" s="1" t="n">
        <v>45673</v>
      </c>
      <c r="E363" s="1" t="n">
        <v>46222</v>
      </c>
      <c r="F363" t="inlineStr">
        <is>
          <t>GÄVLEBORGS LÄN</t>
        </is>
      </c>
      <c r="G363" t="inlineStr">
        <is>
          <t>OVANÅKER</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7662-2026</t>
        </is>
      </c>
      <c r="B364" t="inlineStr">
        <is>
          <t>avverkningsanmälan</t>
        </is>
      </c>
      <c r="C364" t="inlineStr">
        <is>
          <t>Föryngringsavverkning</t>
        </is>
      </c>
      <c r="D364" s="1" t="n">
        <v>46062</v>
      </c>
      <c r="E364" s="1" t="n">
        <v>46222</v>
      </c>
      <c r="F364" t="inlineStr">
        <is>
          <t>GÄVLEBORGS LÄN</t>
        </is>
      </c>
      <c r="G364" t="inlineStr">
        <is>
          <t>OVANÅKER</t>
        </is>
      </c>
      <c r="I364" t="n">
        <v>2.8</v>
      </c>
      <c r="J364" t="n">
        <v>0</v>
      </c>
      <c r="K364" t="n">
        <v>0</v>
      </c>
      <c r="L364" t="n">
        <v>0</v>
      </c>
      <c r="M364" t="n">
        <v>0</v>
      </c>
      <c r="N364" t="n">
        <v>0</v>
      </c>
      <c r="O364" t="n">
        <v>0</v>
      </c>
      <c r="P364" t="n">
        <v>0</v>
      </c>
      <c r="Q364" t="n">
        <v>0</v>
      </c>
      <c r="R364" t="n">
        <v>0</v>
      </c>
      <c r="S364" t="n">
        <v>0</v>
      </c>
      <c r="T364" t="n">
        <v>0</v>
      </c>
      <c r="U364" s="2" t="inlineStr"/>
    </row>
    <row r="365" ht="15" customHeight="1">
      <c r="A365" t="inlineStr">
        <is>
          <t>A 50970-2025</t>
        </is>
      </c>
      <c r="B365" t="inlineStr">
        <is>
          <t>avverkningsanmälan</t>
        </is>
      </c>
      <c r="C365" t="inlineStr">
        <is>
          <t>Föryngringsavverkning</t>
        </is>
      </c>
      <c r="D365" s="1" t="n">
        <v>45947</v>
      </c>
      <c r="E365" s="1" t="n">
        <v>46222</v>
      </c>
      <c r="F365" t="inlineStr">
        <is>
          <t>GÄVLEBORGS LÄN</t>
        </is>
      </c>
      <c r="G365" t="inlineStr">
        <is>
          <t>OVANÅKER</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6657-2026</t>
        </is>
      </c>
      <c r="B366" t="inlineStr">
        <is>
          <t>avverkningsanmälan</t>
        </is>
      </c>
      <c r="C366" t="inlineStr">
        <is>
          <t>Föryngringsavverkning</t>
        </is>
      </c>
      <c r="D366" s="1" t="n">
        <v>46056</v>
      </c>
      <c r="E366" s="1" t="n">
        <v>46222</v>
      </c>
      <c r="F366" t="inlineStr">
        <is>
          <t>GÄVLEBORGS LÄN</t>
        </is>
      </c>
      <c r="G366" t="inlineStr">
        <is>
          <t>OVANÅKER</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8105-2026</t>
        </is>
      </c>
      <c r="B367" t="inlineStr">
        <is>
          <t>avverkningsanmälan</t>
        </is>
      </c>
      <c r="C367" t="inlineStr">
        <is>
          <t>Föryngringsavverkning</t>
        </is>
      </c>
      <c r="D367" s="1" t="n">
        <v>46059</v>
      </c>
      <c r="E367" s="1" t="n">
        <v>46222</v>
      </c>
      <c r="F367" t="inlineStr">
        <is>
          <t>GÄVLEBORGS LÄN</t>
        </is>
      </c>
      <c r="G367" t="inlineStr">
        <is>
          <t>OVANÅKER</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7747-2026</t>
        </is>
      </c>
      <c r="B368" t="inlineStr">
        <is>
          <t>avverkningsanmälan</t>
        </is>
      </c>
      <c r="C368" t="inlineStr">
        <is>
          <t>Föryngringsavverkning</t>
        </is>
      </c>
      <c r="D368" s="1" t="n">
        <v>46062</v>
      </c>
      <c r="E368" s="1" t="n">
        <v>46222</v>
      </c>
      <c r="F368" t="inlineStr">
        <is>
          <t>GÄVLEBORGS LÄN</t>
        </is>
      </c>
      <c r="G368" t="inlineStr">
        <is>
          <t>OVANÅKER</t>
        </is>
      </c>
      <c r="H368" t="inlineStr">
        <is>
          <t>Sveaskog</t>
        </is>
      </c>
      <c r="I368" t="n">
        <v>2.3</v>
      </c>
      <c r="J368" t="n">
        <v>0</v>
      </c>
      <c r="K368" t="n">
        <v>0</v>
      </c>
      <c r="L368" t="n">
        <v>0</v>
      </c>
      <c r="M368" t="n">
        <v>0</v>
      </c>
      <c r="N368" t="n">
        <v>0</v>
      </c>
      <c r="O368" t="n">
        <v>0</v>
      </c>
      <c r="P368" t="n">
        <v>0</v>
      </c>
      <c r="Q368" t="n">
        <v>0</v>
      </c>
      <c r="R368" t="n">
        <v>0</v>
      </c>
      <c r="S368" t="n">
        <v>0</v>
      </c>
      <c r="T368" t="n">
        <v>0</v>
      </c>
      <c r="U368" s="2" t="inlineStr"/>
    </row>
    <row r="369" ht="15" customHeight="1">
      <c r="A369" t="inlineStr">
        <is>
          <t>A 51570-2025</t>
        </is>
      </c>
      <c r="B369" t="inlineStr">
        <is>
          <t>avverkningsanmälan</t>
        </is>
      </c>
      <c r="C369" t="inlineStr">
        <is>
          <t>Föryngringsavverkning</t>
        </is>
      </c>
      <c r="D369" s="1" t="n">
        <v>45951</v>
      </c>
      <c r="E369" s="1" t="n">
        <v>46222</v>
      </c>
      <c r="F369" t="inlineStr">
        <is>
          <t>GÄVLEBORGS LÄN</t>
        </is>
      </c>
      <c r="G369" t="inlineStr">
        <is>
          <t>OVANÅKER</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5629-2025</t>
        </is>
      </c>
      <c r="B370" t="inlineStr">
        <is>
          <t>avverkningsanmälan</t>
        </is>
      </c>
      <c r="C370" t="inlineStr">
        <is>
          <t>Föryngringsavverkning</t>
        </is>
      </c>
      <c r="D370" s="1" t="n">
        <v>45693</v>
      </c>
      <c r="E370" s="1" t="n">
        <v>46222</v>
      </c>
      <c r="F370" t="inlineStr">
        <is>
          <t>GÄVLEBORGS LÄN</t>
        </is>
      </c>
      <c r="G370" t="inlineStr">
        <is>
          <t>OVANÅKER</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628-2025</t>
        </is>
      </c>
      <c r="B371" t="inlineStr">
        <is>
          <t>avverkningsanmälan</t>
        </is>
      </c>
      <c r="C371" t="inlineStr">
        <is>
          <t>Föryngringsavverkning</t>
        </is>
      </c>
      <c r="D371" s="1" t="n">
        <v>45664</v>
      </c>
      <c r="E371" s="1" t="n">
        <v>46222</v>
      </c>
      <c r="F371" t="inlineStr">
        <is>
          <t>GÄVLEBORGS LÄN</t>
        </is>
      </c>
      <c r="G371" t="inlineStr">
        <is>
          <t>OVANÅKER</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52100-2025</t>
        </is>
      </c>
      <c r="B372" t="inlineStr">
        <is>
          <t>avverkningsanmälan</t>
        </is>
      </c>
      <c r="C372" t="inlineStr">
        <is>
          <t>Föryngringsavverkning</t>
        </is>
      </c>
      <c r="D372" s="1" t="n">
        <v>45952</v>
      </c>
      <c r="E372" s="1" t="n">
        <v>46222</v>
      </c>
      <c r="F372" t="inlineStr">
        <is>
          <t>GÄVLEBORGS LÄN</t>
        </is>
      </c>
      <c r="G372" t="inlineStr">
        <is>
          <t>OVANÅKER</t>
        </is>
      </c>
      <c r="I372" t="n">
        <v>0.8</v>
      </c>
      <c r="J372" t="n">
        <v>0</v>
      </c>
      <c r="K372" t="n">
        <v>0</v>
      </c>
      <c r="L372" t="n">
        <v>0</v>
      </c>
      <c r="M372" t="n">
        <v>0</v>
      </c>
      <c r="N372" t="n">
        <v>0</v>
      </c>
      <c r="O372" t="n">
        <v>0</v>
      </c>
      <c r="P372" t="n">
        <v>0</v>
      </c>
      <c r="Q372" t="n">
        <v>0</v>
      </c>
      <c r="R372" t="n">
        <v>0</v>
      </c>
      <c r="S372" t="n">
        <v>0</v>
      </c>
      <c r="T372" t="n">
        <v>0</v>
      </c>
      <c r="U372" s="2" t="inlineStr"/>
    </row>
    <row r="373" ht="15" customHeight="1">
      <c r="A373" t="inlineStr">
        <is>
          <t>A 8308-2026</t>
        </is>
      </c>
      <c r="B373" t="inlineStr">
        <is>
          <t>avverkningsanmälan</t>
        </is>
      </c>
      <c r="C373" t="inlineStr">
        <is>
          <t>Föryngringsavverkning</t>
        </is>
      </c>
      <c r="D373" s="1" t="n">
        <v>46064</v>
      </c>
      <c r="E373" s="1" t="n">
        <v>46222</v>
      </c>
      <c r="F373" t="inlineStr">
        <is>
          <t>GÄVLEBORGS LÄN</t>
        </is>
      </c>
      <c r="G373" t="inlineStr">
        <is>
          <t>OVANÅKER</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8316-2026</t>
        </is>
      </c>
      <c r="B374" t="inlineStr">
        <is>
          <t>avverkningsanmälan</t>
        </is>
      </c>
      <c r="C374" t="inlineStr">
        <is>
          <t>Föryngringsavverkning</t>
        </is>
      </c>
      <c r="D374" s="1" t="n">
        <v>46064</v>
      </c>
      <c r="E374" s="1" t="n">
        <v>46222</v>
      </c>
      <c r="F374" t="inlineStr">
        <is>
          <t>GÄVLEBORGS LÄN</t>
        </is>
      </c>
      <c r="G374" t="inlineStr">
        <is>
          <t>OVANÅKER</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8331-2026</t>
        </is>
      </c>
      <c r="B375" t="inlineStr">
        <is>
          <t>avverkningsanmälan</t>
        </is>
      </c>
      <c r="C375" t="inlineStr">
        <is>
          <t>Föryngringsavverkning</t>
        </is>
      </c>
      <c r="D375" s="1" t="n">
        <v>46064</v>
      </c>
      <c r="E375" s="1" t="n">
        <v>46222</v>
      </c>
      <c r="F375" t="inlineStr">
        <is>
          <t>GÄVLEBORGS LÄN</t>
        </is>
      </c>
      <c r="G375" t="inlineStr">
        <is>
          <t>OVANÅKER</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7904-2026</t>
        </is>
      </c>
      <c r="B376" t="inlineStr">
        <is>
          <t>avverkningsanmälan</t>
        </is>
      </c>
      <c r="C376" t="inlineStr">
        <is>
          <t>Föryngringsavverkning</t>
        </is>
      </c>
      <c r="D376" s="1" t="n">
        <v>46063</v>
      </c>
      <c r="E376" s="1" t="n">
        <v>46222</v>
      </c>
      <c r="F376" t="inlineStr">
        <is>
          <t>GÄVLEBORGS LÄN</t>
        </is>
      </c>
      <c r="G376" t="inlineStr">
        <is>
          <t>OVANÅKER</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8243-2026</t>
        </is>
      </c>
      <c r="B377" t="inlineStr">
        <is>
          <t>avverkningsanmälan</t>
        </is>
      </c>
      <c r="C377" t="inlineStr">
        <is>
          <t>Föryngringsavverkning</t>
        </is>
      </c>
      <c r="D377" s="1" t="n">
        <v>46064</v>
      </c>
      <c r="E377" s="1" t="n">
        <v>46222</v>
      </c>
      <c r="F377" t="inlineStr">
        <is>
          <t>GÄVLEBORGS LÄN</t>
        </is>
      </c>
      <c r="G377" t="inlineStr">
        <is>
          <t>OVANÅKER</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52543-2025</t>
        </is>
      </c>
      <c r="B378" t="inlineStr">
        <is>
          <t>avverkningsanmälan</t>
        </is>
      </c>
      <c r="C378" t="inlineStr">
        <is>
          <t>Föryngringsavverkning</t>
        </is>
      </c>
      <c r="D378" s="1" t="n">
        <v>45954</v>
      </c>
      <c r="E378" s="1" t="n">
        <v>46222</v>
      </c>
      <c r="F378" t="inlineStr">
        <is>
          <t>GÄVLEBORGS LÄN</t>
        </is>
      </c>
      <c r="G378" t="inlineStr">
        <is>
          <t>OVANÅKER</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8287-2026</t>
        </is>
      </c>
      <c r="B379" t="inlineStr">
        <is>
          <t>avverkningsanmälan</t>
        </is>
      </c>
      <c r="C379" t="inlineStr">
        <is>
          <t>Föryngringsavverkning</t>
        </is>
      </c>
      <c r="D379" s="1" t="n">
        <v>46064</v>
      </c>
      <c r="E379" s="1" t="n">
        <v>46222</v>
      </c>
      <c r="F379" t="inlineStr">
        <is>
          <t>GÄVLEBORGS LÄN</t>
        </is>
      </c>
      <c r="G379" t="inlineStr">
        <is>
          <t>OVANÅKER</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7960-2026</t>
        </is>
      </c>
      <c r="B380" t="inlineStr">
        <is>
          <t>avverkningsanmälan</t>
        </is>
      </c>
      <c r="C380" t="inlineStr">
        <is>
          <t>Föryngringsavverkning</t>
        </is>
      </c>
      <c r="D380" s="1" t="n">
        <v>46063</v>
      </c>
      <c r="E380" s="1" t="n">
        <v>46222</v>
      </c>
      <c r="F380" t="inlineStr">
        <is>
          <t>GÄVLEBORGS LÄN</t>
        </is>
      </c>
      <c r="G380" t="inlineStr">
        <is>
          <t>OVANÅKER</t>
        </is>
      </c>
      <c r="H380" t="inlineStr">
        <is>
          <t>Sveaskog</t>
        </is>
      </c>
      <c r="I380" t="n">
        <v>3</v>
      </c>
      <c r="J380" t="n">
        <v>0</v>
      </c>
      <c r="K380" t="n">
        <v>0</v>
      </c>
      <c r="L380" t="n">
        <v>0</v>
      </c>
      <c r="M380" t="n">
        <v>0</v>
      </c>
      <c r="N380" t="n">
        <v>0</v>
      </c>
      <c r="O380" t="n">
        <v>0</v>
      </c>
      <c r="P380" t="n">
        <v>0</v>
      </c>
      <c r="Q380" t="n">
        <v>0</v>
      </c>
      <c r="R380" t="n">
        <v>0</v>
      </c>
      <c r="S380" t="n">
        <v>0</v>
      </c>
      <c r="T380" t="n">
        <v>0</v>
      </c>
      <c r="U380" s="2" t="inlineStr"/>
    </row>
    <row r="381" ht="15" customHeight="1">
      <c r="A381" t="inlineStr">
        <is>
          <t>A 52399-2025</t>
        </is>
      </c>
      <c r="B381" t="inlineStr">
        <is>
          <t>avverkningsanmälan</t>
        </is>
      </c>
      <c r="C381" t="inlineStr">
        <is>
          <t>Föryngringsavverkning</t>
        </is>
      </c>
      <c r="D381" s="1" t="n">
        <v>45954</v>
      </c>
      <c r="E381" s="1" t="n">
        <v>46222</v>
      </c>
      <c r="F381" t="inlineStr">
        <is>
          <t>GÄVLEBORGS LÄN</t>
        </is>
      </c>
      <c r="G381" t="inlineStr">
        <is>
          <t>OVANÅKER</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8183-2026</t>
        </is>
      </c>
      <c r="B382" t="inlineStr">
        <is>
          <t>avverkningsanmälan</t>
        </is>
      </c>
      <c r="C382" t="inlineStr">
        <is>
          <t>Föryngringsavverkning</t>
        </is>
      </c>
      <c r="D382" s="1" t="n">
        <v>46064</v>
      </c>
      <c r="E382" s="1" t="n">
        <v>46222</v>
      </c>
      <c r="F382" t="inlineStr">
        <is>
          <t>GÄVLEBORGS LÄN</t>
        </is>
      </c>
      <c r="G382" t="inlineStr">
        <is>
          <t>OVANÅKER</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8267-2026</t>
        </is>
      </c>
      <c r="B383" t="inlineStr">
        <is>
          <t>avverkningsanmälan</t>
        </is>
      </c>
      <c r="C383" t="inlineStr">
        <is>
          <t>Föryngringsavverkning</t>
        </is>
      </c>
      <c r="D383" s="1" t="n">
        <v>46064</v>
      </c>
      <c r="E383" s="1" t="n">
        <v>46222</v>
      </c>
      <c r="F383" t="inlineStr">
        <is>
          <t>GÄVLEBORGS LÄN</t>
        </is>
      </c>
      <c r="G383" t="inlineStr">
        <is>
          <t>OVANÅKER</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52400-2025</t>
        </is>
      </c>
      <c r="B384" t="inlineStr">
        <is>
          <t>avverkningsanmälan</t>
        </is>
      </c>
      <c r="C384" t="inlineStr">
        <is>
          <t>Föryngringsavverkning</t>
        </is>
      </c>
      <c r="D384" s="1" t="n">
        <v>45954</v>
      </c>
      <c r="E384" s="1" t="n">
        <v>46222</v>
      </c>
      <c r="F384" t="inlineStr">
        <is>
          <t>GÄVLEBORGS LÄN</t>
        </is>
      </c>
      <c r="G384" t="inlineStr">
        <is>
          <t>OVANÅKER</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8213-2026</t>
        </is>
      </c>
      <c r="B385" t="inlineStr">
        <is>
          <t>avverkningsanmälan</t>
        </is>
      </c>
      <c r="C385" t="inlineStr">
        <is>
          <t>Föryngringsavverkning</t>
        </is>
      </c>
      <c r="D385" s="1" t="n">
        <v>46064</v>
      </c>
      <c r="E385" s="1" t="n">
        <v>46222</v>
      </c>
      <c r="F385" t="inlineStr">
        <is>
          <t>GÄVLEBORGS LÄN</t>
        </is>
      </c>
      <c r="G385" t="inlineStr">
        <is>
          <t>OVANÅKER</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52550-2025</t>
        </is>
      </c>
      <c r="B386" t="inlineStr">
        <is>
          <t>avverkningsanmälan</t>
        </is>
      </c>
      <c r="C386" t="inlineStr">
        <is>
          <t>Föryngringsavverkning</t>
        </is>
      </c>
      <c r="D386" s="1" t="n">
        <v>45954</v>
      </c>
      <c r="E386" s="1" t="n">
        <v>46222</v>
      </c>
      <c r="F386" t="inlineStr">
        <is>
          <t>GÄVLEBORGS LÄN</t>
        </is>
      </c>
      <c r="G386" t="inlineStr">
        <is>
          <t>OVANÅKER</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8699-2026</t>
        </is>
      </c>
      <c r="B387" t="inlineStr">
        <is>
          <t>avverkningsanmälan</t>
        </is>
      </c>
      <c r="C387" t="inlineStr">
        <is>
          <t>Föryngringsavverkning</t>
        </is>
      </c>
      <c r="D387" s="1" t="n">
        <v>46066</v>
      </c>
      <c r="E387" s="1" t="n">
        <v>46222</v>
      </c>
      <c r="F387" t="inlineStr">
        <is>
          <t>GÄVLEBORGS LÄN</t>
        </is>
      </c>
      <c r="G387" t="inlineStr">
        <is>
          <t>OVANÅKER</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8827-2026</t>
        </is>
      </c>
      <c r="B388" t="inlineStr">
        <is>
          <t>avverkningsanmälan</t>
        </is>
      </c>
      <c r="C388" t="inlineStr">
        <is>
          <t>Föryngringsavverkning</t>
        </is>
      </c>
      <c r="D388" s="1" t="n">
        <v>46066</v>
      </c>
      <c r="E388" s="1" t="n">
        <v>46222</v>
      </c>
      <c r="F388" t="inlineStr">
        <is>
          <t>GÄVLEBORGS LÄN</t>
        </is>
      </c>
      <c r="G388" t="inlineStr">
        <is>
          <t>OVANÅKER</t>
        </is>
      </c>
      <c r="I388" t="n">
        <v>3.7</v>
      </c>
      <c r="J388" t="n">
        <v>0</v>
      </c>
      <c r="K388" t="n">
        <v>0</v>
      </c>
      <c r="L388" t="n">
        <v>0</v>
      </c>
      <c r="M388" t="n">
        <v>0</v>
      </c>
      <c r="N388" t="n">
        <v>0</v>
      </c>
      <c r="O388" t="n">
        <v>0</v>
      </c>
      <c r="P388" t="n">
        <v>0</v>
      </c>
      <c r="Q388" t="n">
        <v>0</v>
      </c>
      <c r="R388" t="n">
        <v>0</v>
      </c>
      <c r="S388" t="n">
        <v>0</v>
      </c>
      <c r="T388" t="n">
        <v>0</v>
      </c>
      <c r="U388" s="2" t="inlineStr"/>
    </row>
    <row r="389" ht="15" customHeight="1">
      <c r="A389" t="inlineStr">
        <is>
          <t>A 35352-2024</t>
        </is>
      </c>
      <c r="B389" t="inlineStr">
        <is>
          <t>avverkningsanmälan</t>
        </is>
      </c>
      <c r="C389" t="inlineStr">
        <is>
          <t>Avverkning för att bevara och utveckla /försöksver</t>
        </is>
      </c>
      <c r="D389" s="1" t="n">
        <v>45531</v>
      </c>
      <c r="E389" s="1" t="n">
        <v>46222</v>
      </c>
      <c r="F389" t="inlineStr">
        <is>
          <t>GÄVLEBORGS LÄN</t>
        </is>
      </c>
      <c r="G389" t="inlineStr">
        <is>
          <t>OVANÅKER</t>
        </is>
      </c>
      <c r="H389" t="inlineStr">
        <is>
          <t>Sveaskog</t>
        </is>
      </c>
      <c r="I389" t="n">
        <v>9.199999999999999</v>
      </c>
      <c r="J389" t="n">
        <v>0</v>
      </c>
      <c r="K389" t="n">
        <v>0</v>
      </c>
      <c r="L389" t="n">
        <v>0</v>
      </c>
      <c r="M389" t="n">
        <v>0</v>
      </c>
      <c r="N389" t="n">
        <v>0</v>
      </c>
      <c r="O389" t="n">
        <v>0</v>
      </c>
      <c r="P389" t="n">
        <v>0</v>
      </c>
      <c r="Q389" t="n">
        <v>0</v>
      </c>
      <c r="R389" t="n">
        <v>0</v>
      </c>
      <c r="S389" t="n">
        <v>0</v>
      </c>
      <c r="T389" t="n">
        <v>0</v>
      </c>
      <c r="U389" s="2" t="inlineStr"/>
    </row>
    <row r="390" ht="15" customHeight="1">
      <c r="A390" t="inlineStr">
        <is>
          <t>A 8411-2026</t>
        </is>
      </c>
      <c r="B390" t="inlineStr">
        <is>
          <t>avverkningsanmälan</t>
        </is>
      </c>
      <c r="C390" t="inlineStr">
        <is>
          <t>Föryngringsavverkning</t>
        </is>
      </c>
      <c r="D390" s="1" t="n">
        <v>46065</v>
      </c>
      <c r="E390" s="1" t="n">
        <v>46222</v>
      </c>
      <c r="F390" t="inlineStr">
        <is>
          <t>GÄVLEBORGS LÄN</t>
        </is>
      </c>
      <c r="G390" t="inlineStr">
        <is>
          <t>OVANÅKER</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40400-2022</t>
        </is>
      </c>
      <c r="B391" t="inlineStr">
        <is>
          <t>avverkningsanmälan</t>
        </is>
      </c>
      <c r="C391" t="inlineStr">
        <is>
          <t>Föryngringsavverkning</t>
        </is>
      </c>
      <c r="D391" s="1" t="n">
        <v>44823</v>
      </c>
      <c r="E391" s="1" t="n">
        <v>46222</v>
      </c>
      <c r="F391" t="inlineStr">
        <is>
          <t>GÄVLEBORGS LÄN</t>
        </is>
      </c>
      <c r="G391" t="inlineStr">
        <is>
          <t>OVANÅKER</t>
        </is>
      </c>
      <c r="H391" t="inlineStr">
        <is>
          <t>Bergvik skog väst AB</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8378-2026</t>
        </is>
      </c>
      <c r="B392" t="inlineStr">
        <is>
          <t>avverkningsanmälan</t>
        </is>
      </c>
      <c r="C392" t="inlineStr">
        <is>
          <t>Föryngringsavverkning</t>
        </is>
      </c>
      <c r="D392" s="1" t="n">
        <v>46064</v>
      </c>
      <c r="E392" s="1" t="n">
        <v>46222</v>
      </c>
      <c r="F392" t="inlineStr">
        <is>
          <t>GÄVLEBORGS LÄN</t>
        </is>
      </c>
      <c r="G392" t="inlineStr">
        <is>
          <t>OVANÅKER</t>
        </is>
      </c>
      <c r="I392" t="n">
        <v>7.3</v>
      </c>
      <c r="J392" t="n">
        <v>0</v>
      </c>
      <c r="K392" t="n">
        <v>0</v>
      </c>
      <c r="L392" t="n">
        <v>0</v>
      </c>
      <c r="M392" t="n">
        <v>0</v>
      </c>
      <c r="N392" t="n">
        <v>0</v>
      </c>
      <c r="O392" t="n">
        <v>0</v>
      </c>
      <c r="P392" t="n">
        <v>0</v>
      </c>
      <c r="Q392" t="n">
        <v>0</v>
      </c>
      <c r="R392" t="n">
        <v>0</v>
      </c>
      <c r="S392" t="n">
        <v>0</v>
      </c>
      <c r="T392" t="n">
        <v>0</v>
      </c>
      <c r="U392" s="2" t="inlineStr"/>
    </row>
    <row r="393" ht="15" customHeight="1">
      <c r="A393" t="inlineStr">
        <is>
          <t>A 8913-2026</t>
        </is>
      </c>
      <c r="B393" t="inlineStr">
        <is>
          <t>avverkningsanmälan</t>
        </is>
      </c>
      <c r="C393" t="inlineStr">
        <is>
          <t>Föryngringsavverkning</t>
        </is>
      </c>
      <c r="D393" s="1" t="n">
        <v>46069</v>
      </c>
      <c r="E393" s="1" t="n">
        <v>46222</v>
      </c>
      <c r="F393" t="inlineStr">
        <is>
          <t>GÄVLEBORGS LÄN</t>
        </is>
      </c>
      <c r="G393" t="inlineStr">
        <is>
          <t>OVANÅKER</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62774-2021</t>
        </is>
      </c>
      <c r="B394" t="inlineStr">
        <is>
          <t>avverkningsanmälan</t>
        </is>
      </c>
      <c r="C394" t="inlineStr">
        <is>
          <t>Avverkning för annat ändamål</t>
        </is>
      </c>
      <c r="D394" s="1" t="n">
        <v>44503</v>
      </c>
      <c r="E394" s="1" t="n">
        <v>46222</v>
      </c>
      <c r="F394" t="inlineStr">
        <is>
          <t>GÄVLEBORGS LÄN</t>
        </is>
      </c>
      <c r="G394" t="inlineStr">
        <is>
          <t>OVANÅKER</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53758-2025</t>
        </is>
      </c>
      <c r="B395" t="inlineStr">
        <is>
          <t>avverkningsanmälan</t>
        </is>
      </c>
      <c r="C395" t="inlineStr">
        <is>
          <t>Föryngringsavverkning</t>
        </is>
      </c>
      <c r="D395" s="1" t="n">
        <v>45960</v>
      </c>
      <c r="E395" s="1" t="n">
        <v>46222</v>
      </c>
      <c r="F395" t="inlineStr">
        <is>
          <t>GÄVLEBORGS LÄN</t>
        </is>
      </c>
      <c r="G395" t="inlineStr">
        <is>
          <t>OVANÅKER</t>
        </is>
      </c>
      <c r="I395" t="n">
        <v>2.9</v>
      </c>
      <c r="J395" t="n">
        <v>0</v>
      </c>
      <c r="K395" t="n">
        <v>0</v>
      </c>
      <c r="L395" t="n">
        <v>0</v>
      </c>
      <c r="M395" t="n">
        <v>0</v>
      </c>
      <c r="N395" t="n">
        <v>0</v>
      </c>
      <c r="O395" t="n">
        <v>0</v>
      </c>
      <c r="P395" t="n">
        <v>0</v>
      </c>
      <c r="Q395" t="n">
        <v>0</v>
      </c>
      <c r="R395" t="n">
        <v>0</v>
      </c>
      <c r="S395" t="n">
        <v>0</v>
      </c>
      <c r="T395" t="n">
        <v>0</v>
      </c>
      <c r="U395" s="2" t="inlineStr"/>
    </row>
    <row r="396" ht="15" customHeight="1">
      <c r="A396" t="inlineStr">
        <is>
          <t>A 53598-2025</t>
        </is>
      </c>
      <c r="B396" t="inlineStr">
        <is>
          <t>avverkningsanmälan</t>
        </is>
      </c>
      <c r="C396" t="inlineStr">
        <is>
          <t>Avverkning för annat ändamål</t>
        </is>
      </c>
      <c r="D396" s="1" t="n">
        <v>45960</v>
      </c>
      <c r="E396" s="1" t="n">
        <v>46222</v>
      </c>
      <c r="F396" t="inlineStr">
        <is>
          <t>GÄVLEBORGS LÄN</t>
        </is>
      </c>
      <c r="G396" t="inlineStr">
        <is>
          <t>OVANÅKER</t>
        </is>
      </c>
      <c r="H396" t="inlineStr">
        <is>
          <t>Bergvik skog väst AB</t>
        </is>
      </c>
      <c r="I396" t="n">
        <v>1.8</v>
      </c>
      <c r="J396" t="n">
        <v>0</v>
      </c>
      <c r="K396" t="n">
        <v>0</v>
      </c>
      <c r="L396" t="n">
        <v>0</v>
      </c>
      <c r="M396" t="n">
        <v>0</v>
      </c>
      <c r="N396" t="n">
        <v>0</v>
      </c>
      <c r="O396" t="n">
        <v>0</v>
      </c>
      <c r="P396" t="n">
        <v>0</v>
      </c>
      <c r="Q396" t="n">
        <v>0</v>
      </c>
      <c r="R396" t="n">
        <v>0</v>
      </c>
      <c r="S396" t="n">
        <v>0</v>
      </c>
      <c r="T396" t="n">
        <v>0</v>
      </c>
      <c r="U396" s="2" t="inlineStr"/>
    </row>
    <row r="397" ht="15" customHeight="1">
      <c r="A397" t="inlineStr">
        <is>
          <t>A 8999-2026</t>
        </is>
      </c>
      <c r="B397" t="inlineStr">
        <is>
          <t>avverkningsanmälan</t>
        </is>
      </c>
      <c r="C397" t="inlineStr">
        <is>
          <t>Föryngringsavverkning</t>
        </is>
      </c>
      <c r="D397" s="1" t="n">
        <v>46069</v>
      </c>
      <c r="E397" s="1" t="n">
        <v>46222</v>
      </c>
      <c r="F397" t="inlineStr">
        <is>
          <t>GÄVLEBORGS LÄN</t>
        </is>
      </c>
      <c r="G397" t="inlineStr">
        <is>
          <t>OVANÅKER</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53760-2025</t>
        </is>
      </c>
      <c r="B398" t="inlineStr">
        <is>
          <t>avverkningsanmälan</t>
        </is>
      </c>
      <c r="C398" t="inlineStr">
        <is>
          <t>Föryngringsavverkning</t>
        </is>
      </c>
      <c r="D398" s="1" t="n">
        <v>45960</v>
      </c>
      <c r="E398" s="1" t="n">
        <v>46222</v>
      </c>
      <c r="F398" t="inlineStr">
        <is>
          <t>GÄVLEBORGS LÄN</t>
        </is>
      </c>
      <c r="G398" t="inlineStr">
        <is>
          <t>OVANÅKER</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8910-2026</t>
        </is>
      </c>
      <c r="B399" t="inlineStr">
        <is>
          <t>avverkningsanmälan</t>
        </is>
      </c>
      <c r="C399" t="inlineStr">
        <is>
          <t>Föryngringsavverkning</t>
        </is>
      </c>
      <c r="D399" s="1" t="n">
        <v>46069</v>
      </c>
      <c r="E399" s="1" t="n">
        <v>46222</v>
      </c>
      <c r="F399" t="inlineStr">
        <is>
          <t>GÄVLEBORGS LÄN</t>
        </is>
      </c>
      <c r="G399" t="inlineStr">
        <is>
          <t>OVANÅKER</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8911-2026</t>
        </is>
      </c>
      <c r="B400" t="inlineStr">
        <is>
          <t>avverkningsanmälan</t>
        </is>
      </c>
      <c r="C400" t="inlineStr">
        <is>
          <t>Föryngringsavverkning</t>
        </is>
      </c>
      <c r="D400" s="1" t="n">
        <v>46069</v>
      </c>
      <c r="E400" s="1" t="n">
        <v>46222</v>
      </c>
      <c r="F400" t="inlineStr">
        <is>
          <t>GÄVLEBORGS LÄN</t>
        </is>
      </c>
      <c r="G400" t="inlineStr">
        <is>
          <t>OVANÅKER</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A 53519-2025</t>
        </is>
      </c>
      <c r="B401" t="inlineStr">
        <is>
          <t>avverkningsanmälan</t>
        </is>
      </c>
      <c r="C401" t="inlineStr">
        <is>
          <t>Föryngringsavverkning</t>
        </is>
      </c>
      <c r="D401" s="1" t="n">
        <v>45960</v>
      </c>
      <c r="E401" s="1" t="n">
        <v>46222</v>
      </c>
      <c r="F401" t="inlineStr">
        <is>
          <t>GÄVLEBORGS LÄN</t>
        </is>
      </c>
      <c r="G401" t="inlineStr">
        <is>
          <t>OVANÅKER</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25133-2022</t>
        </is>
      </c>
      <c r="B402" t="inlineStr">
        <is>
          <t>avverkningsanmälan</t>
        </is>
      </c>
      <c r="C402" t="inlineStr">
        <is>
          <t>Föryngringsavverkning</t>
        </is>
      </c>
      <c r="D402" s="1" t="n">
        <v>44729</v>
      </c>
      <c r="E402" s="1" t="n">
        <v>46222</v>
      </c>
      <c r="F402" t="inlineStr">
        <is>
          <t>GÄVLEBORGS LÄN</t>
        </is>
      </c>
      <c r="G402" t="inlineStr">
        <is>
          <t>OVANÅKER</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8893-2026</t>
        </is>
      </c>
      <c r="B403" t="inlineStr">
        <is>
          <t>avverkningsanmälan</t>
        </is>
      </c>
      <c r="C403" t="inlineStr">
        <is>
          <t>Föryngringsavverkning</t>
        </is>
      </c>
      <c r="D403" s="1" t="n">
        <v>46068</v>
      </c>
      <c r="E403" s="1" t="n">
        <v>46222</v>
      </c>
      <c r="F403" t="inlineStr">
        <is>
          <t>GÄVLEBORGS LÄN</t>
        </is>
      </c>
      <c r="G403" t="inlineStr">
        <is>
          <t>OVANÅKER</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8895-2026</t>
        </is>
      </c>
      <c r="B404" t="inlineStr">
        <is>
          <t>avverkningsanmälan</t>
        </is>
      </c>
      <c r="C404" t="inlineStr">
        <is>
          <t>Föryngringsavverkning</t>
        </is>
      </c>
      <c r="D404" s="1" t="n">
        <v>46068</v>
      </c>
      <c r="E404" s="1" t="n">
        <v>46222</v>
      </c>
      <c r="F404" t="inlineStr">
        <is>
          <t>GÄVLEBORGS LÄN</t>
        </is>
      </c>
      <c r="G404" t="inlineStr">
        <is>
          <t>OVANÅKER</t>
        </is>
      </c>
      <c r="I404" t="n">
        <v>2.5</v>
      </c>
      <c r="J404" t="n">
        <v>0</v>
      </c>
      <c r="K404" t="n">
        <v>0</v>
      </c>
      <c r="L404" t="n">
        <v>0</v>
      </c>
      <c r="M404" t="n">
        <v>0</v>
      </c>
      <c r="N404" t="n">
        <v>0</v>
      </c>
      <c r="O404" t="n">
        <v>0</v>
      </c>
      <c r="P404" t="n">
        <v>0</v>
      </c>
      <c r="Q404" t="n">
        <v>0</v>
      </c>
      <c r="R404" t="n">
        <v>0</v>
      </c>
      <c r="S404" t="n">
        <v>0</v>
      </c>
      <c r="T404" t="n">
        <v>0</v>
      </c>
      <c r="U404" s="2" t="inlineStr"/>
    </row>
    <row r="405" ht="15" customHeight="1">
      <c r="A405" t="inlineStr">
        <is>
          <t>A 53592-2025</t>
        </is>
      </c>
      <c r="B405" t="inlineStr">
        <is>
          <t>avverkningsanmälan</t>
        </is>
      </c>
      <c r="C405" t="inlineStr">
        <is>
          <t>Föryngringsavverkning</t>
        </is>
      </c>
      <c r="D405" s="1" t="n">
        <v>45960</v>
      </c>
      <c r="E405" s="1" t="n">
        <v>46222</v>
      </c>
      <c r="F405" t="inlineStr">
        <is>
          <t>GÄVLEBORGS LÄN</t>
        </is>
      </c>
      <c r="G405" t="inlineStr">
        <is>
          <t>OVANÅKER</t>
        </is>
      </c>
      <c r="I405" t="n">
        <v>5.8</v>
      </c>
      <c r="J405" t="n">
        <v>0</v>
      </c>
      <c r="K405" t="n">
        <v>0</v>
      </c>
      <c r="L405" t="n">
        <v>0</v>
      </c>
      <c r="M405" t="n">
        <v>0</v>
      </c>
      <c r="N405" t="n">
        <v>0</v>
      </c>
      <c r="O405" t="n">
        <v>0</v>
      </c>
      <c r="P405" t="n">
        <v>0</v>
      </c>
      <c r="Q405" t="n">
        <v>0</v>
      </c>
      <c r="R405" t="n">
        <v>0</v>
      </c>
      <c r="S405" t="n">
        <v>0</v>
      </c>
      <c r="T405" t="n">
        <v>0</v>
      </c>
      <c r="U405" s="2" t="inlineStr"/>
    </row>
    <row r="406" ht="15" customHeight="1">
      <c r="A406" t="inlineStr">
        <is>
          <t>A 8896-2026</t>
        </is>
      </c>
      <c r="B406" t="inlineStr">
        <is>
          <t>avverkningsanmälan</t>
        </is>
      </c>
      <c r="C406" t="inlineStr">
        <is>
          <t>Föryngringsavverkning</t>
        </is>
      </c>
      <c r="D406" s="1" t="n">
        <v>46068</v>
      </c>
      <c r="E406" s="1" t="n">
        <v>46222</v>
      </c>
      <c r="F406" t="inlineStr">
        <is>
          <t>GÄVLEBORGS LÄN</t>
        </is>
      </c>
      <c r="G406" t="inlineStr">
        <is>
          <t>OVANÅKER</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8891-2026</t>
        </is>
      </c>
      <c r="B407" t="inlineStr">
        <is>
          <t>avverkningsanmälan</t>
        </is>
      </c>
      <c r="C407" t="inlineStr">
        <is>
          <t>Föryngringsavverkning</t>
        </is>
      </c>
      <c r="D407" s="1" t="n">
        <v>46068</v>
      </c>
      <c r="E407" s="1" t="n">
        <v>46222</v>
      </c>
      <c r="F407" t="inlineStr">
        <is>
          <t>GÄVLEBORGS LÄN</t>
        </is>
      </c>
      <c r="G407" t="inlineStr">
        <is>
          <t>OVANÅKER</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53492-2025</t>
        </is>
      </c>
      <c r="B408" t="inlineStr">
        <is>
          <t>avverkningsanmälan</t>
        </is>
      </c>
      <c r="C408" t="inlineStr">
        <is>
          <t>Föryngringsavverkning</t>
        </is>
      </c>
      <c r="D408" s="1" t="n">
        <v>45960</v>
      </c>
      <c r="E408" s="1" t="n">
        <v>46222</v>
      </c>
      <c r="F408" t="inlineStr">
        <is>
          <t>GÄVLEBORGS LÄN</t>
        </is>
      </c>
      <c r="G408" t="inlineStr">
        <is>
          <t>OVANÅKER</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5331-2025</t>
        </is>
      </c>
      <c r="B409" t="inlineStr">
        <is>
          <t>avverkningsanmälan</t>
        </is>
      </c>
      <c r="C409" t="inlineStr">
        <is>
          <t>Föryngringsavverkning</t>
        </is>
      </c>
      <c r="D409" s="1" t="n">
        <v>45692</v>
      </c>
      <c r="E409" s="1" t="n">
        <v>46222</v>
      </c>
      <c r="F409" t="inlineStr">
        <is>
          <t>GÄVLEBORGS LÄN</t>
        </is>
      </c>
      <c r="G409" t="inlineStr">
        <is>
          <t>OVANÅKER</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53526-2025</t>
        </is>
      </c>
      <c r="B410" t="inlineStr">
        <is>
          <t>avverkningsanmälan</t>
        </is>
      </c>
      <c r="C410" t="inlineStr">
        <is>
          <t>Föryngringsavverkning</t>
        </is>
      </c>
      <c r="D410" s="1" t="n">
        <v>45960</v>
      </c>
      <c r="E410" s="1" t="n">
        <v>46222</v>
      </c>
      <c r="F410" t="inlineStr">
        <is>
          <t>GÄVLEBORGS LÄN</t>
        </is>
      </c>
      <c r="G410" t="inlineStr">
        <is>
          <t>OVANÅKER</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9715-2026</t>
        </is>
      </c>
      <c r="B411" t="inlineStr">
        <is>
          <t>avverkningsanmälan</t>
        </is>
      </c>
      <c r="C411" t="inlineStr">
        <is>
          <t>Föryngringsavverkning</t>
        </is>
      </c>
      <c r="D411" s="1" t="n">
        <v>46072</v>
      </c>
      <c r="E411" s="1" t="n">
        <v>46222</v>
      </c>
      <c r="F411" t="inlineStr">
        <is>
          <t>GÄVLEBORGS LÄN</t>
        </is>
      </c>
      <c r="G411" t="inlineStr">
        <is>
          <t>OVANÅKER</t>
        </is>
      </c>
      <c r="I411" t="n">
        <v>4.2</v>
      </c>
      <c r="J411" t="n">
        <v>0</v>
      </c>
      <c r="K411" t="n">
        <v>0</v>
      </c>
      <c r="L411" t="n">
        <v>0</v>
      </c>
      <c r="M411" t="n">
        <v>0</v>
      </c>
      <c r="N411" t="n">
        <v>0</v>
      </c>
      <c r="O411" t="n">
        <v>0</v>
      </c>
      <c r="P411" t="n">
        <v>0</v>
      </c>
      <c r="Q411" t="n">
        <v>0</v>
      </c>
      <c r="R411" t="n">
        <v>0</v>
      </c>
      <c r="S411" t="n">
        <v>0</v>
      </c>
      <c r="T411" t="n">
        <v>0</v>
      </c>
      <c r="U411" s="2" t="inlineStr"/>
    </row>
    <row r="412" ht="15" customHeight="1">
      <c r="A412" t="inlineStr">
        <is>
          <t>A 9809-2026</t>
        </is>
      </c>
      <c r="B412" t="inlineStr">
        <is>
          <t>avverkningsanmälan</t>
        </is>
      </c>
      <c r="C412" t="inlineStr">
        <is>
          <t>Föryngringsavverkning</t>
        </is>
      </c>
      <c r="D412" s="1" t="n">
        <v>46072</v>
      </c>
      <c r="E412" s="1" t="n">
        <v>46222</v>
      </c>
      <c r="F412" t="inlineStr">
        <is>
          <t>GÄVLEBORGS LÄN</t>
        </is>
      </c>
      <c r="G412" t="inlineStr">
        <is>
          <t>OVANÅKER</t>
        </is>
      </c>
      <c r="I412" t="n">
        <v>3.4</v>
      </c>
      <c r="J412" t="n">
        <v>0</v>
      </c>
      <c r="K412" t="n">
        <v>0</v>
      </c>
      <c r="L412" t="n">
        <v>0</v>
      </c>
      <c r="M412" t="n">
        <v>0</v>
      </c>
      <c r="N412" t="n">
        <v>0</v>
      </c>
      <c r="O412" t="n">
        <v>0</v>
      </c>
      <c r="P412" t="n">
        <v>0</v>
      </c>
      <c r="Q412" t="n">
        <v>0</v>
      </c>
      <c r="R412" t="n">
        <v>0</v>
      </c>
      <c r="S412" t="n">
        <v>0</v>
      </c>
      <c r="T412" t="n">
        <v>0</v>
      </c>
      <c r="U412" s="2" t="inlineStr"/>
    </row>
    <row r="413" ht="15" customHeight="1">
      <c r="A413" t="inlineStr">
        <is>
          <t>A 26076-2023</t>
        </is>
      </c>
      <c r="B413" t="inlineStr">
        <is>
          <t>avverkningsanmälan</t>
        </is>
      </c>
      <c r="C413" t="inlineStr">
        <is>
          <t>Föryngringsavverkning</t>
        </is>
      </c>
      <c r="D413" s="1" t="n">
        <v>45091</v>
      </c>
      <c r="E413" s="1" t="n">
        <v>46222</v>
      </c>
      <c r="F413" t="inlineStr">
        <is>
          <t>GÄVLEBORGS LÄN</t>
        </is>
      </c>
      <c r="G413" t="inlineStr">
        <is>
          <t>OVANÅKER</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9794-2026</t>
        </is>
      </c>
      <c r="B414" t="inlineStr">
        <is>
          <t>avverkningsanmälan</t>
        </is>
      </c>
      <c r="C414" t="inlineStr">
        <is>
          <t>Föryngringsavverkning</t>
        </is>
      </c>
      <c r="D414" s="1" t="n">
        <v>46072</v>
      </c>
      <c r="E414" s="1" t="n">
        <v>46222</v>
      </c>
      <c r="F414" t="inlineStr">
        <is>
          <t>GÄVLEBORGS LÄN</t>
        </is>
      </c>
      <c r="G414" t="inlineStr">
        <is>
          <t>OVANÅKER</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53998-2025</t>
        </is>
      </c>
      <c r="B415" t="inlineStr">
        <is>
          <t>avverkningsanmälan</t>
        </is>
      </c>
      <c r="C415" t="inlineStr">
        <is>
          <t>Avverkning för annat ändamål</t>
        </is>
      </c>
      <c r="D415" s="1" t="n">
        <v>45961</v>
      </c>
      <c r="E415" s="1" t="n">
        <v>46222</v>
      </c>
      <c r="F415" t="inlineStr">
        <is>
          <t>GÄVLEBORGS LÄN</t>
        </is>
      </c>
      <c r="G415" t="inlineStr">
        <is>
          <t>OVANÅKER</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9669-2026</t>
        </is>
      </c>
      <c r="B416" t="inlineStr">
        <is>
          <t>avverkningsanmälan</t>
        </is>
      </c>
      <c r="C416" t="inlineStr">
        <is>
          <t>Föryngringsavverkning</t>
        </is>
      </c>
      <c r="D416" s="1" t="n">
        <v>46072</v>
      </c>
      <c r="E416" s="1" t="n">
        <v>46222</v>
      </c>
      <c r="F416" t="inlineStr">
        <is>
          <t>GÄVLEBORGS LÄN</t>
        </is>
      </c>
      <c r="G416" t="inlineStr">
        <is>
          <t>OVANÅKER</t>
        </is>
      </c>
      <c r="I416" t="n">
        <v>3</v>
      </c>
      <c r="J416" t="n">
        <v>0</v>
      </c>
      <c r="K416" t="n">
        <v>0</v>
      </c>
      <c r="L416" t="n">
        <v>0</v>
      </c>
      <c r="M416" t="n">
        <v>0</v>
      </c>
      <c r="N416" t="n">
        <v>0</v>
      </c>
      <c r="O416" t="n">
        <v>0</v>
      </c>
      <c r="P416" t="n">
        <v>0</v>
      </c>
      <c r="Q416" t="n">
        <v>0</v>
      </c>
      <c r="R416" t="n">
        <v>0</v>
      </c>
      <c r="S416" t="n">
        <v>0</v>
      </c>
      <c r="T416" t="n">
        <v>0</v>
      </c>
      <c r="U416" s="2" t="inlineStr"/>
    </row>
    <row r="417" ht="15" customHeight="1">
      <c r="A417" t="inlineStr">
        <is>
          <t>A 9771-2026</t>
        </is>
      </c>
      <c r="B417" t="inlineStr">
        <is>
          <t>avverkningsanmälan</t>
        </is>
      </c>
      <c r="C417" t="inlineStr">
        <is>
          <t>Föryngringsavverkning</t>
        </is>
      </c>
      <c r="D417" s="1" t="n">
        <v>46072</v>
      </c>
      <c r="E417" s="1" t="n">
        <v>46222</v>
      </c>
      <c r="F417" t="inlineStr">
        <is>
          <t>GÄVLEBORGS LÄN</t>
        </is>
      </c>
      <c r="G417" t="inlineStr">
        <is>
          <t>OVANÅKER</t>
        </is>
      </c>
      <c r="I417" t="n">
        <v>5.4</v>
      </c>
      <c r="J417" t="n">
        <v>0</v>
      </c>
      <c r="K417" t="n">
        <v>0</v>
      </c>
      <c r="L417" t="n">
        <v>0</v>
      </c>
      <c r="M417" t="n">
        <v>0</v>
      </c>
      <c r="N417" t="n">
        <v>0</v>
      </c>
      <c r="O417" t="n">
        <v>0</v>
      </c>
      <c r="P417" t="n">
        <v>0</v>
      </c>
      <c r="Q417" t="n">
        <v>0</v>
      </c>
      <c r="R417" t="n">
        <v>0</v>
      </c>
      <c r="S417" t="n">
        <v>0</v>
      </c>
      <c r="T417" t="n">
        <v>0</v>
      </c>
      <c r="U417" s="2" t="inlineStr"/>
    </row>
    <row r="418" ht="15" customHeight="1">
      <c r="A418" t="inlineStr">
        <is>
          <t>A 9712-2026</t>
        </is>
      </c>
      <c r="B418" t="inlineStr">
        <is>
          <t>avverkningsanmälan</t>
        </is>
      </c>
      <c r="C418" t="inlineStr">
        <is>
          <t>Föryngringsavverkning</t>
        </is>
      </c>
      <c r="D418" s="1" t="n">
        <v>46072</v>
      </c>
      <c r="E418" s="1" t="n">
        <v>46222</v>
      </c>
      <c r="F418" t="inlineStr">
        <is>
          <t>GÄVLEBORGS LÄN</t>
        </is>
      </c>
      <c r="G418" t="inlineStr">
        <is>
          <t>OVANÅKER</t>
        </is>
      </c>
      <c r="I418" t="n">
        <v>2.6</v>
      </c>
      <c r="J418" t="n">
        <v>0</v>
      </c>
      <c r="K418" t="n">
        <v>0</v>
      </c>
      <c r="L418" t="n">
        <v>0</v>
      </c>
      <c r="M418" t="n">
        <v>0</v>
      </c>
      <c r="N418" t="n">
        <v>0</v>
      </c>
      <c r="O418" t="n">
        <v>0</v>
      </c>
      <c r="P418" t="n">
        <v>0</v>
      </c>
      <c r="Q418" t="n">
        <v>0</v>
      </c>
      <c r="R418" t="n">
        <v>0</v>
      </c>
      <c r="S418" t="n">
        <v>0</v>
      </c>
      <c r="T418" t="n">
        <v>0</v>
      </c>
      <c r="U418" s="2" t="inlineStr"/>
    </row>
    <row r="419" ht="15" customHeight="1">
      <c r="A419" t="inlineStr">
        <is>
          <t>A 9435-2026</t>
        </is>
      </c>
      <c r="B419" t="inlineStr">
        <is>
          <t>avverkningsanmälan</t>
        </is>
      </c>
      <c r="C419" t="inlineStr">
        <is>
          <t>Föryngringsavverkning</t>
        </is>
      </c>
      <c r="D419" s="1" t="n">
        <v>46071</v>
      </c>
      <c r="E419" s="1" t="n">
        <v>46222</v>
      </c>
      <c r="F419" t="inlineStr">
        <is>
          <t>GÄVLEBORGS LÄN</t>
        </is>
      </c>
      <c r="G419" t="inlineStr">
        <is>
          <t>OVANÅKER</t>
        </is>
      </c>
      <c r="H419" t="inlineStr">
        <is>
          <t>Kyrkan</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9677-2026</t>
        </is>
      </c>
      <c r="B420" t="inlineStr">
        <is>
          <t>avverkningsanmälan</t>
        </is>
      </c>
      <c r="C420" t="inlineStr">
        <is>
          <t>Föryngringsavverkning</t>
        </is>
      </c>
      <c r="D420" s="1" t="n">
        <v>46072</v>
      </c>
      <c r="E420" s="1" t="n">
        <v>46222</v>
      </c>
      <c r="F420" t="inlineStr">
        <is>
          <t>GÄVLEBORGS LÄN</t>
        </is>
      </c>
      <c r="G420" t="inlineStr">
        <is>
          <t>OVANÅKER</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10041-2026</t>
        </is>
      </c>
      <c r="B421" t="inlineStr">
        <is>
          <t>avverkningsanmälan</t>
        </is>
      </c>
      <c r="C421" t="inlineStr">
        <is>
          <t>Föryngringsavverkning</t>
        </is>
      </c>
      <c r="D421" s="1" t="n">
        <v>46073</v>
      </c>
      <c r="E421" s="1" t="n">
        <v>46222</v>
      </c>
      <c r="F421" t="inlineStr">
        <is>
          <t>GÄVLEBORGS LÄN</t>
        </is>
      </c>
      <c r="G421" t="inlineStr">
        <is>
          <t>OVANÅKER</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5057-2025</t>
        </is>
      </c>
      <c r="B422" t="inlineStr">
        <is>
          <t>avverkningsanmälan</t>
        </is>
      </c>
      <c r="C422" t="inlineStr">
        <is>
          <t>Föryngringsavverkning</t>
        </is>
      </c>
      <c r="D422" s="1" t="n">
        <v>45691</v>
      </c>
      <c r="E422" s="1" t="n">
        <v>46222</v>
      </c>
      <c r="F422" t="inlineStr">
        <is>
          <t>GÄVLEBORGS LÄN</t>
        </is>
      </c>
      <c r="G422" t="inlineStr">
        <is>
          <t>OVANÅKER</t>
        </is>
      </c>
      <c r="I422" t="n">
        <v>2.8</v>
      </c>
      <c r="J422" t="n">
        <v>0</v>
      </c>
      <c r="K422" t="n">
        <v>0</v>
      </c>
      <c r="L422" t="n">
        <v>0</v>
      </c>
      <c r="M422" t="n">
        <v>0</v>
      </c>
      <c r="N422" t="n">
        <v>0</v>
      </c>
      <c r="O422" t="n">
        <v>0</v>
      </c>
      <c r="P422" t="n">
        <v>0</v>
      </c>
      <c r="Q422" t="n">
        <v>0</v>
      </c>
      <c r="R422" t="n">
        <v>0</v>
      </c>
      <c r="S422" t="n">
        <v>0</v>
      </c>
      <c r="T422" t="n">
        <v>0</v>
      </c>
      <c r="U422" s="2" t="inlineStr"/>
    </row>
    <row r="423" ht="15" customHeight="1">
      <c r="A423" t="inlineStr">
        <is>
          <t>A 10068-2026</t>
        </is>
      </c>
      <c r="B423" t="inlineStr">
        <is>
          <t>avverkningsanmälan</t>
        </is>
      </c>
      <c r="C423" t="inlineStr">
        <is>
          <t>Föryngringsavverkning</t>
        </is>
      </c>
      <c r="D423" s="1" t="n">
        <v>46073</v>
      </c>
      <c r="E423" s="1" t="n">
        <v>46222</v>
      </c>
      <c r="F423" t="inlineStr">
        <is>
          <t>GÄVLEBORGS LÄN</t>
        </is>
      </c>
      <c r="G423" t="inlineStr">
        <is>
          <t>OVANÅKER</t>
        </is>
      </c>
      <c r="I423" t="n">
        <v>7.8</v>
      </c>
      <c r="J423" t="n">
        <v>0</v>
      </c>
      <c r="K423" t="n">
        <v>0</v>
      </c>
      <c r="L423" t="n">
        <v>0</v>
      </c>
      <c r="M423" t="n">
        <v>0</v>
      </c>
      <c r="N423" t="n">
        <v>0</v>
      </c>
      <c r="O423" t="n">
        <v>0</v>
      </c>
      <c r="P423" t="n">
        <v>0</v>
      </c>
      <c r="Q423" t="n">
        <v>0</v>
      </c>
      <c r="R423" t="n">
        <v>0</v>
      </c>
      <c r="S423" t="n">
        <v>0</v>
      </c>
      <c r="T423" t="n">
        <v>0</v>
      </c>
      <c r="U423" s="2" t="inlineStr"/>
    </row>
    <row r="424" ht="15" customHeight="1">
      <c r="A424" t="inlineStr">
        <is>
          <t>A 54790-2025</t>
        </is>
      </c>
      <c r="B424" t="inlineStr">
        <is>
          <t>avverkningsanmälan</t>
        </is>
      </c>
      <c r="C424" t="inlineStr">
        <is>
          <t>Föryngringsavverkning</t>
        </is>
      </c>
      <c r="D424" s="1" t="n">
        <v>45966</v>
      </c>
      <c r="E424" s="1" t="n">
        <v>46222</v>
      </c>
      <c r="F424" t="inlineStr">
        <is>
          <t>GÄVLEBORGS LÄN</t>
        </is>
      </c>
      <c r="G424" t="inlineStr">
        <is>
          <t>OVANÅKER</t>
        </is>
      </c>
      <c r="I424" t="n">
        <v>6.9</v>
      </c>
      <c r="J424" t="n">
        <v>0</v>
      </c>
      <c r="K424" t="n">
        <v>0</v>
      </c>
      <c r="L424" t="n">
        <v>0</v>
      </c>
      <c r="M424" t="n">
        <v>0</v>
      </c>
      <c r="N424" t="n">
        <v>0</v>
      </c>
      <c r="O424" t="n">
        <v>0</v>
      </c>
      <c r="P424" t="n">
        <v>0</v>
      </c>
      <c r="Q424" t="n">
        <v>0</v>
      </c>
      <c r="R424" t="n">
        <v>0</v>
      </c>
      <c r="S424" t="n">
        <v>0</v>
      </c>
      <c r="T424" t="n">
        <v>0</v>
      </c>
      <c r="U424" s="2" t="inlineStr"/>
    </row>
    <row r="425" ht="15" customHeight="1">
      <c r="A425" t="inlineStr">
        <is>
          <t>A 10474-2026</t>
        </is>
      </c>
      <c r="B425" t="inlineStr">
        <is>
          <t>avverkningsanmälan</t>
        </is>
      </c>
      <c r="C425" t="inlineStr">
        <is>
          <t>Föryngringsavverkning</t>
        </is>
      </c>
      <c r="D425" s="1" t="n">
        <v>46077</v>
      </c>
      <c r="E425" s="1" t="n">
        <v>46222</v>
      </c>
      <c r="F425" t="inlineStr">
        <is>
          <t>GÄVLEBORGS LÄN</t>
        </is>
      </c>
      <c r="G425" t="inlineStr">
        <is>
          <t>OVANÅKER</t>
        </is>
      </c>
      <c r="I425" t="n">
        <v>3.4</v>
      </c>
      <c r="J425" t="n">
        <v>0</v>
      </c>
      <c r="K425" t="n">
        <v>0</v>
      </c>
      <c r="L425" t="n">
        <v>0</v>
      </c>
      <c r="M425" t="n">
        <v>0</v>
      </c>
      <c r="N425" t="n">
        <v>0</v>
      </c>
      <c r="O425" t="n">
        <v>0</v>
      </c>
      <c r="P425" t="n">
        <v>0</v>
      </c>
      <c r="Q425" t="n">
        <v>0</v>
      </c>
      <c r="R425" t="n">
        <v>0</v>
      </c>
      <c r="S425" t="n">
        <v>0</v>
      </c>
      <c r="T425" t="n">
        <v>0</v>
      </c>
      <c r="U425" s="2" t="inlineStr"/>
    </row>
    <row r="426" ht="15" customHeight="1">
      <c r="A426" t="inlineStr">
        <is>
          <t>A 54512-2025</t>
        </is>
      </c>
      <c r="B426" t="inlineStr">
        <is>
          <t>avverkningsanmälan</t>
        </is>
      </c>
      <c r="C426" t="inlineStr">
        <is>
          <t>Föryngringsavverkning</t>
        </is>
      </c>
      <c r="D426" s="1" t="n">
        <v>45965</v>
      </c>
      <c r="E426" s="1" t="n">
        <v>46222</v>
      </c>
      <c r="F426" t="inlineStr">
        <is>
          <t>GÄVLEBORGS LÄN</t>
        </is>
      </c>
      <c r="G426" t="inlineStr">
        <is>
          <t>OVANÅKER</t>
        </is>
      </c>
      <c r="I426" t="n">
        <v>3.8</v>
      </c>
      <c r="J426" t="n">
        <v>0</v>
      </c>
      <c r="K426" t="n">
        <v>0</v>
      </c>
      <c r="L426" t="n">
        <v>0</v>
      </c>
      <c r="M426" t="n">
        <v>0</v>
      </c>
      <c r="N426" t="n">
        <v>0</v>
      </c>
      <c r="O426" t="n">
        <v>0</v>
      </c>
      <c r="P426" t="n">
        <v>0</v>
      </c>
      <c r="Q426" t="n">
        <v>0</v>
      </c>
      <c r="R426" t="n">
        <v>0</v>
      </c>
      <c r="S426" t="n">
        <v>0</v>
      </c>
      <c r="T426" t="n">
        <v>0</v>
      </c>
      <c r="U426" s="2" t="inlineStr"/>
    </row>
    <row r="427" ht="15" customHeight="1">
      <c r="A427" t="inlineStr">
        <is>
          <t>A 54788-2025</t>
        </is>
      </c>
      <c r="B427" t="inlineStr">
        <is>
          <t>avverkningsanmälan</t>
        </is>
      </c>
      <c r="C427" t="inlineStr">
        <is>
          <t>Föryngringsavverkning</t>
        </is>
      </c>
      <c r="D427" s="1" t="n">
        <v>45966</v>
      </c>
      <c r="E427" s="1" t="n">
        <v>46222</v>
      </c>
      <c r="F427" t="inlineStr">
        <is>
          <t>GÄVLEBORGS LÄN</t>
        </is>
      </c>
      <c r="G427" t="inlineStr">
        <is>
          <t>OVANÅKER</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54582-2025</t>
        </is>
      </c>
      <c r="B428" t="inlineStr">
        <is>
          <t>avverkningsanmälan</t>
        </is>
      </c>
      <c r="C428" t="inlineStr">
        <is>
          <t>Föryngringsavverkning</t>
        </is>
      </c>
      <c r="D428" s="1" t="n">
        <v>45965</v>
      </c>
      <c r="E428" s="1" t="n">
        <v>46222</v>
      </c>
      <c r="F428" t="inlineStr">
        <is>
          <t>GÄVLEBORGS LÄN</t>
        </is>
      </c>
      <c r="G428" t="inlineStr">
        <is>
          <t>OVANÅKER</t>
        </is>
      </c>
      <c r="H428" t="inlineStr">
        <is>
          <t>Bergvik skog väst AB</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14693-2025</t>
        </is>
      </c>
      <c r="B429" t="inlineStr">
        <is>
          <t>avverkningsanmälan</t>
        </is>
      </c>
      <c r="C429" t="inlineStr">
        <is>
          <t>Föryngringsavverkning</t>
        </is>
      </c>
      <c r="D429" s="1" t="n">
        <v>45742</v>
      </c>
      <c r="E429" s="1" t="n">
        <v>46222</v>
      </c>
      <c r="F429" t="inlineStr">
        <is>
          <t>GÄVLEBORGS LÄN</t>
        </is>
      </c>
      <c r="G429" t="inlineStr">
        <is>
          <t>OVANÅKER</t>
        </is>
      </c>
      <c r="I429" t="n">
        <v>3.5</v>
      </c>
      <c r="J429" t="n">
        <v>0</v>
      </c>
      <c r="K429" t="n">
        <v>0</v>
      </c>
      <c r="L429" t="n">
        <v>0</v>
      </c>
      <c r="M429" t="n">
        <v>0</v>
      </c>
      <c r="N429" t="n">
        <v>0</v>
      </c>
      <c r="O429" t="n">
        <v>0</v>
      </c>
      <c r="P429" t="n">
        <v>0</v>
      </c>
      <c r="Q429" t="n">
        <v>0</v>
      </c>
      <c r="R429" t="n">
        <v>0</v>
      </c>
      <c r="S429" t="n">
        <v>0</v>
      </c>
      <c r="T429" t="n">
        <v>0</v>
      </c>
      <c r="U429" s="2" t="inlineStr"/>
    </row>
    <row r="430" ht="15" customHeight="1">
      <c r="A430" t="inlineStr">
        <is>
          <t>A 10038-2026</t>
        </is>
      </c>
      <c r="B430" t="inlineStr">
        <is>
          <t>avverkningsanmälan</t>
        </is>
      </c>
      <c r="C430" t="inlineStr">
        <is>
          <t>Föryngringsavverkning</t>
        </is>
      </c>
      <c r="D430" s="1" t="n">
        <v>46073</v>
      </c>
      <c r="E430" s="1" t="n">
        <v>46222</v>
      </c>
      <c r="F430" t="inlineStr">
        <is>
          <t>GÄVLEBORGS LÄN</t>
        </is>
      </c>
      <c r="G430" t="inlineStr">
        <is>
          <t>OVANÅKER</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5979-2025</t>
        </is>
      </c>
      <c r="B431" t="inlineStr">
        <is>
          <t>avverkningsanmälan</t>
        </is>
      </c>
      <c r="C431" t="inlineStr">
        <is>
          <t>Föryngringsavverkning</t>
        </is>
      </c>
      <c r="D431" s="1" t="n">
        <v>45695</v>
      </c>
      <c r="E431" s="1" t="n">
        <v>46222</v>
      </c>
      <c r="F431" t="inlineStr">
        <is>
          <t>GÄVLEBORGS LÄN</t>
        </is>
      </c>
      <c r="G431" t="inlineStr">
        <is>
          <t>OVANÅKER</t>
        </is>
      </c>
      <c r="I431" t="n">
        <v>8.4</v>
      </c>
      <c r="J431" t="n">
        <v>0</v>
      </c>
      <c r="K431" t="n">
        <v>0</v>
      </c>
      <c r="L431" t="n">
        <v>0</v>
      </c>
      <c r="M431" t="n">
        <v>0</v>
      </c>
      <c r="N431" t="n">
        <v>0</v>
      </c>
      <c r="O431" t="n">
        <v>0</v>
      </c>
      <c r="P431" t="n">
        <v>0</v>
      </c>
      <c r="Q431" t="n">
        <v>0</v>
      </c>
      <c r="R431" t="n">
        <v>0</v>
      </c>
      <c r="S431" t="n">
        <v>0</v>
      </c>
      <c r="T431" t="n">
        <v>0</v>
      </c>
      <c r="U431" s="2" t="inlineStr"/>
    </row>
    <row r="432" ht="15" customHeight="1">
      <c r="A432" t="inlineStr">
        <is>
          <t>A 54519-2025</t>
        </is>
      </c>
      <c r="B432" t="inlineStr">
        <is>
          <t>avverkningsanmälan</t>
        </is>
      </c>
      <c r="C432" t="inlineStr">
        <is>
          <t>Föryngringsavverkning</t>
        </is>
      </c>
      <c r="D432" s="1" t="n">
        <v>45965</v>
      </c>
      <c r="E432" s="1" t="n">
        <v>46222</v>
      </c>
      <c r="F432" t="inlineStr">
        <is>
          <t>GÄVLEBORGS LÄN</t>
        </is>
      </c>
      <c r="G432" t="inlineStr">
        <is>
          <t>OVANÅKER</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9930-2026</t>
        </is>
      </c>
      <c r="B433" t="inlineStr">
        <is>
          <t>avverkningsanmälan</t>
        </is>
      </c>
      <c r="C433" t="inlineStr">
        <is>
          <t>Föryngringsavverkning</t>
        </is>
      </c>
      <c r="D433" s="1" t="n">
        <v>46073</v>
      </c>
      <c r="E433" s="1" t="n">
        <v>46222</v>
      </c>
      <c r="F433" t="inlineStr">
        <is>
          <t>GÄVLEBORGS LÄN</t>
        </is>
      </c>
      <c r="G433" t="inlineStr">
        <is>
          <t>OVANÅKER</t>
        </is>
      </c>
      <c r="I433" t="n">
        <v>9.9</v>
      </c>
      <c r="J433" t="n">
        <v>0</v>
      </c>
      <c r="K433" t="n">
        <v>0</v>
      </c>
      <c r="L433" t="n">
        <v>0</v>
      </c>
      <c r="M433" t="n">
        <v>0</v>
      </c>
      <c r="N433" t="n">
        <v>0</v>
      </c>
      <c r="O433" t="n">
        <v>0</v>
      </c>
      <c r="P433" t="n">
        <v>0</v>
      </c>
      <c r="Q433" t="n">
        <v>0</v>
      </c>
      <c r="R433" t="n">
        <v>0</v>
      </c>
      <c r="S433" t="n">
        <v>0</v>
      </c>
      <c r="T433" t="n">
        <v>0</v>
      </c>
      <c r="U433" s="2" t="inlineStr"/>
    </row>
    <row r="434" ht="15" customHeight="1">
      <c r="A434" t="inlineStr">
        <is>
          <t>A 10171-2026</t>
        </is>
      </c>
      <c r="B434" t="inlineStr">
        <is>
          <t>avverkningsanmälan</t>
        </is>
      </c>
      <c r="C434" t="inlineStr">
        <is>
          <t>Föryngringsavverkning</t>
        </is>
      </c>
      <c r="D434" s="1" t="n">
        <v>46076</v>
      </c>
      <c r="E434" s="1" t="n">
        <v>46222</v>
      </c>
      <c r="F434" t="inlineStr">
        <is>
          <t>GÄVLEBORGS LÄN</t>
        </is>
      </c>
      <c r="G434" t="inlineStr">
        <is>
          <t>OVANÅKER</t>
        </is>
      </c>
      <c r="I434" t="n">
        <v>7.6</v>
      </c>
      <c r="J434" t="n">
        <v>0</v>
      </c>
      <c r="K434" t="n">
        <v>0</v>
      </c>
      <c r="L434" t="n">
        <v>0</v>
      </c>
      <c r="M434" t="n">
        <v>0</v>
      </c>
      <c r="N434" t="n">
        <v>0</v>
      </c>
      <c r="O434" t="n">
        <v>0</v>
      </c>
      <c r="P434" t="n">
        <v>0</v>
      </c>
      <c r="Q434" t="n">
        <v>0</v>
      </c>
      <c r="R434" t="n">
        <v>0</v>
      </c>
      <c r="S434" t="n">
        <v>0</v>
      </c>
      <c r="T434" t="n">
        <v>0</v>
      </c>
      <c r="U434" s="2" t="inlineStr"/>
    </row>
    <row r="435" ht="15" customHeight="1">
      <c r="A435" t="inlineStr">
        <is>
          <t>A 10287-2026</t>
        </is>
      </c>
      <c r="B435" t="inlineStr">
        <is>
          <t>avverkningsanmälan</t>
        </is>
      </c>
      <c r="C435" t="inlineStr">
        <is>
          <t>Föryngringsavverkning</t>
        </is>
      </c>
      <c r="D435" s="1" t="n">
        <v>46076</v>
      </c>
      <c r="E435" s="1" t="n">
        <v>46222</v>
      </c>
      <c r="F435" t="inlineStr">
        <is>
          <t>GÄVLEBORGS LÄN</t>
        </is>
      </c>
      <c r="G435" t="inlineStr">
        <is>
          <t>OVANÅKER</t>
        </is>
      </c>
      <c r="H435" t="inlineStr">
        <is>
          <t>Bergvik skog väst AB</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55154-2025</t>
        </is>
      </c>
      <c r="B436" t="inlineStr">
        <is>
          <t>avverkningsanmälan</t>
        </is>
      </c>
      <c r="C436" t="inlineStr">
        <is>
          <t>Föryngringsavverkning</t>
        </is>
      </c>
      <c r="D436" s="1" t="n">
        <v>45968</v>
      </c>
      <c r="E436" s="1" t="n">
        <v>46222</v>
      </c>
      <c r="F436" t="inlineStr">
        <is>
          <t>GÄVLEBORGS LÄN</t>
        </is>
      </c>
      <c r="G436" t="inlineStr">
        <is>
          <t>OVANÅKER</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10060-2026</t>
        </is>
      </c>
      <c r="B437" t="inlineStr">
        <is>
          <t>avverkningsanmälan</t>
        </is>
      </c>
      <c r="C437" t="inlineStr">
        <is>
          <t>Föryngringsavverkning</t>
        </is>
      </c>
      <c r="D437" s="1" t="n">
        <v>46073</v>
      </c>
      <c r="E437" s="1" t="n">
        <v>46222</v>
      </c>
      <c r="F437" t="inlineStr">
        <is>
          <t>GÄVLEBORGS LÄN</t>
        </is>
      </c>
      <c r="G437" t="inlineStr">
        <is>
          <t>OVANÅKER</t>
        </is>
      </c>
      <c r="I437" t="n">
        <v>11.8</v>
      </c>
      <c r="J437" t="n">
        <v>0</v>
      </c>
      <c r="K437" t="n">
        <v>0</v>
      </c>
      <c r="L437" t="n">
        <v>0</v>
      </c>
      <c r="M437" t="n">
        <v>0</v>
      </c>
      <c r="N437" t="n">
        <v>0</v>
      </c>
      <c r="O437" t="n">
        <v>0</v>
      </c>
      <c r="P437" t="n">
        <v>0</v>
      </c>
      <c r="Q437" t="n">
        <v>0</v>
      </c>
      <c r="R437" t="n">
        <v>0</v>
      </c>
      <c r="S437" t="n">
        <v>0</v>
      </c>
      <c r="T437" t="n">
        <v>0</v>
      </c>
      <c r="U437" s="2" t="inlineStr"/>
    </row>
    <row r="438" ht="15" customHeight="1">
      <c r="A438" t="inlineStr">
        <is>
          <t>A 54866-2025</t>
        </is>
      </c>
      <c r="B438" t="inlineStr">
        <is>
          <t>avverkningsanmälan</t>
        </is>
      </c>
      <c r="C438" t="inlineStr">
        <is>
          <t>Föryngringsavverkning</t>
        </is>
      </c>
      <c r="D438" s="1" t="n">
        <v>45966</v>
      </c>
      <c r="E438" s="1" t="n">
        <v>46222</v>
      </c>
      <c r="F438" t="inlineStr">
        <is>
          <t>GÄVLEBORGS LÄN</t>
        </is>
      </c>
      <c r="G438" t="inlineStr">
        <is>
          <t>OVANÅKER</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55064-2025</t>
        </is>
      </c>
      <c r="B439" t="inlineStr">
        <is>
          <t>avverkningsanmälan</t>
        </is>
      </c>
      <c r="C439" t="inlineStr">
        <is>
          <t>Föryngringsavverkning</t>
        </is>
      </c>
      <c r="D439" s="1" t="n">
        <v>45967</v>
      </c>
      <c r="E439" s="1" t="n">
        <v>46222</v>
      </c>
      <c r="F439" t="inlineStr">
        <is>
          <t>GÄVLEBORGS LÄN</t>
        </is>
      </c>
      <c r="G439" t="inlineStr">
        <is>
          <t>OVANÅKER</t>
        </is>
      </c>
      <c r="I439" t="n">
        <v>1.2</v>
      </c>
      <c r="J439" t="n">
        <v>0</v>
      </c>
      <c r="K439" t="n">
        <v>0</v>
      </c>
      <c r="L439" t="n">
        <v>0</v>
      </c>
      <c r="M439" t="n">
        <v>0</v>
      </c>
      <c r="N439" t="n">
        <v>0</v>
      </c>
      <c r="O439" t="n">
        <v>0</v>
      </c>
      <c r="P439" t="n">
        <v>0</v>
      </c>
      <c r="Q439" t="n">
        <v>0</v>
      </c>
      <c r="R439" t="n">
        <v>0</v>
      </c>
      <c r="S439" t="n">
        <v>0</v>
      </c>
      <c r="T439" t="n">
        <v>0</v>
      </c>
      <c r="U439" s="2" t="inlineStr"/>
    </row>
    <row r="440" ht="15" customHeight="1">
      <c r="A440" t="inlineStr">
        <is>
          <t>A 55232-2025</t>
        </is>
      </c>
      <c r="B440" t="inlineStr">
        <is>
          <t>avverkningsanmälan</t>
        </is>
      </c>
      <c r="C440" t="inlineStr">
        <is>
          <t>Föryngringsavverkning</t>
        </is>
      </c>
      <c r="D440" s="1" t="n">
        <v>45968</v>
      </c>
      <c r="E440" s="1" t="n">
        <v>46222</v>
      </c>
      <c r="F440" t="inlineStr">
        <is>
          <t>GÄVLEBORGS LÄN</t>
        </is>
      </c>
      <c r="G440" t="inlineStr">
        <is>
          <t>OVANÅKER</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55245-2025</t>
        </is>
      </c>
      <c r="B441" t="inlineStr">
        <is>
          <t>avverkningsanmälan</t>
        </is>
      </c>
      <c r="C441" t="inlineStr">
        <is>
          <t>Föryngringsavverkning</t>
        </is>
      </c>
      <c r="D441" s="1" t="n">
        <v>45968</v>
      </c>
      <c r="E441" s="1" t="n">
        <v>46222</v>
      </c>
      <c r="F441" t="inlineStr">
        <is>
          <t>GÄVLEBORGS LÄN</t>
        </is>
      </c>
      <c r="G441" t="inlineStr">
        <is>
          <t>OVANÅKER</t>
        </is>
      </c>
      <c r="I441" t="n">
        <v>2.2</v>
      </c>
      <c r="J441" t="n">
        <v>0</v>
      </c>
      <c r="K441" t="n">
        <v>0</v>
      </c>
      <c r="L441" t="n">
        <v>0</v>
      </c>
      <c r="M441" t="n">
        <v>0</v>
      </c>
      <c r="N441" t="n">
        <v>0</v>
      </c>
      <c r="O441" t="n">
        <v>0</v>
      </c>
      <c r="P441" t="n">
        <v>0</v>
      </c>
      <c r="Q441" t="n">
        <v>0</v>
      </c>
      <c r="R441" t="n">
        <v>0</v>
      </c>
      <c r="S441" t="n">
        <v>0</v>
      </c>
      <c r="T441" t="n">
        <v>0</v>
      </c>
      <c r="U441" s="2" t="inlineStr"/>
    </row>
    <row r="442" ht="15" customHeight="1">
      <c r="A442" t="inlineStr">
        <is>
          <t>A 4751-2025</t>
        </is>
      </c>
      <c r="B442" t="inlineStr">
        <is>
          <t>avverkningsanmälan</t>
        </is>
      </c>
      <c r="C442" t="inlineStr">
        <is>
          <t>Föryngringsavverkning</t>
        </is>
      </c>
      <c r="D442" s="1" t="n">
        <v>45688</v>
      </c>
      <c r="E442" s="1" t="n">
        <v>46222</v>
      </c>
      <c r="F442" t="inlineStr">
        <is>
          <t>GÄVLEBORGS LÄN</t>
        </is>
      </c>
      <c r="G442" t="inlineStr">
        <is>
          <t>OVANÅKER</t>
        </is>
      </c>
      <c r="I442" t="n">
        <v>4.4</v>
      </c>
      <c r="J442" t="n">
        <v>0</v>
      </c>
      <c r="K442" t="n">
        <v>0</v>
      </c>
      <c r="L442" t="n">
        <v>0</v>
      </c>
      <c r="M442" t="n">
        <v>0</v>
      </c>
      <c r="N442" t="n">
        <v>0</v>
      </c>
      <c r="O442" t="n">
        <v>0</v>
      </c>
      <c r="P442" t="n">
        <v>0</v>
      </c>
      <c r="Q442" t="n">
        <v>0</v>
      </c>
      <c r="R442" t="n">
        <v>0</v>
      </c>
      <c r="S442" t="n">
        <v>0</v>
      </c>
      <c r="T442" t="n">
        <v>0</v>
      </c>
      <c r="U442" s="2" t="inlineStr"/>
    </row>
    <row r="443" ht="15" customHeight="1">
      <c r="A443" t="inlineStr">
        <is>
          <t>A 10938-2026</t>
        </is>
      </c>
      <c r="B443" t="inlineStr">
        <is>
          <t>avverkningsanmälan</t>
        </is>
      </c>
      <c r="C443" t="inlineStr">
        <is>
          <t>Föryngringsavverkning</t>
        </is>
      </c>
      <c r="D443" s="1" t="n">
        <v>46079</v>
      </c>
      <c r="E443" s="1" t="n">
        <v>46222</v>
      </c>
      <c r="F443" t="inlineStr">
        <is>
          <t>GÄVLEBORGS LÄN</t>
        </is>
      </c>
      <c r="G443" t="inlineStr">
        <is>
          <t>OVANÅKER</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55470-2025</t>
        </is>
      </c>
      <c r="B444" t="inlineStr">
        <is>
          <t>avverkningsanmälan</t>
        </is>
      </c>
      <c r="C444" t="inlineStr">
        <is>
          <t>Föryngringsavverkning</t>
        </is>
      </c>
      <c r="D444" s="1" t="n">
        <v>45971</v>
      </c>
      <c r="E444" s="1" t="n">
        <v>46222</v>
      </c>
      <c r="F444" t="inlineStr">
        <is>
          <t>GÄVLEBORGS LÄN</t>
        </is>
      </c>
      <c r="G444" t="inlineStr">
        <is>
          <t>OVANÅKER</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55495-2025</t>
        </is>
      </c>
      <c r="B445" t="inlineStr">
        <is>
          <t>avverkningsanmälan</t>
        </is>
      </c>
      <c r="C445" t="inlineStr">
        <is>
          <t>Föryngringsavverkning</t>
        </is>
      </c>
      <c r="D445" s="1" t="n">
        <v>45971</v>
      </c>
      <c r="E445" s="1" t="n">
        <v>46222</v>
      </c>
      <c r="F445" t="inlineStr">
        <is>
          <t>GÄVLEBORGS LÄN</t>
        </is>
      </c>
      <c r="G445" t="inlineStr">
        <is>
          <t>OVANÅKER</t>
        </is>
      </c>
      <c r="I445" t="n">
        <v>5.6</v>
      </c>
      <c r="J445" t="n">
        <v>0</v>
      </c>
      <c r="K445" t="n">
        <v>0</v>
      </c>
      <c r="L445" t="n">
        <v>0</v>
      </c>
      <c r="M445" t="n">
        <v>0</v>
      </c>
      <c r="N445" t="n">
        <v>0</v>
      </c>
      <c r="O445" t="n">
        <v>0</v>
      </c>
      <c r="P445" t="n">
        <v>0</v>
      </c>
      <c r="Q445" t="n">
        <v>0</v>
      </c>
      <c r="R445" t="n">
        <v>0</v>
      </c>
      <c r="S445" t="n">
        <v>0</v>
      </c>
      <c r="T445" t="n">
        <v>0</v>
      </c>
      <c r="U445" s="2" t="inlineStr"/>
    </row>
    <row r="446" ht="15" customHeight="1">
      <c r="A446" t="inlineStr">
        <is>
          <t>A 10905-2026</t>
        </is>
      </c>
      <c r="B446" t="inlineStr">
        <is>
          <t>avverkningsanmälan</t>
        </is>
      </c>
      <c r="C446" t="inlineStr">
        <is>
          <t>Föryngringsavverkning</t>
        </is>
      </c>
      <c r="D446" s="1" t="n">
        <v>46079</v>
      </c>
      <c r="E446" s="1" t="n">
        <v>46222</v>
      </c>
      <c r="F446" t="inlineStr">
        <is>
          <t>GÄVLEBORGS LÄN</t>
        </is>
      </c>
      <c r="G446" t="inlineStr">
        <is>
          <t>OVANÅKER</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55494-2025</t>
        </is>
      </c>
      <c r="B447" t="inlineStr">
        <is>
          <t>avverkningsanmälan</t>
        </is>
      </c>
      <c r="C447" t="inlineStr">
        <is>
          <t>Föryngringsavverkning</t>
        </is>
      </c>
      <c r="D447" s="1" t="n">
        <v>45971</v>
      </c>
      <c r="E447" s="1" t="n">
        <v>46222</v>
      </c>
      <c r="F447" t="inlineStr">
        <is>
          <t>GÄVLEBORGS LÄN</t>
        </is>
      </c>
      <c r="G447" t="inlineStr">
        <is>
          <t>OVANÅKER</t>
        </is>
      </c>
      <c r="I447" t="n">
        <v>6.4</v>
      </c>
      <c r="J447" t="n">
        <v>0</v>
      </c>
      <c r="K447" t="n">
        <v>0</v>
      </c>
      <c r="L447" t="n">
        <v>0</v>
      </c>
      <c r="M447" t="n">
        <v>0</v>
      </c>
      <c r="N447" t="n">
        <v>0</v>
      </c>
      <c r="O447" t="n">
        <v>0</v>
      </c>
      <c r="P447" t="n">
        <v>0</v>
      </c>
      <c r="Q447" t="n">
        <v>0</v>
      </c>
      <c r="R447" t="n">
        <v>0</v>
      </c>
      <c r="S447" t="n">
        <v>0</v>
      </c>
      <c r="T447" t="n">
        <v>0</v>
      </c>
      <c r="U447" s="2" t="inlineStr"/>
    </row>
    <row r="448" ht="15" customHeight="1">
      <c r="A448" t="inlineStr">
        <is>
          <t>A 55411-2024</t>
        </is>
      </c>
      <c r="B448" t="inlineStr">
        <is>
          <t>avverkningsanmälan</t>
        </is>
      </c>
      <c r="C448" t="inlineStr">
        <is>
          <t>Föryngringsavverkning</t>
        </is>
      </c>
      <c r="D448" s="1" t="n">
        <v>45622</v>
      </c>
      <c r="E448" s="1" t="n">
        <v>46222</v>
      </c>
      <c r="F448" t="inlineStr">
        <is>
          <t>GÄVLEBORGS LÄN</t>
        </is>
      </c>
      <c r="G448" t="inlineStr">
        <is>
          <t>OVANÅKER</t>
        </is>
      </c>
      <c r="I448" t="n">
        <v>2.9</v>
      </c>
      <c r="J448" t="n">
        <v>0</v>
      </c>
      <c r="K448" t="n">
        <v>0</v>
      </c>
      <c r="L448" t="n">
        <v>0</v>
      </c>
      <c r="M448" t="n">
        <v>0</v>
      </c>
      <c r="N448" t="n">
        <v>0</v>
      </c>
      <c r="O448" t="n">
        <v>0</v>
      </c>
      <c r="P448" t="n">
        <v>0</v>
      </c>
      <c r="Q448" t="n">
        <v>0</v>
      </c>
      <c r="R448" t="n">
        <v>0</v>
      </c>
      <c r="S448" t="n">
        <v>0</v>
      </c>
      <c r="T448" t="n">
        <v>0</v>
      </c>
      <c r="U448" s="2" t="inlineStr"/>
    </row>
    <row r="449" ht="15" customHeight="1">
      <c r="A449" t="inlineStr">
        <is>
          <t>A 62196-2023</t>
        </is>
      </c>
      <c r="B449" t="inlineStr">
        <is>
          <t>avverkningsanmälan</t>
        </is>
      </c>
      <c r="C449" t="inlineStr">
        <is>
          <t>Föryngringsavverkning</t>
        </is>
      </c>
      <c r="D449" s="1" t="n">
        <v>45267</v>
      </c>
      <c r="E449" s="1" t="n">
        <v>46222</v>
      </c>
      <c r="F449" t="inlineStr">
        <is>
          <t>GÄVLEBORGS LÄN</t>
        </is>
      </c>
      <c r="G449" t="inlineStr">
        <is>
          <t>OVANÅKER</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10989-2026</t>
        </is>
      </c>
      <c r="B450" t="inlineStr">
        <is>
          <t>avverkningsanmälan</t>
        </is>
      </c>
      <c r="C450" t="inlineStr">
        <is>
          <t>Föryngringsavverkning</t>
        </is>
      </c>
      <c r="D450" s="1" t="n">
        <v>46079</v>
      </c>
      <c r="E450" s="1" t="n">
        <v>46222</v>
      </c>
      <c r="F450" t="inlineStr">
        <is>
          <t>GÄVLEBORGS LÄN</t>
        </is>
      </c>
      <c r="G450" t="inlineStr">
        <is>
          <t>OVANÅKER</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10760-2026</t>
        </is>
      </c>
      <c r="B451" t="inlineStr">
        <is>
          <t>avverkningsanmälan</t>
        </is>
      </c>
      <c r="C451" t="inlineStr">
        <is>
          <t>Föryngringsavverkning</t>
        </is>
      </c>
      <c r="D451" s="1" t="n">
        <v>46078</v>
      </c>
      <c r="E451" s="1" t="n">
        <v>46222</v>
      </c>
      <c r="F451" t="inlineStr">
        <is>
          <t>GÄVLEBORGS LÄN</t>
        </is>
      </c>
      <c r="G451" t="inlineStr">
        <is>
          <t>OVANÅKER</t>
        </is>
      </c>
      <c r="I451" t="n">
        <v>10.7</v>
      </c>
      <c r="J451" t="n">
        <v>0</v>
      </c>
      <c r="K451" t="n">
        <v>0</v>
      </c>
      <c r="L451" t="n">
        <v>0</v>
      </c>
      <c r="M451" t="n">
        <v>0</v>
      </c>
      <c r="N451" t="n">
        <v>0</v>
      </c>
      <c r="O451" t="n">
        <v>0</v>
      </c>
      <c r="P451" t="n">
        <v>0</v>
      </c>
      <c r="Q451" t="n">
        <v>0</v>
      </c>
      <c r="R451" t="n">
        <v>0</v>
      </c>
      <c r="S451" t="n">
        <v>0</v>
      </c>
      <c r="T451" t="n">
        <v>0</v>
      </c>
      <c r="U451" s="2" t="inlineStr"/>
    </row>
    <row r="452" ht="15" customHeight="1">
      <c r="A452" t="inlineStr">
        <is>
          <t>A 11037-2026</t>
        </is>
      </c>
      <c r="B452" t="inlineStr">
        <is>
          <t>avverkningsanmälan</t>
        </is>
      </c>
      <c r="C452" t="inlineStr">
        <is>
          <t>Föryngringsavverkning</t>
        </is>
      </c>
      <c r="D452" s="1" t="n">
        <v>46079</v>
      </c>
      <c r="E452" s="1" t="n">
        <v>46222</v>
      </c>
      <c r="F452" t="inlineStr">
        <is>
          <t>GÄVLEBORGS LÄN</t>
        </is>
      </c>
      <c r="G452" t="inlineStr">
        <is>
          <t>OVANÅKER</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10607-2026</t>
        </is>
      </c>
      <c r="B453" t="inlineStr">
        <is>
          <t>avverkningsanmälan</t>
        </is>
      </c>
      <c r="C453" t="inlineStr">
        <is>
          <t>Föryngringsavverkning</t>
        </is>
      </c>
      <c r="D453" s="1" t="n">
        <v>46077</v>
      </c>
      <c r="E453" s="1" t="n">
        <v>46222</v>
      </c>
      <c r="F453" t="inlineStr">
        <is>
          <t>GÄVLEBORGS LÄN</t>
        </is>
      </c>
      <c r="G453" t="inlineStr">
        <is>
          <t>OVANÅKER</t>
        </is>
      </c>
      <c r="I453" t="n">
        <v>1.8</v>
      </c>
      <c r="J453" t="n">
        <v>0</v>
      </c>
      <c r="K453" t="n">
        <v>0</v>
      </c>
      <c r="L453" t="n">
        <v>0</v>
      </c>
      <c r="M453" t="n">
        <v>0</v>
      </c>
      <c r="N453" t="n">
        <v>0</v>
      </c>
      <c r="O453" t="n">
        <v>0</v>
      </c>
      <c r="P453" t="n">
        <v>0</v>
      </c>
      <c r="Q453" t="n">
        <v>0</v>
      </c>
      <c r="R453" t="n">
        <v>0</v>
      </c>
      <c r="S453" t="n">
        <v>0</v>
      </c>
      <c r="T453" t="n">
        <v>0</v>
      </c>
      <c r="U453" s="2" t="inlineStr"/>
    </row>
    <row r="454" ht="15" customHeight="1">
      <c r="A454" t="inlineStr">
        <is>
          <t>A 55840-2025</t>
        </is>
      </c>
      <c r="B454" t="inlineStr">
        <is>
          <t>avverkningsanmälan</t>
        </is>
      </c>
      <c r="C454" t="inlineStr">
        <is>
          <t>Föryngringsavverkning</t>
        </is>
      </c>
      <c r="D454" s="1" t="n">
        <v>45973</v>
      </c>
      <c r="E454" s="1" t="n">
        <v>46222</v>
      </c>
      <c r="F454" t="inlineStr">
        <is>
          <t>GÄVLEBORGS LÄN</t>
        </is>
      </c>
      <c r="G454" t="inlineStr">
        <is>
          <t>OVANÅKER</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10906-2026</t>
        </is>
      </c>
      <c r="B455" t="inlineStr">
        <is>
          <t>avverkningsanmälan</t>
        </is>
      </c>
      <c r="C455" t="inlineStr">
        <is>
          <t>Föryngringsavverkning</t>
        </is>
      </c>
      <c r="D455" s="1" t="n">
        <v>46079</v>
      </c>
      <c r="E455" s="1" t="n">
        <v>46222</v>
      </c>
      <c r="F455" t="inlineStr">
        <is>
          <t>GÄVLEBORGS LÄN</t>
        </is>
      </c>
      <c r="G455" t="inlineStr">
        <is>
          <t>OVANÅKER</t>
        </is>
      </c>
      <c r="I455" t="n">
        <v>1.7</v>
      </c>
      <c r="J455" t="n">
        <v>0</v>
      </c>
      <c r="K455" t="n">
        <v>0</v>
      </c>
      <c r="L455" t="n">
        <v>0</v>
      </c>
      <c r="M455" t="n">
        <v>0</v>
      </c>
      <c r="N455" t="n">
        <v>0</v>
      </c>
      <c r="O455" t="n">
        <v>0</v>
      </c>
      <c r="P455" t="n">
        <v>0</v>
      </c>
      <c r="Q455" t="n">
        <v>0</v>
      </c>
      <c r="R455" t="n">
        <v>0</v>
      </c>
      <c r="S455" t="n">
        <v>0</v>
      </c>
      <c r="T455" t="n">
        <v>0</v>
      </c>
      <c r="U455" s="2" t="inlineStr"/>
    </row>
    <row r="456" ht="15" customHeight="1">
      <c r="A456" t="inlineStr">
        <is>
          <t>A 19657-2023</t>
        </is>
      </c>
      <c r="B456" t="inlineStr">
        <is>
          <t>avverkningsanmälan</t>
        </is>
      </c>
      <c r="C456" t="inlineStr">
        <is>
          <t>Föryngringsavverkning</t>
        </is>
      </c>
      <c r="D456" s="1" t="n">
        <v>45051</v>
      </c>
      <c r="E456" s="1" t="n">
        <v>46222</v>
      </c>
      <c r="F456" t="inlineStr">
        <is>
          <t>GÄVLEBORGS LÄN</t>
        </is>
      </c>
      <c r="G456" t="inlineStr">
        <is>
          <t>OVANÅKER</t>
        </is>
      </c>
      <c r="I456" t="n">
        <v>1.8</v>
      </c>
      <c r="J456" t="n">
        <v>0</v>
      </c>
      <c r="K456" t="n">
        <v>0</v>
      </c>
      <c r="L456" t="n">
        <v>0</v>
      </c>
      <c r="M456" t="n">
        <v>0</v>
      </c>
      <c r="N456" t="n">
        <v>0</v>
      </c>
      <c r="O456" t="n">
        <v>0</v>
      </c>
      <c r="P456" t="n">
        <v>0</v>
      </c>
      <c r="Q456" t="n">
        <v>0</v>
      </c>
      <c r="R456" t="n">
        <v>0</v>
      </c>
      <c r="S456" t="n">
        <v>0</v>
      </c>
      <c r="T456" t="n">
        <v>0</v>
      </c>
      <c r="U456" s="2" t="inlineStr"/>
    </row>
    <row r="457" ht="15" customHeight="1">
      <c r="A457" t="inlineStr">
        <is>
          <t>A 9729-2026</t>
        </is>
      </c>
      <c r="B457" t="inlineStr">
        <is>
          <t>avverkningsanmälan</t>
        </is>
      </c>
      <c r="C457" t="inlineStr">
        <is>
          <t>Föryngringsavverkning</t>
        </is>
      </c>
      <c r="D457" s="1" t="n">
        <v>46072</v>
      </c>
      <c r="E457" s="1" t="n">
        <v>46222</v>
      </c>
      <c r="F457" t="inlineStr">
        <is>
          <t>GÄVLEBORGS LÄN</t>
        </is>
      </c>
      <c r="G457" t="inlineStr">
        <is>
          <t>OVANÅKER</t>
        </is>
      </c>
      <c r="I457" t="n">
        <v>2.6</v>
      </c>
      <c r="J457" t="n">
        <v>0</v>
      </c>
      <c r="K457" t="n">
        <v>0</v>
      </c>
      <c r="L457" t="n">
        <v>0</v>
      </c>
      <c r="M457" t="n">
        <v>0</v>
      </c>
      <c r="N457" t="n">
        <v>0</v>
      </c>
      <c r="O457" t="n">
        <v>0</v>
      </c>
      <c r="P457" t="n">
        <v>0</v>
      </c>
      <c r="Q457" t="n">
        <v>0</v>
      </c>
      <c r="R457" t="n">
        <v>0</v>
      </c>
      <c r="S457" t="n">
        <v>0</v>
      </c>
      <c r="T457" t="n">
        <v>0</v>
      </c>
      <c r="U457" s="2" t="inlineStr"/>
    </row>
    <row r="458" ht="15" customHeight="1">
      <c r="A458" t="inlineStr">
        <is>
          <t>A 10695-2026</t>
        </is>
      </c>
      <c r="B458" t="inlineStr">
        <is>
          <t>avverkningsanmälan</t>
        </is>
      </c>
      <c r="C458" t="inlineStr">
        <is>
          <t>Föryngringsavverkning</t>
        </is>
      </c>
      <c r="D458" s="1" t="n">
        <v>46078</v>
      </c>
      <c r="E458" s="1" t="n">
        <v>46222</v>
      </c>
      <c r="F458" t="inlineStr">
        <is>
          <t>GÄVLEBORGS LÄN</t>
        </is>
      </c>
      <c r="G458" t="inlineStr">
        <is>
          <t>OVANÅKER</t>
        </is>
      </c>
      <c r="H458" t="inlineStr">
        <is>
          <t>Bergvik skog väst AB</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10782-2026</t>
        </is>
      </c>
      <c r="B459" t="inlineStr">
        <is>
          <t>avverkningsanmälan</t>
        </is>
      </c>
      <c r="C459" t="inlineStr">
        <is>
          <t>Föryngringsavverkning</t>
        </is>
      </c>
      <c r="D459" s="1" t="n">
        <v>46078</v>
      </c>
      <c r="E459" s="1" t="n">
        <v>46222</v>
      </c>
      <c r="F459" t="inlineStr">
        <is>
          <t>GÄVLEBORGS LÄN</t>
        </is>
      </c>
      <c r="G459" t="inlineStr">
        <is>
          <t>OVANÅKER</t>
        </is>
      </c>
      <c r="I459" t="n">
        <v>1.4</v>
      </c>
      <c r="J459" t="n">
        <v>0</v>
      </c>
      <c r="K459" t="n">
        <v>0</v>
      </c>
      <c r="L459" t="n">
        <v>0</v>
      </c>
      <c r="M459" t="n">
        <v>0</v>
      </c>
      <c r="N459" t="n">
        <v>0</v>
      </c>
      <c r="O459" t="n">
        <v>0</v>
      </c>
      <c r="P459" t="n">
        <v>0</v>
      </c>
      <c r="Q459" t="n">
        <v>0</v>
      </c>
      <c r="R459" t="n">
        <v>0</v>
      </c>
      <c r="S459" t="n">
        <v>0</v>
      </c>
      <c r="T459" t="n">
        <v>0</v>
      </c>
      <c r="U459" s="2" t="inlineStr"/>
    </row>
    <row r="460" ht="15" customHeight="1">
      <c r="A460" t="inlineStr">
        <is>
          <t>A 10851-2026</t>
        </is>
      </c>
      <c r="B460" t="inlineStr">
        <is>
          <t>avverkningsanmälan</t>
        </is>
      </c>
      <c r="C460" t="inlineStr">
        <is>
          <t>Föryngringsavverkning</t>
        </is>
      </c>
      <c r="D460" s="1" t="n">
        <v>46078</v>
      </c>
      <c r="E460" s="1" t="n">
        <v>46222</v>
      </c>
      <c r="F460" t="inlineStr">
        <is>
          <t>GÄVLEBORGS LÄN</t>
        </is>
      </c>
      <c r="G460" t="inlineStr">
        <is>
          <t>OVANÅKER</t>
        </is>
      </c>
      <c r="H460" t="inlineStr">
        <is>
          <t>Bergvik skog öst AB</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11471-2026</t>
        </is>
      </c>
      <c r="B461" t="inlineStr">
        <is>
          <t>avverkningsanmälan</t>
        </is>
      </c>
      <c r="C461" t="inlineStr">
        <is>
          <t>Avverkning för annat ändamål</t>
        </is>
      </c>
      <c r="D461" s="1" t="n">
        <v>46083</v>
      </c>
      <c r="E461" s="1" t="n">
        <v>46222</v>
      </c>
      <c r="F461" t="inlineStr">
        <is>
          <t>GÄVLEBORGS LÄN</t>
        </is>
      </c>
      <c r="G461" t="inlineStr">
        <is>
          <t>OVANÅKER</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11201-2026</t>
        </is>
      </c>
      <c r="B462" t="inlineStr">
        <is>
          <t>avverkningsanmälan</t>
        </is>
      </c>
      <c r="C462" t="inlineStr">
        <is>
          <t>Föryngringsavverkning</t>
        </is>
      </c>
      <c r="D462" s="1" t="n">
        <v>46080</v>
      </c>
      <c r="E462" s="1" t="n">
        <v>46222</v>
      </c>
      <c r="F462" t="inlineStr">
        <is>
          <t>GÄVLEBORGS LÄN</t>
        </is>
      </c>
      <c r="G462" t="inlineStr">
        <is>
          <t>OVANÅKER</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11170-2026</t>
        </is>
      </c>
      <c r="B463" t="inlineStr">
        <is>
          <t>avverkningsanmälan</t>
        </is>
      </c>
      <c r="C463" t="inlineStr">
        <is>
          <t>Föryngringsavverkning</t>
        </is>
      </c>
      <c r="D463" s="1" t="n">
        <v>46080</v>
      </c>
      <c r="E463" s="1" t="n">
        <v>46222</v>
      </c>
      <c r="F463" t="inlineStr">
        <is>
          <t>GÄVLEBORGS LÄN</t>
        </is>
      </c>
      <c r="G463" t="inlineStr">
        <is>
          <t>OVANÅKER</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50236-2023</t>
        </is>
      </c>
      <c r="B464" t="inlineStr">
        <is>
          <t>avverkningsanmälan</t>
        </is>
      </c>
      <c r="C464" t="inlineStr">
        <is>
          <t>Föryngringsavverkning</t>
        </is>
      </c>
      <c r="D464" s="1" t="n">
        <v>45216</v>
      </c>
      <c r="E464" s="1" t="n">
        <v>46222</v>
      </c>
      <c r="F464" t="inlineStr">
        <is>
          <t>GÄVLEBORGS LÄN</t>
        </is>
      </c>
      <c r="G464" t="inlineStr">
        <is>
          <t>OVANÅKER</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56766-2025</t>
        </is>
      </c>
      <c r="B465" t="inlineStr">
        <is>
          <t>avverkningsanmälan</t>
        </is>
      </c>
      <c r="C465" t="inlineStr">
        <is>
          <t>Föryngringsavverkning</t>
        </is>
      </c>
      <c r="D465" s="1" t="n">
        <v>45978</v>
      </c>
      <c r="E465" s="1" t="n">
        <v>46222</v>
      </c>
      <c r="F465" t="inlineStr">
        <is>
          <t>GÄVLEBORGS LÄN</t>
        </is>
      </c>
      <c r="G465" t="inlineStr">
        <is>
          <t>OVANÅKER</t>
        </is>
      </c>
      <c r="H465" t="inlineStr">
        <is>
          <t>Bergvik skog väst AB</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56771-2025</t>
        </is>
      </c>
      <c r="B466" t="inlineStr">
        <is>
          <t>avverkningsanmälan</t>
        </is>
      </c>
      <c r="C466" t="inlineStr">
        <is>
          <t>Föryngringsavverkning</t>
        </is>
      </c>
      <c r="D466" s="1" t="n">
        <v>45978</v>
      </c>
      <c r="E466" s="1" t="n">
        <v>46222</v>
      </c>
      <c r="F466" t="inlineStr">
        <is>
          <t>GÄVLEBORGS LÄN</t>
        </is>
      </c>
      <c r="G466" t="inlineStr">
        <is>
          <t>OVANÅKER</t>
        </is>
      </c>
      <c r="H466" t="inlineStr">
        <is>
          <t>Bergvik skog väst AB</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11431-2026</t>
        </is>
      </c>
      <c r="B467" t="inlineStr">
        <is>
          <t>avverkningsanmälan</t>
        </is>
      </c>
      <c r="C467" t="inlineStr">
        <is>
          <t>Föryngringsavverkning</t>
        </is>
      </c>
      <c r="D467" s="1" t="n">
        <v>46083</v>
      </c>
      <c r="E467" s="1" t="n">
        <v>46222</v>
      </c>
      <c r="F467" t="inlineStr">
        <is>
          <t>GÄVLEBORGS LÄN</t>
        </is>
      </c>
      <c r="G467" t="inlineStr">
        <is>
          <t>OVANÅKER</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57072-2025</t>
        </is>
      </c>
      <c r="B468" t="inlineStr">
        <is>
          <t>avverkningsanmälan</t>
        </is>
      </c>
      <c r="C468" t="inlineStr">
        <is>
          <t>Föryngringsavverkning</t>
        </is>
      </c>
      <c r="D468" s="1" t="n">
        <v>45979</v>
      </c>
      <c r="E468" s="1" t="n">
        <v>46222</v>
      </c>
      <c r="F468" t="inlineStr">
        <is>
          <t>GÄVLEBORGS LÄN</t>
        </is>
      </c>
      <c r="G468" t="inlineStr">
        <is>
          <t>OVANÅKER</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57077-2025</t>
        </is>
      </c>
      <c r="B469" t="inlineStr">
        <is>
          <t>avverkningsanmälan</t>
        </is>
      </c>
      <c r="C469" t="inlineStr">
        <is>
          <t>Föryngringsavverkning</t>
        </is>
      </c>
      <c r="D469" s="1" t="n">
        <v>45979</v>
      </c>
      <c r="E469" s="1" t="n">
        <v>46222</v>
      </c>
      <c r="F469" t="inlineStr">
        <is>
          <t>GÄVLEBORGS LÄN</t>
        </is>
      </c>
      <c r="G469" t="inlineStr">
        <is>
          <t>OVANÅKER</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57201-2025</t>
        </is>
      </c>
      <c r="B470" t="inlineStr">
        <is>
          <t>avverkningsanmälan</t>
        </is>
      </c>
      <c r="C470" t="inlineStr">
        <is>
          <t>Föryngringsavverkning</t>
        </is>
      </c>
      <c r="D470" s="1" t="n">
        <v>45979</v>
      </c>
      <c r="E470" s="1" t="n">
        <v>46222</v>
      </c>
      <c r="F470" t="inlineStr">
        <is>
          <t>GÄVLEBORGS LÄN</t>
        </is>
      </c>
      <c r="G470" t="inlineStr">
        <is>
          <t>OVANÅKER</t>
        </is>
      </c>
      <c r="I470" t="n">
        <v>3.4</v>
      </c>
      <c r="J470" t="n">
        <v>0</v>
      </c>
      <c r="K470" t="n">
        <v>0</v>
      </c>
      <c r="L470" t="n">
        <v>0</v>
      </c>
      <c r="M470" t="n">
        <v>0</v>
      </c>
      <c r="N470" t="n">
        <v>0</v>
      </c>
      <c r="O470" t="n">
        <v>0</v>
      </c>
      <c r="P470" t="n">
        <v>0</v>
      </c>
      <c r="Q470" t="n">
        <v>0</v>
      </c>
      <c r="R470" t="n">
        <v>0</v>
      </c>
      <c r="S470" t="n">
        <v>0</v>
      </c>
      <c r="T470" t="n">
        <v>0</v>
      </c>
      <c r="U470" s="2" t="inlineStr"/>
    </row>
    <row r="471" ht="15" customHeight="1">
      <c r="A471" t="inlineStr">
        <is>
          <t>A 57554-2025</t>
        </is>
      </c>
      <c r="B471" t="inlineStr">
        <is>
          <t>avverkningsanmälan</t>
        </is>
      </c>
      <c r="C471" t="inlineStr">
        <is>
          <t>Föryngringsavverkning</t>
        </is>
      </c>
      <c r="D471" s="1" t="n">
        <v>45980</v>
      </c>
      <c r="E471" s="1" t="n">
        <v>46222</v>
      </c>
      <c r="F471" t="inlineStr">
        <is>
          <t>GÄVLEBORGS LÄN</t>
        </is>
      </c>
      <c r="G471" t="inlineStr">
        <is>
          <t>OVANÅKER</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12017-2026</t>
        </is>
      </c>
      <c r="B472" t="inlineStr">
        <is>
          <t>avverkningsanmälan</t>
        </is>
      </c>
      <c r="C472" t="inlineStr">
        <is>
          <t>Föryngringsavverkning</t>
        </is>
      </c>
      <c r="D472" s="1" t="n">
        <v>46085</v>
      </c>
      <c r="E472" s="1" t="n">
        <v>46222</v>
      </c>
      <c r="F472" t="inlineStr">
        <is>
          <t>GÄVLEBORGS LÄN</t>
        </is>
      </c>
      <c r="G472" t="inlineStr">
        <is>
          <t>OVANÅKER</t>
        </is>
      </c>
      <c r="I472" t="n">
        <v>3.8</v>
      </c>
      <c r="J472" t="n">
        <v>0</v>
      </c>
      <c r="K472" t="n">
        <v>0</v>
      </c>
      <c r="L472" t="n">
        <v>0</v>
      </c>
      <c r="M472" t="n">
        <v>0</v>
      </c>
      <c r="N472" t="n">
        <v>0</v>
      </c>
      <c r="O472" t="n">
        <v>0</v>
      </c>
      <c r="P472" t="n">
        <v>0</v>
      </c>
      <c r="Q472" t="n">
        <v>0</v>
      </c>
      <c r="R472" t="n">
        <v>0</v>
      </c>
      <c r="S472" t="n">
        <v>0</v>
      </c>
      <c r="T472" t="n">
        <v>0</v>
      </c>
      <c r="U472" s="2" t="inlineStr"/>
    </row>
    <row r="473" ht="15" customHeight="1">
      <c r="A473" t="inlineStr">
        <is>
          <t>A 11651-2026</t>
        </is>
      </c>
      <c r="B473" t="inlineStr">
        <is>
          <t>avverkningsanmälan</t>
        </is>
      </c>
      <c r="C473" t="inlineStr">
        <is>
          <t>Föryngringsavverkning</t>
        </is>
      </c>
      <c r="D473" s="1" t="n">
        <v>46084</v>
      </c>
      <c r="E473" s="1" t="n">
        <v>46222</v>
      </c>
      <c r="F473" t="inlineStr">
        <is>
          <t>GÄVLEBORGS LÄN</t>
        </is>
      </c>
      <c r="G473" t="inlineStr">
        <is>
          <t>OVANÅKER</t>
        </is>
      </c>
      <c r="H473" t="inlineStr">
        <is>
          <t>Bergvik skog öst AB</t>
        </is>
      </c>
      <c r="I473" t="n">
        <v>8.9</v>
      </c>
      <c r="J473" t="n">
        <v>0</v>
      </c>
      <c r="K473" t="n">
        <v>0</v>
      </c>
      <c r="L473" t="n">
        <v>0</v>
      </c>
      <c r="M473" t="n">
        <v>0</v>
      </c>
      <c r="N473" t="n">
        <v>0</v>
      </c>
      <c r="O473" t="n">
        <v>0</v>
      </c>
      <c r="P473" t="n">
        <v>0</v>
      </c>
      <c r="Q473" t="n">
        <v>0</v>
      </c>
      <c r="R473" t="n">
        <v>0</v>
      </c>
      <c r="S473" t="n">
        <v>0</v>
      </c>
      <c r="T473" t="n">
        <v>0</v>
      </c>
      <c r="U473" s="2" t="inlineStr"/>
    </row>
    <row r="474" ht="15" customHeight="1">
      <c r="A474" t="inlineStr">
        <is>
          <t>A 11664-2026</t>
        </is>
      </c>
      <c r="B474" t="inlineStr">
        <is>
          <t>avverkningsanmälan</t>
        </is>
      </c>
      <c r="C474" t="inlineStr">
        <is>
          <t>Föryngringsavverkning</t>
        </is>
      </c>
      <c r="D474" s="1" t="n">
        <v>46084</v>
      </c>
      <c r="E474" s="1" t="n">
        <v>46222</v>
      </c>
      <c r="F474" t="inlineStr">
        <is>
          <t>GÄVLEBORGS LÄN</t>
        </is>
      </c>
      <c r="G474" t="inlineStr">
        <is>
          <t>OVANÅKER</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57071-2025</t>
        </is>
      </c>
      <c r="B475" t="inlineStr">
        <is>
          <t>avverkningsanmälan</t>
        </is>
      </c>
      <c r="C475" t="inlineStr">
        <is>
          <t>Föryngringsavverkning</t>
        </is>
      </c>
      <c r="D475" s="1" t="n">
        <v>45979</v>
      </c>
      <c r="E475" s="1" t="n">
        <v>46222</v>
      </c>
      <c r="F475" t="inlineStr">
        <is>
          <t>GÄVLEBORGS LÄN</t>
        </is>
      </c>
      <c r="G475" t="inlineStr">
        <is>
          <t>OVANÅKER</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57159-2025</t>
        </is>
      </c>
      <c r="B476" t="inlineStr">
        <is>
          <t>avverkningsanmälan</t>
        </is>
      </c>
      <c r="C476" t="inlineStr">
        <is>
          <t>Föryngringsavverkning</t>
        </is>
      </c>
      <c r="D476" s="1" t="n">
        <v>45979</v>
      </c>
      <c r="E476" s="1" t="n">
        <v>46222</v>
      </c>
      <c r="F476" t="inlineStr">
        <is>
          <t>GÄVLEBORGS LÄN</t>
        </is>
      </c>
      <c r="G476" t="inlineStr">
        <is>
          <t>OVANÅKER</t>
        </is>
      </c>
      <c r="I476" t="n">
        <v>2.3</v>
      </c>
      <c r="J476" t="n">
        <v>0</v>
      </c>
      <c r="K476" t="n">
        <v>0</v>
      </c>
      <c r="L476" t="n">
        <v>0</v>
      </c>
      <c r="M476" t="n">
        <v>0</v>
      </c>
      <c r="N476" t="n">
        <v>0</v>
      </c>
      <c r="O476" t="n">
        <v>0</v>
      </c>
      <c r="P476" t="n">
        <v>0</v>
      </c>
      <c r="Q476" t="n">
        <v>0</v>
      </c>
      <c r="R476" t="n">
        <v>0</v>
      </c>
      <c r="S476" t="n">
        <v>0</v>
      </c>
      <c r="T476" t="n">
        <v>0</v>
      </c>
      <c r="U476" s="2" t="inlineStr"/>
    </row>
    <row r="477" ht="15" customHeight="1">
      <c r="A477" t="inlineStr">
        <is>
          <t>A 11920-2026</t>
        </is>
      </c>
      <c r="B477" t="inlineStr">
        <is>
          <t>avverkningsanmälan</t>
        </is>
      </c>
      <c r="C477" t="inlineStr">
        <is>
          <t>Föryngringsavverkning</t>
        </is>
      </c>
      <c r="D477" s="1" t="n">
        <v>46085</v>
      </c>
      <c r="E477" s="1" t="n">
        <v>46222</v>
      </c>
      <c r="F477" t="inlineStr">
        <is>
          <t>GÄVLEBORGS LÄN</t>
        </is>
      </c>
      <c r="G477" t="inlineStr">
        <is>
          <t>OVANÅKER</t>
        </is>
      </c>
      <c r="H477" t="inlineStr">
        <is>
          <t>Bergvik skog öst AB</t>
        </is>
      </c>
      <c r="I477" t="n">
        <v>19.1</v>
      </c>
      <c r="J477" t="n">
        <v>0</v>
      </c>
      <c r="K477" t="n">
        <v>0</v>
      </c>
      <c r="L477" t="n">
        <v>0</v>
      </c>
      <c r="M477" t="n">
        <v>0</v>
      </c>
      <c r="N477" t="n">
        <v>0</v>
      </c>
      <c r="O477" t="n">
        <v>0</v>
      </c>
      <c r="P477" t="n">
        <v>0</v>
      </c>
      <c r="Q477" t="n">
        <v>0</v>
      </c>
      <c r="R477" t="n">
        <v>0</v>
      </c>
      <c r="S477" t="n">
        <v>0</v>
      </c>
      <c r="T477" t="n">
        <v>0</v>
      </c>
      <c r="U477" s="2" t="inlineStr"/>
    </row>
    <row r="478" ht="15" customHeight="1">
      <c r="A478" t="inlineStr">
        <is>
          <t>A 11822-2026</t>
        </is>
      </c>
      <c r="B478" t="inlineStr">
        <is>
          <t>avverkningsanmälan</t>
        </is>
      </c>
      <c r="C478" t="inlineStr">
        <is>
          <t>Föryngringsavverkning</t>
        </is>
      </c>
      <c r="D478" s="1" t="n">
        <v>46085</v>
      </c>
      <c r="E478" s="1" t="n">
        <v>46222</v>
      </c>
      <c r="F478" t="inlineStr">
        <is>
          <t>GÄVLEBORGS LÄN</t>
        </is>
      </c>
      <c r="G478" t="inlineStr">
        <is>
          <t>OVANÅKER</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57172-2025</t>
        </is>
      </c>
      <c r="B479" t="inlineStr">
        <is>
          <t>avverkningsanmälan</t>
        </is>
      </c>
      <c r="C479" t="inlineStr">
        <is>
          <t>Föryngringsavverkning</t>
        </is>
      </c>
      <c r="D479" s="1" t="n">
        <v>45979</v>
      </c>
      <c r="E479" s="1" t="n">
        <v>46222</v>
      </c>
      <c r="F479" t="inlineStr">
        <is>
          <t>GÄVLEBORGS LÄN</t>
        </is>
      </c>
      <c r="G479" t="inlineStr">
        <is>
          <t>OVANÅKER</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11673-2026</t>
        </is>
      </c>
      <c r="B480" t="inlineStr">
        <is>
          <t>avverkningsanmälan</t>
        </is>
      </c>
      <c r="C480" t="inlineStr">
        <is>
          <t>Föryngringsavverkning</t>
        </is>
      </c>
      <c r="D480" s="1" t="n">
        <v>46084</v>
      </c>
      <c r="E480" s="1" t="n">
        <v>46222</v>
      </c>
      <c r="F480" t="inlineStr">
        <is>
          <t>GÄVLEBORGS LÄN</t>
        </is>
      </c>
      <c r="G480" t="inlineStr">
        <is>
          <t>OVANÅKER</t>
        </is>
      </c>
      <c r="H480" t="inlineStr">
        <is>
          <t>Bergvik skog väst AB</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57772-2025</t>
        </is>
      </c>
      <c r="B481" t="inlineStr">
        <is>
          <t>avverkningsanmälan</t>
        </is>
      </c>
      <c r="C481" t="inlineStr">
        <is>
          <t>Föryngringsavverkning</t>
        </is>
      </c>
      <c r="D481" s="1" t="n">
        <v>45981</v>
      </c>
      <c r="E481" s="1" t="n">
        <v>46222</v>
      </c>
      <c r="F481" t="inlineStr">
        <is>
          <t>GÄVLEBORGS LÄN</t>
        </is>
      </c>
      <c r="G481" t="inlineStr">
        <is>
          <t>OVANÅKER</t>
        </is>
      </c>
      <c r="I481" t="n">
        <v>1.4</v>
      </c>
      <c r="J481" t="n">
        <v>0</v>
      </c>
      <c r="K481" t="n">
        <v>0</v>
      </c>
      <c r="L481" t="n">
        <v>0</v>
      </c>
      <c r="M481" t="n">
        <v>0</v>
      </c>
      <c r="N481" t="n">
        <v>0</v>
      </c>
      <c r="O481" t="n">
        <v>0</v>
      </c>
      <c r="P481" t="n">
        <v>0</v>
      </c>
      <c r="Q481" t="n">
        <v>0</v>
      </c>
      <c r="R481" t="n">
        <v>0</v>
      </c>
      <c r="S481" t="n">
        <v>0</v>
      </c>
      <c r="T481" t="n">
        <v>0</v>
      </c>
      <c r="U481" s="2" t="inlineStr"/>
    </row>
    <row r="482" ht="15" customHeight="1">
      <c r="A482" t="inlineStr">
        <is>
          <t>A 57936-2025</t>
        </is>
      </c>
      <c r="B482" t="inlineStr">
        <is>
          <t>avverkningsanmälan</t>
        </is>
      </c>
      <c r="C482" t="inlineStr">
        <is>
          <t>Föryngringsavverkning</t>
        </is>
      </c>
      <c r="D482" s="1" t="n">
        <v>45982</v>
      </c>
      <c r="E482" s="1" t="n">
        <v>46222</v>
      </c>
      <c r="F482" t="inlineStr">
        <is>
          <t>GÄVLEBORGS LÄN</t>
        </is>
      </c>
      <c r="G482" t="inlineStr">
        <is>
          <t>OVANÅKER</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11649-2026</t>
        </is>
      </c>
      <c r="B483" t="inlineStr">
        <is>
          <t>avverkningsanmälan</t>
        </is>
      </c>
      <c r="C483" t="inlineStr">
        <is>
          <t>Föryngringsavverkning</t>
        </is>
      </c>
      <c r="D483" s="1" t="n">
        <v>46084</v>
      </c>
      <c r="E483" s="1" t="n">
        <v>46222</v>
      </c>
      <c r="F483" t="inlineStr">
        <is>
          <t>GÄVLEBORGS LÄN</t>
        </is>
      </c>
      <c r="G483" t="inlineStr">
        <is>
          <t>OVANÅKER</t>
        </is>
      </c>
      <c r="H483" t="inlineStr">
        <is>
          <t>Bergvik skog öst AB</t>
        </is>
      </c>
      <c r="I483" t="n">
        <v>0.4</v>
      </c>
      <c r="J483" t="n">
        <v>0</v>
      </c>
      <c r="K483" t="n">
        <v>0</v>
      </c>
      <c r="L483" t="n">
        <v>0</v>
      </c>
      <c r="M483" t="n">
        <v>0</v>
      </c>
      <c r="N483" t="n">
        <v>0</v>
      </c>
      <c r="O483" t="n">
        <v>0</v>
      </c>
      <c r="P483" t="n">
        <v>0</v>
      </c>
      <c r="Q483" t="n">
        <v>0</v>
      </c>
      <c r="R483" t="n">
        <v>0</v>
      </c>
      <c r="S483" t="n">
        <v>0</v>
      </c>
      <c r="T483" t="n">
        <v>0</v>
      </c>
      <c r="U483" s="2" t="inlineStr"/>
    </row>
    <row r="484" ht="15" customHeight="1">
      <c r="A484" t="inlineStr">
        <is>
          <t>A 57636-2025</t>
        </is>
      </c>
      <c r="B484" t="inlineStr">
        <is>
          <t>avverkningsanmälan</t>
        </is>
      </c>
      <c r="C484" t="inlineStr">
        <is>
          <t>Föryngringsavverkning</t>
        </is>
      </c>
      <c r="D484" s="1" t="n">
        <v>45981</v>
      </c>
      <c r="E484" s="1" t="n">
        <v>46222</v>
      </c>
      <c r="F484" t="inlineStr">
        <is>
          <t>GÄVLEBORGS LÄN</t>
        </is>
      </c>
      <c r="G484" t="inlineStr">
        <is>
          <t>OVANÅKER</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12313-2026</t>
        </is>
      </c>
      <c r="B485" t="inlineStr">
        <is>
          <t>avverkningsanmälan</t>
        </is>
      </c>
      <c r="C485" t="inlineStr">
        <is>
          <t>Föryngringsavverkning</t>
        </is>
      </c>
      <c r="D485" s="1" t="n">
        <v>46087</v>
      </c>
      <c r="E485" s="1" t="n">
        <v>46222</v>
      </c>
      <c r="F485" t="inlineStr">
        <is>
          <t>GÄVLEBORGS LÄN</t>
        </is>
      </c>
      <c r="G485" t="inlineStr">
        <is>
          <t>OVANÅKER</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12156-2026</t>
        </is>
      </c>
      <c r="B486" t="inlineStr">
        <is>
          <t>avverkningsanmälan</t>
        </is>
      </c>
      <c r="C486" t="inlineStr">
        <is>
          <t>Föryngringsavverkning</t>
        </is>
      </c>
      <c r="D486" s="1" t="n">
        <v>46086</v>
      </c>
      <c r="E486" s="1" t="n">
        <v>46222</v>
      </c>
      <c r="F486" t="inlineStr">
        <is>
          <t>GÄVLEBORGS LÄN</t>
        </is>
      </c>
      <c r="G486" t="inlineStr">
        <is>
          <t>OVANÅKER</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58492-2025</t>
        </is>
      </c>
      <c r="B487" t="inlineStr">
        <is>
          <t>avverkningsanmälan</t>
        </is>
      </c>
      <c r="C487" t="inlineStr">
        <is>
          <t>Föryngringsavverkning</t>
        </is>
      </c>
      <c r="D487" s="1" t="n">
        <v>45985</v>
      </c>
      <c r="E487" s="1" t="n">
        <v>46222</v>
      </c>
      <c r="F487" t="inlineStr">
        <is>
          <t>GÄVLEBORGS LÄN</t>
        </is>
      </c>
      <c r="G487" t="inlineStr">
        <is>
          <t>OVANÅKER</t>
        </is>
      </c>
      <c r="I487" t="n">
        <v>4</v>
      </c>
      <c r="J487" t="n">
        <v>0</v>
      </c>
      <c r="K487" t="n">
        <v>0</v>
      </c>
      <c r="L487" t="n">
        <v>0</v>
      </c>
      <c r="M487" t="n">
        <v>0</v>
      </c>
      <c r="N487" t="n">
        <v>0</v>
      </c>
      <c r="O487" t="n">
        <v>0</v>
      </c>
      <c r="P487" t="n">
        <v>0</v>
      </c>
      <c r="Q487" t="n">
        <v>0</v>
      </c>
      <c r="R487" t="n">
        <v>0</v>
      </c>
      <c r="S487" t="n">
        <v>0</v>
      </c>
      <c r="T487" t="n">
        <v>0</v>
      </c>
      <c r="U487" s="2" t="inlineStr"/>
    </row>
    <row r="488" ht="15" customHeight="1">
      <c r="A488" t="inlineStr">
        <is>
          <t>A 12222-2026</t>
        </is>
      </c>
      <c r="B488" t="inlineStr">
        <is>
          <t>avverkningsanmälan</t>
        </is>
      </c>
      <c r="C488" t="inlineStr">
        <is>
          <t>Föryngringsavverkning</t>
        </is>
      </c>
      <c r="D488" s="1" t="n">
        <v>46087</v>
      </c>
      <c r="E488" s="1" t="n">
        <v>46222</v>
      </c>
      <c r="F488" t="inlineStr">
        <is>
          <t>GÄVLEBORGS LÄN</t>
        </is>
      </c>
      <c r="G488" t="inlineStr">
        <is>
          <t>OVANÅKER</t>
        </is>
      </c>
      <c r="I488" t="n">
        <v>17.2</v>
      </c>
      <c r="J488" t="n">
        <v>0</v>
      </c>
      <c r="K488" t="n">
        <v>0</v>
      </c>
      <c r="L488" t="n">
        <v>0</v>
      </c>
      <c r="M488" t="n">
        <v>0</v>
      </c>
      <c r="N488" t="n">
        <v>0</v>
      </c>
      <c r="O488" t="n">
        <v>0</v>
      </c>
      <c r="P488" t="n">
        <v>0</v>
      </c>
      <c r="Q488" t="n">
        <v>0</v>
      </c>
      <c r="R488" t="n">
        <v>0</v>
      </c>
      <c r="S488" t="n">
        <v>0</v>
      </c>
      <c r="T488" t="n">
        <v>0</v>
      </c>
      <c r="U488" s="2" t="inlineStr"/>
    </row>
    <row r="489" ht="15" customHeight="1">
      <c r="A489" t="inlineStr">
        <is>
          <t>A 12596-2026</t>
        </is>
      </c>
      <c r="B489" t="inlineStr">
        <is>
          <t>avverkningsanmälan</t>
        </is>
      </c>
      <c r="C489" t="inlineStr">
        <is>
          <t>Föryngringsavverkning</t>
        </is>
      </c>
      <c r="D489" s="1" t="n">
        <v>46091</v>
      </c>
      <c r="E489" s="1" t="n">
        <v>46222</v>
      </c>
      <c r="F489" t="inlineStr">
        <is>
          <t>GÄVLEBORGS LÄN</t>
        </is>
      </c>
      <c r="G489" t="inlineStr">
        <is>
          <t>OVANÅKER</t>
        </is>
      </c>
      <c r="I489" t="n">
        <v>4.9</v>
      </c>
      <c r="J489" t="n">
        <v>0</v>
      </c>
      <c r="K489" t="n">
        <v>0</v>
      </c>
      <c r="L489" t="n">
        <v>0</v>
      </c>
      <c r="M489" t="n">
        <v>0</v>
      </c>
      <c r="N489" t="n">
        <v>0</v>
      </c>
      <c r="O489" t="n">
        <v>0</v>
      </c>
      <c r="P489" t="n">
        <v>0</v>
      </c>
      <c r="Q489" t="n">
        <v>0</v>
      </c>
      <c r="R489" t="n">
        <v>0</v>
      </c>
      <c r="S489" t="n">
        <v>0</v>
      </c>
      <c r="T489" t="n">
        <v>0</v>
      </c>
      <c r="U489" s="2" t="inlineStr"/>
    </row>
    <row r="490" ht="15" customHeight="1">
      <c r="A490" t="inlineStr">
        <is>
          <t>A 12369-2026</t>
        </is>
      </c>
      <c r="B490" t="inlineStr">
        <is>
          <t>avverkningsanmälan</t>
        </is>
      </c>
      <c r="C490" t="inlineStr">
        <is>
          <t>Föryngringsavverkning</t>
        </is>
      </c>
      <c r="D490" s="1" t="n">
        <v>46089</v>
      </c>
      <c r="E490" s="1" t="n">
        <v>46222</v>
      </c>
      <c r="F490" t="inlineStr">
        <is>
          <t>GÄVLEBORGS LÄN</t>
        </is>
      </c>
      <c r="G490" t="inlineStr">
        <is>
          <t>OVANÅKER</t>
        </is>
      </c>
      <c r="I490" t="n">
        <v>2.6</v>
      </c>
      <c r="J490" t="n">
        <v>0</v>
      </c>
      <c r="K490" t="n">
        <v>0</v>
      </c>
      <c r="L490" t="n">
        <v>0</v>
      </c>
      <c r="M490" t="n">
        <v>0</v>
      </c>
      <c r="N490" t="n">
        <v>0</v>
      </c>
      <c r="O490" t="n">
        <v>0</v>
      </c>
      <c r="P490" t="n">
        <v>0</v>
      </c>
      <c r="Q490" t="n">
        <v>0</v>
      </c>
      <c r="R490" t="n">
        <v>0</v>
      </c>
      <c r="S490" t="n">
        <v>0</v>
      </c>
      <c r="T490" t="n">
        <v>0</v>
      </c>
      <c r="U490" s="2" t="inlineStr"/>
    </row>
    <row r="491" ht="15" customHeight="1">
      <c r="A491" t="inlineStr">
        <is>
          <t>A 53060-2025</t>
        </is>
      </c>
      <c r="B491" t="inlineStr">
        <is>
          <t>avverkningsanmälan</t>
        </is>
      </c>
      <c r="C491" t="inlineStr">
        <is>
          <t>Föryngringsavverkning</t>
        </is>
      </c>
      <c r="D491" s="1" t="n">
        <v>45958</v>
      </c>
      <c r="E491" s="1" t="n">
        <v>46222</v>
      </c>
      <c r="F491" t="inlineStr">
        <is>
          <t>GÄVLEBORGS LÄN</t>
        </is>
      </c>
      <c r="G491" t="inlineStr">
        <is>
          <t>OVANÅKER</t>
        </is>
      </c>
      <c r="I491" t="n">
        <v>1.6</v>
      </c>
      <c r="J491" t="n">
        <v>0</v>
      </c>
      <c r="K491" t="n">
        <v>0</v>
      </c>
      <c r="L491" t="n">
        <v>0</v>
      </c>
      <c r="M491" t="n">
        <v>0</v>
      </c>
      <c r="N491" t="n">
        <v>0</v>
      </c>
      <c r="O491" t="n">
        <v>0</v>
      </c>
      <c r="P491" t="n">
        <v>0</v>
      </c>
      <c r="Q491" t="n">
        <v>0</v>
      </c>
      <c r="R491" t="n">
        <v>0</v>
      </c>
      <c r="S491" t="n">
        <v>0</v>
      </c>
      <c r="T491" t="n">
        <v>0</v>
      </c>
      <c r="U491" s="2" t="inlineStr"/>
    </row>
    <row r="492" ht="15" customHeight="1">
      <c r="A492" t="inlineStr">
        <is>
          <t>A 19008-2025</t>
        </is>
      </c>
      <c r="B492" t="inlineStr">
        <is>
          <t>avverkningsanmälan</t>
        </is>
      </c>
      <c r="C492" t="inlineStr">
        <is>
          <t>Föryngringsavverkning</t>
        </is>
      </c>
      <c r="D492" s="1" t="n">
        <v>45764</v>
      </c>
      <c r="E492" s="1" t="n">
        <v>46222</v>
      </c>
      <c r="F492" t="inlineStr">
        <is>
          <t>GÄVLEBORGS LÄN</t>
        </is>
      </c>
      <c r="G492" t="inlineStr">
        <is>
          <t>OVANÅKER</t>
        </is>
      </c>
      <c r="H492" t="inlineStr">
        <is>
          <t>Bergvik skog öst AB</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58655-2025</t>
        </is>
      </c>
      <c r="B493" t="inlineStr">
        <is>
          <t>avverkningsanmälan</t>
        </is>
      </c>
      <c r="C493" t="inlineStr">
        <is>
          <t>Föryngringsavverkning</t>
        </is>
      </c>
      <c r="D493" s="1" t="n">
        <v>45986</v>
      </c>
      <c r="E493" s="1" t="n">
        <v>46222</v>
      </c>
      <c r="F493" t="inlineStr">
        <is>
          <t>GÄVLEBORGS LÄN</t>
        </is>
      </c>
      <c r="G493" t="inlineStr">
        <is>
          <t>OVANÅKER</t>
        </is>
      </c>
      <c r="I493" t="n">
        <v>19.4</v>
      </c>
      <c r="J493" t="n">
        <v>0</v>
      </c>
      <c r="K493" t="n">
        <v>0</v>
      </c>
      <c r="L493" t="n">
        <v>0</v>
      </c>
      <c r="M493" t="n">
        <v>0</v>
      </c>
      <c r="N493" t="n">
        <v>0</v>
      </c>
      <c r="O493" t="n">
        <v>0</v>
      </c>
      <c r="P493" t="n">
        <v>0</v>
      </c>
      <c r="Q493" t="n">
        <v>0</v>
      </c>
      <c r="R493" t="n">
        <v>0</v>
      </c>
      <c r="S493" t="n">
        <v>0</v>
      </c>
      <c r="T493" t="n">
        <v>0</v>
      </c>
      <c r="U493" s="2" t="inlineStr"/>
    </row>
    <row r="494" ht="15" customHeight="1">
      <c r="A494" t="inlineStr">
        <is>
          <t>A 49125-2023</t>
        </is>
      </c>
      <c r="B494" t="inlineStr">
        <is>
          <t>avverkningsanmälan</t>
        </is>
      </c>
      <c r="C494" t="inlineStr">
        <is>
          <t>Föryngringsavverkning</t>
        </is>
      </c>
      <c r="D494" s="1" t="n">
        <v>45210</v>
      </c>
      <c r="E494" s="1" t="n">
        <v>46222</v>
      </c>
      <c r="F494" t="inlineStr">
        <is>
          <t>GÄVLEBORGS LÄN</t>
        </is>
      </c>
      <c r="G494" t="inlineStr">
        <is>
          <t>OVANÅKER</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12425-2026</t>
        </is>
      </c>
      <c r="B495" t="inlineStr">
        <is>
          <t>avverkningsanmälan</t>
        </is>
      </c>
      <c r="C495" t="inlineStr">
        <is>
          <t>Föryngringsavverkning</t>
        </is>
      </c>
      <c r="D495" s="1" t="n">
        <v>46090</v>
      </c>
      <c r="E495" s="1" t="n">
        <v>46222</v>
      </c>
      <c r="F495" t="inlineStr">
        <is>
          <t>GÄVLEBORGS LÄN</t>
        </is>
      </c>
      <c r="G495" t="inlineStr">
        <is>
          <t>OVANÅKER</t>
        </is>
      </c>
      <c r="I495" t="n">
        <v>0.6</v>
      </c>
      <c r="J495" t="n">
        <v>0</v>
      </c>
      <c r="K495" t="n">
        <v>0</v>
      </c>
      <c r="L495" t="n">
        <v>0</v>
      </c>
      <c r="M495" t="n">
        <v>0</v>
      </c>
      <c r="N495" t="n">
        <v>0</v>
      </c>
      <c r="O495" t="n">
        <v>0</v>
      </c>
      <c r="P495" t="n">
        <v>0</v>
      </c>
      <c r="Q495" t="n">
        <v>0</v>
      </c>
      <c r="R495" t="n">
        <v>0</v>
      </c>
      <c r="S495" t="n">
        <v>0</v>
      </c>
      <c r="T495" t="n">
        <v>0</v>
      </c>
      <c r="U495" s="2" t="inlineStr"/>
    </row>
    <row r="496" ht="15" customHeight="1">
      <c r="A496" t="inlineStr">
        <is>
          <t>A 12430-2026</t>
        </is>
      </c>
      <c r="B496" t="inlineStr">
        <is>
          <t>avverkningsanmälan</t>
        </is>
      </c>
      <c r="C496" t="inlineStr">
        <is>
          <t>Föryngringsavverkning</t>
        </is>
      </c>
      <c r="D496" s="1" t="n">
        <v>46090</v>
      </c>
      <c r="E496" s="1" t="n">
        <v>46222</v>
      </c>
      <c r="F496" t="inlineStr">
        <is>
          <t>GÄVLEBORGS LÄN</t>
        </is>
      </c>
      <c r="G496" t="inlineStr">
        <is>
          <t>OVANÅKER</t>
        </is>
      </c>
      <c r="I496" t="n">
        <v>9.6</v>
      </c>
      <c r="J496" t="n">
        <v>0</v>
      </c>
      <c r="K496" t="n">
        <v>0</v>
      </c>
      <c r="L496" t="n">
        <v>0</v>
      </c>
      <c r="M496" t="n">
        <v>0</v>
      </c>
      <c r="N496" t="n">
        <v>0</v>
      </c>
      <c r="O496" t="n">
        <v>0</v>
      </c>
      <c r="P496" t="n">
        <v>0</v>
      </c>
      <c r="Q496" t="n">
        <v>0</v>
      </c>
      <c r="R496" t="n">
        <v>0</v>
      </c>
      <c r="S496" t="n">
        <v>0</v>
      </c>
      <c r="T496" t="n">
        <v>0</v>
      </c>
      <c r="U496" s="2" t="inlineStr"/>
    </row>
    <row r="497" ht="15" customHeight="1">
      <c r="A497" t="inlineStr">
        <is>
          <t>A 35993-2024</t>
        </is>
      </c>
      <c r="B497" t="inlineStr">
        <is>
          <t>avverkningsanmälan</t>
        </is>
      </c>
      <c r="C497" t="inlineStr">
        <is>
          <t>Föryngringsavverkning</t>
        </is>
      </c>
      <c r="D497" s="1" t="n">
        <v>45533</v>
      </c>
      <c r="E497" s="1" t="n">
        <v>46222</v>
      </c>
      <c r="F497" t="inlineStr">
        <is>
          <t>GÄVLEBORGS LÄN</t>
        </is>
      </c>
      <c r="G497" t="inlineStr">
        <is>
          <t>OVANÅKER</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59663-2025</t>
        </is>
      </c>
      <c r="B498" t="inlineStr">
        <is>
          <t>avverkningsanmälan</t>
        </is>
      </c>
      <c r="C498" t="inlineStr">
        <is>
          <t>Föryngringsavverkning</t>
        </is>
      </c>
      <c r="D498" s="1" t="n">
        <v>45992</v>
      </c>
      <c r="E498" s="1" t="n">
        <v>46222</v>
      </c>
      <c r="F498" t="inlineStr">
        <is>
          <t>GÄVLEBORGS LÄN</t>
        </is>
      </c>
      <c r="G498" t="inlineStr">
        <is>
          <t>OVANÅKER</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59643-2025</t>
        </is>
      </c>
      <c r="B499" t="inlineStr">
        <is>
          <t>avverkningsanmälan</t>
        </is>
      </c>
      <c r="C499" t="inlineStr">
        <is>
          <t>Föryngringsavverkning</t>
        </is>
      </c>
      <c r="D499" s="1" t="n">
        <v>45992</v>
      </c>
      <c r="E499" s="1" t="n">
        <v>46222</v>
      </c>
      <c r="F499" t="inlineStr">
        <is>
          <t>GÄVLEBORGS LÄN</t>
        </is>
      </c>
      <c r="G499" t="inlineStr">
        <is>
          <t>OVANÅKER</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12838-2026</t>
        </is>
      </c>
      <c r="B500" t="inlineStr">
        <is>
          <t>avverkningsanmälan</t>
        </is>
      </c>
      <c r="C500" t="inlineStr">
        <is>
          <t>Föryngringsavverkning</t>
        </is>
      </c>
      <c r="D500" s="1" t="n">
        <v>46092</v>
      </c>
      <c r="E500" s="1" t="n">
        <v>46222</v>
      </c>
      <c r="F500" t="inlineStr">
        <is>
          <t>GÄVLEBORGS LÄN</t>
        </is>
      </c>
      <c r="G500" t="inlineStr">
        <is>
          <t>OVANÅKER</t>
        </is>
      </c>
      <c r="I500" t="n">
        <v>1.2</v>
      </c>
      <c r="J500" t="n">
        <v>0</v>
      </c>
      <c r="K500" t="n">
        <v>0</v>
      </c>
      <c r="L500" t="n">
        <v>0</v>
      </c>
      <c r="M500" t="n">
        <v>0</v>
      </c>
      <c r="N500" t="n">
        <v>0</v>
      </c>
      <c r="O500" t="n">
        <v>0</v>
      </c>
      <c r="P500" t="n">
        <v>0</v>
      </c>
      <c r="Q500" t="n">
        <v>0</v>
      </c>
      <c r="R500" t="n">
        <v>0</v>
      </c>
      <c r="S500" t="n">
        <v>0</v>
      </c>
      <c r="T500" t="n">
        <v>0</v>
      </c>
      <c r="U500" s="2" t="inlineStr"/>
    </row>
    <row r="501" ht="15" customHeight="1">
      <c r="A501" t="inlineStr">
        <is>
          <t>A 12850-2026</t>
        </is>
      </c>
      <c r="B501" t="inlineStr">
        <is>
          <t>avverkningsanmälan</t>
        </is>
      </c>
      <c r="C501" t="inlineStr">
        <is>
          <t>Föryngringsavverkning</t>
        </is>
      </c>
      <c r="D501" s="1" t="n">
        <v>46092</v>
      </c>
      <c r="E501" s="1" t="n">
        <v>46222</v>
      </c>
      <c r="F501" t="inlineStr">
        <is>
          <t>GÄVLEBORGS LÄN</t>
        </is>
      </c>
      <c r="G501" t="inlineStr">
        <is>
          <t>OVANÅKER</t>
        </is>
      </c>
      <c r="I501" t="n">
        <v>5.9</v>
      </c>
      <c r="J501" t="n">
        <v>0</v>
      </c>
      <c r="K501" t="n">
        <v>0</v>
      </c>
      <c r="L501" t="n">
        <v>0</v>
      </c>
      <c r="M501" t="n">
        <v>0</v>
      </c>
      <c r="N501" t="n">
        <v>0</v>
      </c>
      <c r="O501" t="n">
        <v>0</v>
      </c>
      <c r="P501" t="n">
        <v>0</v>
      </c>
      <c r="Q501" t="n">
        <v>0</v>
      </c>
      <c r="R501" t="n">
        <v>0</v>
      </c>
      <c r="S501" t="n">
        <v>0</v>
      </c>
      <c r="T501" t="n">
        <v>0</v>
      </c>
      <c r="U501" s="2" t="inlineStr"/>
    </row>
    <row r="502" ht="15" customHeight="1">
      <c r="A502" t="inlineStr">
        <is>
          <t>A 58504-2025</t>
        </is>
      </c>
      <c r="B502" t="inlineStr">
        <is>
          <t>avverkningsanmälan</t>
        </is>
      </c>
      <c r="C502" t="inlineStr">
        <is>
          <t>Föryngringsavverkning</t>
        </is>
      </c>
      <c r="D502" s="1" t="n">
        <v>45985</v>
      </c>
      <c r="E502" s="1" t="n">
        <v>46222</v>
      </c>
      <c r="F502" t="inlineStr">
        <is>
          <t>GÄVLEBORGS LÄN</t>
        </is>
      </c>
      <c r="G502" t="inlineStr">
        <is>
          <t>OVANÅKER</t>
        </is>
      </c>
      <c r="I502" t="n">
        <v>2.2</v>
      </c>
      <c r="J502" t="n">
        <v>0</v>
      </c>
      <c r="K502" t="n">
        <v>0</v>
      </c>
      <c r="L502" t="n">
        <v>0</v>
      </c>
      <c r="M502" t="n">
        <v>0</v>
      </c>
      <c r="N502" t="n">
        <v>0</v>
      </c>
      <c r="O502" t="n">
        <v>0</v>
      </c>
      <c r="P502" t="n">
        <v>0</v>
      </c>
      <c r="Q502" t="n">
        <v>0</v>
      </c>
      <c r="R502" t="n">
        <v>0</v>
      </c>
      <c r="S502" t="n">
        <v>0</v>
      </c>
      <c r="T502" t="n">
        <v>0</v>
      </c>
      <c r="U502" s="2" t="inlineStr"/>
    </row>
    <row r="503" ht="15" customHeight="1">
      <c r="A503" t="inlineStr">
        <is>
          <t>A 17617-2025</t>
        </is>
      </c>
      <c r="B503" t="inlineStr">
        <is>
          <t>avverkningsanmälan</t>
        </is>
      </c>
      <c r="C503" t="inlineStr">
        <is>
          <t>Föryngringsavverkning</t>
        </is>
      </c>
      <c r="D503" s="1" t="n">
        <v>45757</v>
      </c>
      <c r="E503" s="1" t="n">
        <v>46222</v>
      </c>
      <c r="F503" t="inlineStr">
        <is>
          <t>GÄVLEBORGS LÄN</t>
        </is>
      </c>
      <c r="G503" t="inlineStr">
        <is>
          <t>OVANÅKER</t>
        </is>
      </c>
      <c r="H503" t="inlineStr">
        <is>
          <t>Holmen skog AB</t>
        </is>
      </c>
      <c r="I503" t="n">
        <v>6.9</v>
      </c>
      <c r="J503" t="n">
        <v>0</v>
      </c>
      <c r="K503" t="n">
        <v>0</v>
      </c>
      <c r="L503" t="n">
        <v>0</v>
      </c>
      <c r="M503" t="n">
        <v>0</v>
      </c>
      <c r="N503" t="n">
        <v>0</v>
      </c>
      <c r="O503" t="n">
        <v>0</v>
      </c>
      <c r="P503" t="n">
        <v>0</v>
      </c>
      <c r="Q503" t="n">
        <v>0</v>
      </c>
      <c r="R503" t="n">
        <v>0</v>
      </c>
      <c r="S503" t="n">
        <v>0</v>
      </c>
      <c r="T503" t="n">
        <v>0</v>
      </c>
      <c r="U503" s="2" t="inlineStr"/>
    </row>
    <row r="504" ht="15" customHeight="1">
      <c r="A504" t="inlineStr">
        <is>
          <t>A 60106-2025</t>
        </is>
      </c>
      <c r="B504" t="inlineStr">
        <is>
          <t>avverkningsanmälan</t>
        </is>
      </c>
      <c r="C504" t="inlineStr">
        <is>
          <t>Föryngringsavverkning</t>
        </is>
      </c>
      <c r="D504" s="1" t="n">
        <v>45994</v>
      </c>
      <c r="E504" s="1" t="n">
        <v>46222</v>
      </c>
      <c r="F504" t="inlineStr">
        <is>
          <t>GÄVLEBORGS LÄN</t>
        </is>
      </c>
      <c r="G504" t="inlineStr">
        <is>
          <t>OVANÅKER</t>
        </is>
      </c>
      <c r="I504" t="n">
        <v>3.6</v>
      </c>
      <c r="J504" t="n">
        <v>0</v>
      </c>
      <c r="K504" t="n">
        <v>0</v>
      </c>
      <c r="L504" t="n">
        <v>0</v>
      </c>
      <c r="M504" t="n">
        <v>0</v>
      </c>
      <c r="N504" t="n">
        <v>0</v>
      </c>
      <c r="O504" t="n">
        <v>0</v>
      </c>
      <c r="P504" t="n">
        <v>0</v>
      </c>
      <c r="Q504" t="n">
        <v>0</v>
      </c>
      <c r="R504" t="n">
        <v>0</v>
      </c>
      <c r="S504" t="n">
        <v>0</v>
      </c>
      <c r="T504" t="n">
        <v>0</v>
      </c>
      <c r="U504" s="2" t="inlineStr"/>
    </row>
    <row r="505" ht="15" customHeight="1">
      <c r="A505" t="inlineStr">
        <is>
          <t>A 60108-2025</t>
        </is>
      </c>
      <c r="B505" t="inlineStr">
        <is>
          <t>avverkningsanmälan</t>
        </is>
      </c>
      <c r="C505" t="inlineStr">
        <is>
          <t>Föryngringsavverkning</t>
        </is>
      </c>
      <c r="D505" s="1" t="n">
        <v>45994</v>
      </c>
      <c r="E505" s="1" t="n">
        <v>46222</v>
      </c>
      <c r="F505" t="inlineStr">
        <is>
          <t>GÄVLEBORGS LÄN</t>
        </is>
      </c>
      <c r="G505" t="inlineStr">
        <is>
          <t>OVANÅKER</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60345-2025</t>
        </is>
      </c>
      <c r="B506" t="inlineStr">
        <is>
          <t>avverkningsanmälan</t>
        </is>
      </c>
      <c r="C506" t="inlineStr">
        <is>
          <t>Föryngringsavverkning</t>
        </is>
      </c>
      <c r="D506" s="1" t="n">
        <v>45995</v>
      </c>
      <c r="E506" s="1" t="n">
        <v>46222</v>
      </c>
      <c r="F506" t="inlineStr">
        <is>
          <t>GÄVLEBORGS LÄN</t>
        </is>
      </c>
      <c r="G506" t="inlineStr">
        <is>
          <t>OVANÅKER</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13511-2026</t>
        </is>
      </c>
      <c r="B507" t="inlineStr">
        <is>
          <t>avverkningsanmälan</t>
        </is>
      </c>
      <c r="C507" t="inlineStr">
        <is>
          <t>Föryngringsavverkning</t>
        </is>
      </c>
      <c r="D507" s="1" t="n">
        <v>46094</v>
      </c>
      <c r="E507" s="1" t="n">
        <v>46222</v>
      </c>
      <c r="F507" t="inlineStr">
        <is>
          <t>GÄVLEBORGS LÄN</t>
        </is>
      </c>
      <c r="G507" t="inlineStr">
        <is>
          <t>OVANÅKER</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13678-2026</t>
        </is>
      </c>
      <c r="B508" t="inlineStr">
        <is>
          <t>avverkningsanmälan</t>
        </is>
      </c>
      <c r="C508" t="inlineStr">
        <is>
          <t>Föryngringsavverkning</t>
        </is>
      </c>
      <c r="D508" s="1" t="n">
        <v>46097</v>
      </c>
      <c r="E508" s="1" t="n">
        <v>46222</v>
      </c>
      <c r="F508" t="inlineStr">
        <is>
          <t>GÄVLEBORGS LÄN</t>
        </is>
      </c>
      <c r="G508" t="inlineStr">
        <is>
          <t>OVANÅKER</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13677-2026</t>
        </is>
      </c>
      <c r="B509" t="inlineStr">
        <is>
          <t>avverkningsanmälan</t>
        </is>
      </c>
      <c r="C509" t="inlineStr">
        <is>
          <t>Föryngringsavverkning</t>
        </is>
      </c>
      <c r="D509" s="1" t="n">
        <v>46097</v>
      </c>
      <c r="E509" s="1" t="n">
        <v>46222</v>
      </c>
      <c r="F509" t="inlineStr">
        <is>
          <t>GÄVLEBORGS LÄN</t>
        </is>
      </c>
      <c r="G509" t="inlineStr">
        <is>
          <t>OVANÅKER</t>
        </is>
      </c>
      <c r="I509" t="n">
        <v>3.7</v>
      </c>
      <c r="J509" t="n">
        <v>0</v>
      </c>
      <c r="K509" t="n">
        <v>0</v>
      </c>
      <c r="L509" t="n">
        <v>0</v>
      </c>
      <c r="M509" t="n">
        <v>0</v>
      </c>
      <c r="N509" t="n">
        <v>0</v>
      </c>
      <c r="O509" t="n">
        <v>0</v>
      </c>
      <c r="P509" t="n">
        <v>0</v>
      </c>
      <c r="Q509" t="n">
        <v>0</v>
      </c>
      <c r="R509" t="n">
        <v>0</v>
      </c>
      <c r="S509" t="n">
        <v>0</v>
      </c>
      <c r="T509" t="n">
        <v>0</v>
      </c>
      <c r="U509" s="2" t="inlineStr"/>
    </row>
    <row r="510" ht="15" customHeight="1">
      <c r="A510" t="inlineStr">
        <is>
          <t>A 60107-2025</t>
        </is>
      </c>
      <c r="B510" t="inlineStr">
        <is>
          <t>avverkningsanmälan</t>
        </is>
      </c>
      <c r="C510" t="inlineStr">
        <is>
          <t>Föryngringsavverkning</t>
        </is>
      </c>
      <c r="D510" s="1" t="n">
        <v>45994</v>
      </c>
      <c r="E510" s="1" t="n">
        <v>46222</v>
      </c>
      <c r="F510" t="inlineStr">
        <is>
          <t>GÄVLEBORGS LÄN</t>
        </is>
      </c>
      <c r="G510" t="inlineStr">
        <is>
          <t>OVANÅKER</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60121-2025</t>
        </is>
      </c>
      <c r="B511" t="inlineStr">
        <is>
          <t>avverkningsanmälan</t>
        </is>
      </c>
      <c r="C511" t="inlineStr">
        <is>
          <t>Föryngringsavverkning</t>
        </is>
      </c>
      <c r="D511" s="1" t="n">
        <v>45994</v>
      </c>
      <c r="E511" s="1" t="n">
        <v>46222</v>
      </c>
      <c r="F511" t="inlineStr">
        <is>
          <t>GÄVLEBORGS LÄN</t>
        </is>
      </c>
      <c r="G511" t="inlineStr">
        <is>
          <t>OVANÅKER</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9286-2022</t>
        </is>
      </c>
      <c r="B512" t="inlineStr">
        <is>
          <t>avverkningsanmälan</t>
        </is>
      </c>
      <c r="C512" t="inlineStr">
        <is>
          <t>Föryngringsavverkning</t>
        </is>
      </c>
      <c r="D512" s="1" t="n">
        <v>44616</v>
      </c>
      <c r="E512" s="1" t="n">
        <v>46222</v>
      </c>
      <c r="F512" t="inlineStr">
        <is>
          <t>GÄVLEBORGS LÄN</t>
        </is>
      </c>
      <c r="G512" t="inlineStr">
        <is>
          <t>OVANÅKER</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21263-2024</t>
        </is>
      </c>
      <c r="B513" t="inlineStr">
        <is>
          <t>avverkningsanmälan</t>
        </is>
      </c>
      <c r="C513" t="inlineStr">
        <is>
          <t>Föryngringsavverkning</t>
        </is>
      </c>
      <c r="D513" s="1" t="n">
        <v>45440</v>
      </c>
      <c r="E513" s="1" t="n">
        <v>46222</v>
      </c>
      <c r="F513" t="inlineStr">
        <is>
          <t>GÄVLEBORGS LÄN</t>
        </is>
      </c>
      <c r="G513" t="inlineStr">
        <is>
          <t>OVANÅKER</t>
        </is>
      </c>
      <c r="I513" t="n">
        <v>2.9</v>
      </c>
      <c r="J513" t="n">
        <v>0</v>
      </c>
      <c r="K513" t="n">
        <v>0</v>
      </c>
      <c r="L513" t="n">
        <v>0</v>
      </c>
      <c r="M513" t="n">
        <v>0</v>
      </c>
      <c r="N513" t="n">
        <v>0</v>
      </c>
      <c r="O513" t="n">
        <v>0</v>
      </c>
      <c r="P513" t="n">
        <v>0</v>
      </c>
      <c r="Q513" t="n">
        <v>0</v>
      </c>
      <c r="R513" t="n">
        <v>0</v>
      </c>
      <c r="S513" t="n">
        <v>0</v>
      </c>
      <c r="T513" t="n">
        <v>0</v>
      </c>
      <c r="U513" s="2" t="inlineStr"/>
    </row>
    <row r="514" ht="15" customHeight="1">
      <c r="A514" t="inlineStr">
        <is>
          <t>A 13682-2026</t>
        </is>
      </c>
      <c r="B514" t="inlineStr">
        <is>
          <t>avverkningsanmälan</t>
        </is>
      </c>
      <c r="C514" t="inlineStr">
        <is>
          <t>Föryngringsavverkning</t>
        </is>
      </c>
      <c r="D514" s="1" t="n">
        <v>46097</v>
      </c>
      <c r="E514" s="1" t="n">
        <v>46222</v>
      </c>
      <c r="F514" t="inlineStr">
        <is>
          <t>GÄVLEBORGS LÄN</t>
        </is>
      </c>
      <c r="G514" t="inlineStr">
        <is>
          <t>OVANÅKER</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60379-2025</t>
        </is>
      </c>
      <c r="B515" t="inlineStr">
        <is>
          <t>avverkningsanmälan</t>
        </is>
      </c>
      <c r="C515" t="inlineStr">
        <is>
          <t>Föryngringsavverkning</t>
        </is>
      </c>
      <c r="D515" s="1" t="n">
        <v>45995</v>
      </c>
      <c r="E515" s="1" t="n">
        <v>46222</v>
      </c>
      <c r="F515" t="inlineStr">
        <is>
          <t>GÄVLEBORGS LÄN</t>
        </is>
      </c>
      <c r="G515" t="inlineStr">
        <is>
          <t>OVANÅKER</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60476-2025</t>
        </is>
      </c>
      <c r="B516" t="inlineStr">
        <is>
          <t>avverkningsanmälan</t>
        </is>
      </c>
      <c r="C516" t="inlineStr">
        <is>
          <t>Föryngringsavverkning</t>
        </is>
      </c>
      <c r="D516" s="1" t="n">
        <v>45995</v>
      </c>
      <c r="E516" s="1" t="n">
        <v>46222</v>
      </c>
      <c r="F516" t="inlineStr">
        <is>
          <t>GÄVLEBORGS LÄN</t>
        </is>
      </c>
      <c r="G516" t="inlineStr">
        <is>
          <t>OVANÅKER</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60912-2025</t>
        </is>
      </c>
      <c r="B517" t="inlineStr">
        <is>
          <t>avverkningsanmälan</t>
        </is>
      </c>
      <c r="C517" t="inlineStr">
        <is>
          <t>Föryngringsavverkning</t>
        </is>
      </c>
      <c r="D517" s="1" t="n">
        <v>45999</v>
      </c>
      <c r="E517" s="1" t="n">
        <v>46222</v>
      </c>
      <c r="F517" t="inlineStr">
        <is>
          <t>GÄVLEBORGS LÄN</t>
        </is>
      </c>
      <c r="G517" t="inlineStr">
        <is>
          <t>OVANÅKER</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14014-2026</t>
        </is>
      </c>
      <c r="B518" t="inlineStr">
        <is>
          <t>avverkningsanmälan</t>
        </is>
      </c>
      <c r="C518" t="inlineStr">
        <is>
          <t>Föryngringsavverkning</t>
        </is>
      </c>
      <c r="D518" s="1" t="n">
        <v>46098</v>
      </c>
      <c r="E518" s="1" t="n">
        <v>46222</v>
      </c>
      <c r="F518" t="inlineStr">
        <is>
          <t>GÄVLEBORGS LÄN</t>
        </is>
      </c>
      <c r="G518" t="inlineStr">
        <is>
          <t>OVANÅKER</t>
        </is>
      </c>
      <c r="I518" t="n">
        <v>5.7</v>
      </c>
      <c r="J518" t="n">
        <v>0</v>
      </c>
      <c r="K518" t="n">
        <v>0</v>
      </c>
      <c r="L518" t="n">
        <v>0</v>
      </c>
      <c r="M518" t="n">
        <v>0</v>
      </c>
      <c r="N518" t="n">
        <v>0</v>
      </c>
      <c r="O518" t="n">
        <v>0</v>
      </c>
      <c r="P518" t="n">
        <v>0</v>
      </c>
      <c r="Q518" t="n">
        <v>0</v>
      </c>
      <c r="R518" t="n">
        <v>0</v>
      </c>
      <c r="S518" t="n">
        <v>0</v>
      </c>
      <c r="T518" t="n">
        <v>0</v>
      </c>
      <c r="U518" s="2" t="inlineStr"/>
    </row>
    <row r="519" ht="15" customHeight="1">
      <c r="A519" t="inlineStr">
        <is>
          <t>A 19875-2025</t>
        </is>
      </c>
      <c r="B519" t="inlineStr">
        <is>
          <t>avverkningsanmälan</t>
        </is>
      </c>
      <c r="C519" t="inlineStr">
        <is>
          <t>Föryngringsavverkning</t>
        </is>
      </c>
      <c r="D519" s="1" t="n">
        <v>45771</v>
      </c>
      <c r="E519" s="1" t="n">
        <v>46222</v>
      </c>
      <c r="F519" t="inlineStr">
        <is>
          <t>GÄVLEBORGS LÄN</t>
        </is>
      </c>
      <c r="G519" t="inlineStr">
        <is>
          <t>OVANÅKER</t>
        </is>
      </c>
      <c r="I519" t="n">
        <v>0.4</v>
      </c>
      <c r="J519" t="n">
        <v>0</v>
      </c>
      <c r="K519" t="n">
        <v>0</v>
      </c>
      <c r="L519" t="n">
        <v>0</v>
      </c>
      <c r="M519" t="n">
        <v>0</v>
      </c>
      <c r="N519" t="n">
        <v>0</v>
      </c>
      <c r="O519" t="n">
        <v>0</v>
      </c>
      <c r="P519" t="n">
        <v>0</v>
      </c>
      <c r="Q519" t="n">
        <v>0</v>
      </c>
      <c r="R519" t="n">
        <v>0</v>
      </c>
      <c r="S519" t="n">
        <v>0</v>
      </c>
      <c r="T519" t="n">
        <v>0</v>
      </c>
      <c r="U519" s="2" t="inlineStr"/>
    </row>
    <row r="520" ht="15" customHeight="1">
      <c r="A520" t="inlineStr">
        <is>
          <t>A 14213-2026</t>
        </is>
      </c>
      <c r="B520" t="inlineStr">
        <is>
          <t>avverkningsanmälan</t>
        </is>
      </c>
      <c r="C520" t="inlineStr">
        <is>
          <t>Föryngringsavverkning</t>
        </is>
      </c>
      <c r="D520" s="1" t="n">
        <v>46099</v>
      </c>
      <c r="E520" s="1" t="n">
        <v>46222</v>
      </c>
      <c r="F520" t="inlineStr">
        <is>
          <t>GÄVLEBORGS LÄN</t>
        </is>
      </c>
      <c r="G520" t="inlineStr">
        <is>
          <t>OVANÅKER</t>
        </is>
      </c>
      <c r="I520" t="n">
        <v>4.5</v>
      </c>
      <c r="J520" t="n">
        <v>0</v>
      </c>
      <c r="K520" t="n">
        <v>0</v>
      </c>
      <c r="L520" t="n">
        <v>0</v>
      </c>
      <c r="M520" t="n">
        <v>0</v>
      </c>
      <c r="N520" t="n">
        <v>0</v>
      </c>
      <c r="O520" t="n">
        <v>0</v>
      </c>
      <c r="P520" t="n">
        <v>0</v>
      </c>
      <c r="Q520" t="n">
        <v>0</v>
      </c>
      <c r="R520" t="n">
        <v>0</v>
      </c>
      <c r="S520" t="n">
        <v>0</v>
      </c>
      <c r="T520" t="n">
        <v>0</v>
      </c>
      <c r="U520" s="2" t="inlineStr"/>
    </row>
    <row r="521" ht="15" customHeight="1">
      <c r="A521" t="inlineStr">
        <is>
          <t>A 7483-2026</t>
        </is>
      </c>
      <c r="B521" t="inlineStr">
        <is>
          <t>avverkningsanmälan</t>
        </is>
      </c>
      <c r="C521" t="inlineStr">
        <is>
          <t>Föryngringsavverkning</t>
        </is>
      </c>
      <c r="D521" s="1" t="n">
        <v>46059</v>
      </c>
      <c r="E521" s="1" t="n">
        <v>46222</v>
      </c>
      <c r="F521" t="inlineStr">
        <is>
          <t>GÄVLEBORGS LÄN</t>
        </is>
      </c>
      <c r="G521" t="inlineStr">
        <is>
          <t>OVANÅKER</t>
        </is>
      </c>
      <c r="H521" t="inlineStr">
        <is>
          <t>Sveaskog</t>
        </is>
      </c>
      <c r="I521" t="n">
        <v>27</v>
      </c>
      <c r="J521" t="n">
        <v>0</v>
      </c>
      <c r="K521" t="n">
        <v>0</v>
      </c>
      <c r="L521" t="n">
        <v>0</v>
      </c>
      <c r="M521" t="n">
        <v>0</v>
      </c>
      <c r="N521" t="n">
        <v>0</v>
      </c>
      <c r="O521" t="n">
        <v>0</v>
      </c>
      <c r="P521" t="n">
        <v>0</v>
      </c>
      <c r="Q521" t="n">
        <v>0</v>
      </c>
      <c r="R521" t="n">
        <v>0</v>
      </c>
      <c r="S521" t="n">
        <v>0</v>
      </c>
      <c r="T521" t="n">
        <v>0</v>
      </c>
      <c r="U521" s="2" t="inlineStr"/>
    </row>
    <row r="522" ht="15" customHeight="1">
      <c r="A522" t="inlineStr">
        <is>
          <t>A 14226-2026</t>
        </is>
      </c>
      <c r="B522" t="inlineStr">
        <is>
          <t>avverkningsanmälan</t>
        </is>
      </c>
      <c r="C522" t="inlineStr">
        <is>
          <t>Föryngringsavverkning</t>
        </is>
      </c>
      <c r="D522" s="1" t="n">
        <v>46099</v>
      </c>
      <c r="E522" s="1" t="n">
        <v>46222</v>
      </c>
      <c r="F522" t="inlineStr">
        <is>
          <t>GÄVLEBORGS LÄN</t>
        </is>
      </c>
      <c r="G522" t="inlineStr">
        <is>
          <t>OVANÅKER</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59354-2024</t>
        </is>
      </c>
      <c r="B523" t="inlineStr">
        <is>
          <t>avverkningsanmälan</t>
        </is>
      </c>
      <c r="C523" t="inlineStr">
        <is>
          <t>Föryngringsavverkning</t>
        </is>
      </c>
      <c r="D523" s="1" t="n">
        <v>45638</v>
      </c>
      <c r="E523" s="1" t="n">
        <v>46222</v>
      </c>
      <c r="F523" t="inlineStr">
        <is>
          <t>GÄVLEBORGS LÄN</t>
        </is>
      </c>
      <c r="G523" t="inlineStr">
        <is>
          <t>OVANÅKER</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14274-2026</t>
        </is>
      </c>
      <c r="B524" t="inlineStr">
        <is>
          <t>avverkningsanmälan</t>
        </is>
      </c>
      <c r="C524" t="inlineStr">
        <is>
          <t>Föryngringsavverkning</t>
        </is>
      </c>
      <c r="D524" s="1" t="n">
        <v>46099</v>
      </c>
      <c r="E524" s="1" t="n">
        <v>46222</v>
      </c>
      <c r="F524" t="inlineStr">
        <is>
          <t>GÄVLEBORGS LÄN</t>
        </is>
      </c>
      <c r="G524" t="inlineStr">
        <is>
          <t>OVANÅKER</t>
        </is>
      </c>
      <c r="I524" t="n">
        <v>11.5</v>
      </c>
      <c r="J524" t="n">
        <v>0</v>
      </c>
      <c r="K524" t="n">
        <v>0</v>
      </c>
      <c r="L524" t="n">
        <v>0</v>
      </c>
      <c r="M524" t="n">
        <v>0</v>
      </c>
      <c r="N524" t="n">
        <v>0</v>
      </c>
      <c r="O524" t="n">
        <v>0</v>
      </c>
      <c r="P524" t="n">
        <v>0</v>
      </c>
      <c r="Q524" t="n">
        <v>0</v>
      </c>
      <c r="R524" t="n">
        <v>0</v>
      </c>
      <c r="S524" t="n">
        <v>0</v>
      </c>
      <c r="T524" t="n">
        <v>0</v>
      </c>
      <c r="U524" s="2" t="inlineStr"/>
    </row>
    <row r="525" ht="15" customHeight="1">
      <c r="A525" t="inlineStr">
        <is>
          <t>A 13879-2026</t>
        </is>
      </c>
      <c r="B525" t="inlineStr">
        <is>
          <t>avverkningsanmälan</t>
        </is>
      </c>
      <c r="C525" t="inlineStr">
        <is>
          <t>Föryngringsavverkning</t>
        </is>
      </c>
      <c r="D525" s="1" t="n">
        <v>46098</v>
      </c>
      <c r="E525" s="1" t="n">
        <v>46222</v>
      </c>
      <c r="F525" t="inlineStr">
        <is>
          <t>GÄVLEBORGS LÄN</t>
        </is>
      </c>
      <c r="G525" t="inlineStr">
        <is>
          <t>OVANÅKER</t>
        </is>
      </c>
      <c r="I525" t="n">
        <v>4</v>
      </c>
      <c r="J525" t="n">
        <v>0</v>
      </c>
      <c r="K525" t="n">
        <v>0</v>
      </c>
      <c r="L525" t="n">
        <v>0</v>
      </c>
      <c r="M525" t="n">
        <v>0</v>
      </c>
      <c r="N525" t="n">
        <v>0</v>
      </c>
      <c r="O525" t="n">
        <v>0</v>
      </c>
      <c r="P525" t="n">
        <v>0</v>
      </c>
      <c r="Q525" t="n">
        <v>0</v>
      </c>
      <c r="R525" t="n">
        <v>0</v>
      </c>
      <c r="S525" t="n">
        <v>0</v>
      </c>
      <c r="T525" t="n">
        <v>0</v>
      </c>
      <c r="U525" s="2" t="inlineStr"/>
    </row>
    <row r="526" ht="15" customHeight="1">
      <c r="A526" t="inlineStr">
        <is>
          <t>A 54099-2023</t>
        </is>
      </c>
      <c r="B526" t="inlineStr">
        <is>
          <t>avverkningsanmälan</t>
        </is>
      </c>
      <c r="C526" t="inlineStr">
        <is>
          <t>Föryngringsavverkning</t>
        </is>
      </c>
      <c r="D526" s="1" t="n">
        <v>45225</v>
      </c>
      <c r="E526" s="1" t="n">
        <v>46222</v>
      </c>
      <c r="F526" t="inlineStr">
        <is>
          <t>GÄVLEBORGS LÄN</t>
        </is>
      </c>
      <c r="G526" t="inlineStr">
        <is>
          <t>OVANÅKER</t>
        </is>
      </c>
      <c r="I526" t="n">
        <v>2.5</v>
      </c>
      <c r="J526" t="n">
        <v>0</v>
      </c>
      <c r="K526" t="n">
        <v>0</v>
      </c>
      <c r="L526" t="n">
        <v>0</v>
      </c>
      <c r="M526" t="n">
        <v>0</v>
      </c>
      <c r="N526" t="n">
        <v>0</v>
      </c>
      <c r="O526" t="n">
        <v>0</v>
      </c>
      <c r="P526" t="n">
        <v>0</v>
      </c>
      <c r="Q526" t="n">
        <v>0</v>
      </c>
      <c r="R526" t="n">
        <v>0</v>
      </c>
      <c r="S526" t="n">
        <v>0</v>
      </c>
      <c r="T526" t="n">
        <v>0</v>
      </c>
      <c r="U526" s="2" t="inlineStr"/>
    </row>
    <row r="527" ht="15" customHeight="1">
      <c r="A527" t="inlineStr">
        <is>
          <t>A 61722-2025</t>
        </is>
      </c>
      <c r="B527" t="inlineStr">
        <is>
          <t>avverkningsanmälan</t>
        </is>
      </c>
      <c r="C527" t="inlineStr">
        <is>
          <t>Föryngringsavverkning</t>
        </is>
      </c>
      <c r="D527" s="1" t="n">
        <v>46002</v>
      </c>
      <c r="E527" s="1" t="n">
        <v>46222</v>
      </c>
      <c r="F527" t="inlineStr">
        <is>
          <t>GÄVLEBORGS LÄN</t>
        </is>
      </c>
      <c r="G527" t="inlineStr">
        <is>
          <t>OVANÅKER</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14043-2026</t>
        </is>
      </c>
      <c r="B528" t="inlineStr">
        <is>
          <t>avverkningsanmälan</t>
        </is>
      </c>
      <c r="C528" t="inlineStr">
        <is>
          <t>Föryngringsavverkning</t>
        </is>
      </c>
      <c r="D528" s="1" t="n">
        <v>46098</v>
      </c>
      <c r="E528" s="1" t="n">
        <v>46222</v>
      </c>
      <c r="F528" t="inlineStr">
        <is>
          <t>GÄVLEBORGS LÄN</t>
        </is>
      </c>
      <c r="G528" t="inlineStr">
        <is>
          <t>OVANÅKER</t>
        </is>
      </c>
      <c r="I528" t="n">
        <v>5</v>
      </c>
      <c r="J528" t="n">
        <v>0</v>
      </c>
      <c r="K528" t="n">
        <v>0</v>
      </c>
      <c r="L528" t="n">
        <v>0</v>
      </c>
      <c r="M528" t="n">
        <v>0</v>
      </c>
      <c r="N528" t="n">
        <v>0</v>
      </c>
      <c r="O528" t="n">
        <v>0</v>
      </c>
      <c r="P528" t="n">
        <v>0</v>
      </c>
      <c r="Q528" t="n">
        <v>0</v>
      </c>
      <c r="R528" t="n">
        <v>0</v>
      </c>
      <c r="S528" t="n">
        <v>0</v>
      </c>
      <c r="T528" t="n">
        <v>0</v>
      </c>
      <c r="U528" s="2" t="inlineStr"/>
    </row>
    <row r="529" ht="15" customHeight="1">
      <c r="A529" t="inlineStr">
        <is>
          <t>A 14105-2026</t>
        </is>
      </c>
      <c r="B529" t="inlineStr">
        <is>
          <t>avverkningsanmälan</t>
        </is>
      </c>
      <c r="C529" t="inlineStr">
        <is>
          <t>Föryngringsavverkning</t>
        </is>
      </c>
      <c r="D529" s="1" t="n">
        <v>46099</v>
      </c>
      <c r="E529" s="1" t="n">
        <v>46222</v>
      </c>
      <c r="F529" t="inlineStr">
        <is>
          <t>GÄVLEBORGS LÄN</t>
        </is>
      </c>
      <c r="G529" t="inlineStr">
        <is>
          <t>OVANÅKER</t>
        </is>
      </c>
      <c r="H529" t="inlineStr">
        <is>
          <t>Bergvik skog väst AB</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14704-2026</t>
        </is>
      </c>
      <c r="B530" t="inlineStr">
        <is>
          <t>avverkningsanmälan</t>
        </is>
      </c>
      <c r="C530" t="inlineStr">
        <is>
          <t>Föryngringsavverkning</t>
        </is>
      </c>
      <c r="D530" s="1" t="n">
        <v>46101</v>
      </c>
      <c r="E530" s="1" t="n">
        <v>46222</v>
      </c>
      <c r="F530" t="inlineStr">
        <is>
          <t>GÄVLEBORGS LÄN</t>
        </is>
      </c>
      <c r="G530" t="inlineStr">
        <is>
          <t>OVANÅKER</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14625-2026</t>
        </is>
      </c>
      <c r="B531" t="inlineStr">
        <is>
          <t>avverkningsanmälan</t>
        </is>
      </c>
      <c r="C531" t="inlineStr">
        <is>
          <t>Föryngringsavverkning</t>
        </is>
      </c>
      <c r="D531" s="1" t="n">
        <v>46101</v>
      </c>
      <c r="E531" s="1" t="n">
        <v>46222</v>
      </c>
      <c r="F531" t="inlineStr">
        <is>
          <t>GÄVLEBORGS LÄN</t>
        </is>
      </c>
      <c r="G531" t="inlineStr">
        <is>
          <t>OVANÅKER</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62126-2025</t>
        </is>
      </c>
      <c r="B532" t="inlineStr">
        <is>
          <t>avverkningsanmälan</t>
        </is>
      </c>
      <c r="C532" t="inlineStr">
        <is>
          <t>Föryngringsavverkning</t>
        </is>
      </c>
      <c r="D532" s="1" t="n">
        <v>46006</v>
      </c>
      <c r="E532" s="1" t="n">
        <v>46222</v>
      </c>
      <c r="F532" t="inlineStr">
        <is>
          <t>GÄVLEBORGS LÄN</t>
        </is>
      </c>
      <c r="G532" t="inlineStr">
        <is>
          <t>OVANÅKER</t>
        </is>
      </c>
      <c r="I532" t="n">
        <v>1.4</v>
      </c>
      <c r="J532" t="n">
        <v>0</v>
      </c>
      <c r="K532" t="n">
        <v>0</v>
      </c>
      <c r="L532" t="n">
        <v>0</v>
      </c>
      <c r="M532" t="n">
        <v>0</v>
      </c>
      <c r="N532" t="n">
        <v>0</v>
      </c>
      <c r="O532" t="n">
        <v>0</v>
      </c>
      <c r="P532" t="n">
        <v>0</v>
      </c>
      <c r="Q532" t="n">
        <v>0</v>
      </c>
      <c r="R532" t="n">
        <v>0</v>
      </c>
      <c r="S532" t="n">
        <v>0</v>
      </c>
      <c r="T532" t="n">
        <v>0</v>
      </c>
      <c r="U532" s="2" t="inlineStr"/>
    </row>
    <row r="533" ht="15" customHeight="1">
      <c r="A533" t="inlineStr">
        <is>
          <t>A 62114-2025</t>
        </is>
      </c>
      <c r="B533" t="inlineStr">
        <is>
          <t>avverkningsanmälan</t>
        </is>
      </c>
      <c r="C533" t="inlineStr">
        <is>
          <t>Föryngringsavverkning</t>
        </is>
      </c>
      <c r="D533" s="1" t="n">
        <v>46006</v>
      </c>
      <c r="E533" s="1" t="n">
        <v>46222</v>
      </c>
      <c r="F533" t="inlineStr">
        <is>
          <t>GÄVLEBORGS LÄN</t>
        </is>
      </c>
      <c r="G533" t="inlineStr">
        <is>
          <t>OVANÅKER</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A 16360-2025</t>
        </is>
      </c>
      <c r="B534" t="inlineStr">
        <is>
          <t>avverkningsanmälan</t>
        </is>
      </c>
      <c r="C534" t="inlineStr">
        <is>
          <t>Föryngringsavverkning</t>
        </is>
      </c>
      <c r="D534" s="1" t="n">
        <v>45751</v>
      </c>
      <c r="E534" s="1" t="n">
        <v>46222</v>
      </c>
      <c r="F534" t="inlineStr">
        <is>
          <t>GÄVLEBORGS LÄN</t>
        </is>
      </c>
      <c r="G534" t="inlineStr">
        <is>
          <t>OVANÅKER</t>
        </is>
      </c>
      <c r="H534" t="inlineStr">
        <is>
          <t>Bergvik skog öst AB</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2478-2023</t>
        </is>
      </c>
      <c r="B535" t="inlineStr">
        <is>
          <t>avverkningsanmälan</t>
        </is>
      </c>
      <c r="C535" t="inlineStr">
        <is>
          <t>Föryngringsavverkning</t>
        </is>
      </c>
      <c r="D535" s="1" t="n">
        <v>44943</v>
      </c>
      <c r="E535" s="1" t="n">
        <v>46222</v>
      </c>
      <c r="F535" t="inlineStr">
        <is>
          <t>GÄVLEBORGS LÄN</t>
        </is>
      </c>
      <c r="G535" t="inlineStr">
        <is>
          <t>OVANÅKER</t>
        </is>
      </c>
      <c r="I535" t="n">
        <v>3.1</v>
      </c>
      <c r="J535" t="n">
        <v>0</v>
      </c>
      <c r="K535" t="n">
        <v>0</v>
      </c>
      <c r="L535" t="n">
        <v>0</v>
      </c>
      <c r="M535" t="n">
        <v>0</v>
      </c>
      <c r="N535" t="n">
        <v>0</v>
      </c>
      <c r="O535" t="n">
        <v>0</v>
      </c>
      <c r="P535" t="n">
        <v>0</v>
      </c>
      <c r="Q535" t="n">
        <v>0</v>
      </c>
      <c r="R535" t="n">
        <v>0</v>
      </c>
      <c r="S535" t="n">
        <v>0</v>
      </c>
      <c r="T535" t="n">
        <v>0</v>
      </c>
      <c r="U535" s="2" t="inlineStr"/>
    </row>
    <row r="536" ht="15" customHeight="1">
      <c r="A536" t="inlineStr">
        <is>
          <t>A 20115-2025</t>
        </is>
      </c>
      <c r="B536" t="inlineStr">
        <is>
          <t>avverkningsanmälan</t>
        </is>
      </c>
      <c r="C536" t="inlineStr">
        <is>
          <t>Föryngringsavverkning</t>
        </is>
      </c>
      <c r="D536" s="1" t="n">
        <v>45772</v>
      </c>
      <c r="E536" s="1" t="n">
        <v>46222</v>
      </c>
      <c r="F536" t="inlineStr">
        <is>
          <t>GÄVLEBORGS LÄN</t>
        </is>
      </c>
      <c r="G536" t="inlineStr">
        <is>
          <t>OVANÅKER</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62289-2025</t>
        </is>
      </c>
      <c r="B537" t="inlineStr">
        <is>
          <t>avverkningsanmälan</t>
        </is>
      </c>
      <c r="C537" t="inlineStr">
        <is>
          <t>Föryngringsavverkning</t>
        </is>
      </c>
      <c r="D537" s="1" t="n">
        <v>46006</v>
      </c>
      <c r="E537" s="1" t="n">
        <v>46222</v>
      </c>
      <c r="F537" t="inlineStr">
        <is>
          <t>GÄVLEBORGS LÄN</t>
        </is>
      </c>
      <c r="G537" t="inlineStr">
        <is>
          <t>OVANÅKER</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51700-2022</t>
        </is>
      </c>
      <c r="B538" t="inlineStr">
        <is>
          <t>avverkningsanmälan</t>
        </is>
      </c>
      <c r="C538" t="inlineStr">
        <is>
          <t>Avverkning för annat ändamål</t>
        </is>
      </c>
      <c r="D538" s="1" t="n">
        <v>44872</v>
      </c>
      <c r="E538" s="1" t="n">
        <v>46222</v>
      </c>
      <c r="F538" t="inlineStr">
        <is>
          <t>GÄVLEBORGS LÄN</t>
        </is>
      </c>
      <c r="G538" t="inlineStr">
        <is>
          <t>OVANÅKER</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14516-2026</t>
        </is>
      </c>
      <c r="B539" t="inlineStr">
        <is>
          <t>avverkningsanmälan</t>
        </is>
      </c>
      <c r="C539" t="inlineStr">
        <is>
          <t>Föryngringsavverkning</t>
        </is>
      </c>
      <c r="D539" s="1" t="n">
        <v>46100</v>
      </c>
      <c r="E539" s="1" t="n">
        <v>46222</v>
      </c>
      <c r="F539" t="inlineStr">
        <is>
          <t>GÄVLEBORGS LÄN</t>
        </is>
      </c>
      <c r="G539" t="inlineStr">
        <is>
          <t>OVANÅKER</t>
        </is>
      </c>
      <c r="I539" t="n">
        <v>7.7</v>
      </c>
      <c r="J539" t="n">
        <v>0</v>
      </c>
      <c r="K539" t="n">
        <v>0</v>
      </c>
      <c r="L539" t="n">
        <v>0</v>
      </c>
      <c r="M539" t="n">
        <v>0</v>
      </c>
      <c r="N539" t="n">
        <v>0</v>
      </c>
      <c r="O539" t="n">
        <v>0</v>
      </c>
      <c r="P539" t="n">
        <v>0</v>
      </c>
      <c r="Q539" t="n">
        <v>0</v>
      </c>
      <c r="R539" t="n">
        <v>0</v>
      </c>
      <c r="S539" t="n">
        <v>0</v>
      </c>
      <c r="T539" t="n">
        <v>0</v>
      </c>
      <c r="U539" s="2" t="inlineStr"/>
    </row>
    <row r="540" ht="15" customHeight="1">
      <c r="A540" t="inlineStr">
        <is>
          <t>A 14747-2026</t>
        </is>
      </c>
      <c r="B540" t="inlineStr">
        <is>
          <t>avverkningsanmälan</t>
        </is>
      </c>
      <c r="C540" t="inlineStr">
        <is>
          <t>Föryngringsavverkning</t>
        </is>
      </c>
      <c r="D540" s="1" t="n">
        <v>46101</v>
      </c>
      <c r="E540" s="1" t="n">
        <v>46222</v>
      </c>
      <c r="F540" t="inlineStr">
        <is>
          <t>GÄVLEBORGS LÄN</t>
        </is>
      </c>
      <c r="G540" t="inlineStr">
        <is>
          <t>OVANÅKER</t>
        </is>
      </c>
      <c r="I540" t="n">
        <v>2.6</v>
      </c>
      <c r="J540" t="n">
        <v>0</v>
      </c>
      <c r="K540" t="n">
        <v>0</v>
      </c>
      <c r="L540" t="n">
        <v>0</v>
      </c>
      <c r="M540" t="n">
        <v>0</v>
      </c>
      <c r="N540" t="n">
        <v>0</v>
      </c>
      <c r="O540" t="n">
        <v>0</v>
      </c>
      <c r="P540" t="n">
        <v>0</v>
      </c>
      <c r="Q540" t="n">
        <v>0</v>
      </c>
      <c r="R540" t="n">
        <v>0</v>
      </c>
      <c r="S540" t="n">
        <v>0</v>
      </c>
      <c r="T540" t="n">
        <v>0</v>
      </c>
      <c r="U540" s="2" t="inlineStr"/>
    </row>
    <row r="541" ht="15" customHeight="1">
      <c r="A541" t="inlineStr">
        <is>
          <t>A 62675-2025</t>
        </is>
      </c>
      <c r="B541" t="inlineStr">
        <is>
          <t>avverkningsanmälan</t>
        </is>
      </c>
      <c r="C541" t="inlineStr">
        <is>
          <t>Avverkning för annat ändamål</t>
        </is>
      </c>
      <c r="D541" s="1" t="n">
        <v>46008</v>
      </c>
      <c r="E541" s="1" t="n">
        <v>46222</v>
      </c>
      <c r="F541" t="inlineStr">
        <is>
          <t>GÄVLEBORGS LÄN</t>
        </is>
      </c>
      <c r="G541" t="inlineStr">
        <is>
          <t>OVANÅKER</t>
        </is>
      </c>
      <c r="H541" t="inlineStr">
        <is>
          <t>Bergvik skog väst AB</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47486-2021</t>
        </is>
      </c>
      <c r="B542" t="inlineStr">
        <is>
          <t>avverkningsanmälan</t>
        </is>
      </c>
      <c r="C542" t="inlineStr">
        <is>
          <t>Föryngringsavverkning</t>
        </is>
      </c>
      <c r="D542" s="1" t="n">
        <v>44447</v>
      </c>
      <c r="E542" s="1" t="n">
        <v>46222</v>
      </c>
      <c r="F542" t="inlineStr">
        <is>
          <t>GÄVLEBORGS LÄN</t>
        </is>
      </c>
      <c r="G542" t="inlineStr">
        <is>
          <t>OVANÅKER</t>
        </is>
      </c>
      <c r="I542" t="n">
        <v>3.2</v>
      </c>
      <c r="J542" t="n">
        <v>0</v>
      </c>
      <c r="K542" t="n">
        <v>0</v>
      </c>
      <c r="L542" t="n">
        <v>0</v>
      </c>
      <c r="M542" t="n">
        <v>0</v>
      </c>
      <c r="N542" t="n">
        <v>0</v>
      </c>
      <c r="O542" t="n">
        <v>0</v>
      </c>
      <c r="P542" t="n">
        <v>0</v>
      </c>
      <c r="Q542" t="n">
        <v>0</v>
      </c>
      <c r="R542" t="n">
        <v>0</v>
      </c>
      <c r="S542" t="n">
        <v>0</v>
      </c>
      <c r="T542" t="n">
        <v>0</v>
      </c>
      <c r="U542" s="2" t="inlineStr"/>
    </row>
    <row r="543" ht="15" customHeight="1">
      <c r="A543" t="inlineStr">
        <is>
          <t>A 62352-2025</t>
        </is>
      </c>
      <c r="B543" t="inlineStr">
        <is>
          <t>avverkningsanmälan</t>
        </is>
      </c>
      <c r="C543" t="inlineStr">
        <is>
          <t>Föryngringsavverkning</t>
        </is>
      </c>
      <c r="D543" s="1" t="n">
        <v>46007</v>
      </c>
      <c r="E543" s="1" t="n">
        <v>46222</v>
      </c>
      <c r="F543" t="inlineStr">
        <is>
          <t>GÄVLEBORGS LÄN</t>
        </is>
      </c>
      <c r="G543" t="inlineStr">
        <is>
          <t>OVANÅKER</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14515-2026</t>
        </is>
      </c>
      <c r="B544" t="inlineStr">
        <is>
          <t>avverkningsanmälan</t>
        </is>
      </c>
      <c r="C544" t="inlineStr">
        <is>
          <t>Föryngringsavverkning</t>
        </is>
      </c>
      <c r="D544" s="1" t="n">
        <v>46100</v>
      </c>
      <c r="E544" s="1" t="n">
        <v>46222</v>
      </c>
      <c r="F544" t="inlineStr">
        <is>
          <t>GÄVLEBORGS LÄN</t>
        </is>
      </c>
      <c r="G544" t="inlineStr">
        <is>
          <t>OVANÅKER</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62394-2025</t>
        </is>
      </c>
      <c r="B545" t="inlineStr">
        <is>
          <t>avverkningsanmälan</t>
        </is>
      </c>
      <c r="C545" t="inlineStr">
        <is>
          <t>Föryngringsavverkning</t>
        </is>
      </c>
      <c r="D545" s="1" t="n">
        <v>46007</v>
      </c>
      <c r="E545" s="1" t="n">
        <v>46222</v>
      </c>
      <c r="F545" t="inlineStr">
        <is>
          <t>GÄVLEBORGS LÄN</t>
        </is>
      </c>
      <c r="G545" t="inlineStr">
        <is>
          <t>OVANÅKER</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14719-2026</t>
        </is>
      </c>
      <c r="B546" t="inlineStr">
        <is>
          <t>avverkningsanmälan</t>
        </is>
      </c>
      <c r="C546" t="inlineStr">
        <is>
          <t>Föryngringsavverkning</t>
        </is>
      </c>
      <c r="D546" s="1" t="n">
        <v>46101</v>
      </c>
      <c r="E546" s="1" t="n">
        <v>46222</v>
      </c>
      <c r="F546" t="inlineStr">
        <is>
          <t>GÄVLEBORGS LÄN</t>
        </is>
      </c>
      <c r="G546" t="inlineStr">
        <is>
          <t>OVANÅKER</t>
        </is>
      </c>
      <c r="I546" t="n">
        <v>2.2</v>
      </c>
      <c r="J546" t="n">
        <v>0</v>
      </c>
      <c r="K546" t="n">
        <v>0</v>
      </c>
      <c r="L546" t="n">
        <v>0</v>
      </c>
      <c r="M546" t="n">
        <v>0</v>
      </c>
      <c r="N546" t="n">
        <v>0</v>
      </c>
      <c r="O546" t="n">
        <v>0</v>
      </c>
      <c r="P546" t="n">
        <v>0</v>
      </c>
      <c r="Q546" t="n">
        <v>0</v>
      </c>
      <c r="R546" t="n">
        <v>0</v>
      </c>
      <c r="S546" t="n">
        <v>0</v>
      </c>
      <c r="T546" t="n">
        <v>0</v>
      </c>
      <c r="U546" s="2" t="inlineStr"/>
    </row>
    <row r="547" ht="15" customHeight="1">
      <c r="A547" t="inlineStr">
        <is>
          <t>A 63094-2025</t>
        </is>
      </c>
      <c r="B547" t="inlineStr">
        <is>
          <t>avverkningsanmälan</t>
        </is>
      </c>
      <c r="C547" t="inlineStr">
        <is>
          <t>Föryngringsavverkning</t>
        </is>
      </c>
      <c r="D547" s="1" t="n">
        <v>46009</v>
      </c>
      <c r="E547" s="1" t="n">
        <v>46222</v>
      </c>
      <c r="F547" t="inlineStr">
        <is>
          <t>GÄVLEBORGS LÄN</t>
        </is>
      </c>
      <c r="G547" t="inlineStr">
        <is>
          <t>OVANÅKER</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26316-2025</t>
        </is>
      </c>
      <c r="B548" t="inlineStr">
        <is>
          <t>avverkningsanmälan</t>
        </is>
      </c>
      <c r="C548" t="inlineStr">
        <is>
          <t>Föryngringsavverkning</t>
        </is>
      </c>
      <c r="D548" s="1" t="n">
        <v>45805</v>
      </c>
      <c r="E548" s="1" t="n">
        <v>46222</v>
      </c>
      <c r="F548" t="inlineStr">
        <is>
          <t>GÄVLEBORGS LÄN</t>
        </is>
      </c>
      <c r="G548" t="inlineStr">
        <is>
          <t>OVANÅKER</t>
        </is>
      </c>
      <c r="I548" t="n">
        <v>4.2</v>
      </c>
      <c r="J548" t="n">
        <v>0</v>
      </c>
      <c r="K548" t="n">
        <v>0</v>
      </c>
      <c r="L548" t="n">
        <v>0</v>
      </c>
      <c r="M548" t="n">
        <v>0</v>
      </c>
      <c r="N548" t="n">
        <v>0</v>
      </c>
      <c r="O548" t="n">
        <v>0</v>
      </c>
      <c r="P548" t="n">
        <v>0</v>
      </c>
      <c r="Q548" t="n">
        <v>0</v>
      </c>
      <c r="R548" t="n">
        <v>0</v>
      </c>
      <c r="S548" t="n">
        <v>0</v>
      </c>
      <c r="T548" t="n">
        <v>0</v>
      </c>
      <c r="U548" s="2" t="inlineStr"/>
    </row>
    <row r="549" ht="15" customHeight="1">
      <c r="A549" t="inlineStr">
        <is>
          <t>A 63310-2025</t>
        </is>
      </c>
      <c r="B549" t="inlineStr">
        <is>
          <t>avverkningsanmälan</t>
        </is>
      </c>
      <c r="C549" t="inlineStr">
        <is>
          <t>Föryngringsavverkning</t>
        </is>
      </c>
      <c r="D549" s="1" t="n">
        <v>46010</v>
      </c>
      <c r="E549" s="1" t="n">
        <v>46222</v>
      </c>
      <c r="F549" t="inlineStr">
        <is>
          <t>GÄVLEBORGS LÄN</t>
        </is>
      </c>
      <c r="G549" t="inlineStr">
        <is>
          <t>OVANÅKER</t>
        </is>
      </c>
      <c r="I549" t="n">
        <v>1.8</v>
      </c>
      <c r="J549" t="n">
        <v>0</v>
      </c>
      <c r="K549" t="n">
        <v>0</v>
      </c>
      <c r="L549" t="n">
        <v>0</v>
      </c>
      <c r="M549" t="n">
        <v>0</v>
      </c>
      <c r="N549" t="n">
        <v>0</v>
      </c>
      <c r="O549" t="n">
        <v>0</v>
      </c>
      <c r="P549" t="n">
        <v>0</v>
      </c>
      <c r="Q549" t="n">
        <v>0</v>
      </c>
      <c r="R549" t="n">
        <v>0</v>
      </c>
      <c r="S549" t="n">
        <v>0</v>
      </c>
      <c r="T549" t="n">
        <v>0</v>
      </c>
      <c r="U549" s="2" t="inlineStr"/>
    </row>
    <row r="550" ht="15" customHeight="1">
      <c r="A550" t="inlineStr">
        <is>
          <t>A 53818-2023</t>
        </is>
      </c>
      <c r="B550" t="inlineStr">
        <is>
          <t>avverkningsanmälan</t>
        </is>
      </c>
      <c r="C550" t="inlineStr">
        <is>
          <t>Föryngringsavverkning</t>
        </is>
      </c>
      <c r="D550" s="1" t="n">
        <v>45231</v>
      </c>
      <c r="E550" s="1" t="n">
        <v>46222</v>
      </c>
      <c r="F550" t="inlineStr">
        <is>
          <t>GÄVLEBORGS LÄN</t>
        </is>
      </c>
      <c r="G550" t="inlineStr">
        <is>
          <t>OVANÅKER</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26324-2025</t>
        </is>
      </c>
      <c r="B551" t="inlineStr">
        <is>
          <t>avverkningsanmälan</t>
        </is>
      </c>
      <c r="C551" t="inlineStr">
        <is>
          <t>Föryngringsavverkning</t>
        </is>
      </c>
      <c r="D551" s="1" t="n">
        <v>45805</v>
      </c>
      <c r="E551" s="1" t="n">
        <v>46222</v>
      </c>
      <c r="F551" t="inlineStr">
        <is>
          <t>GÄVLEBORGS LÄN</t>
        </is>
      </c>
      <c r="G551" t="inlineStr">
        <is>
          <t>OVANÅKER</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17965-2025</t>
        </is>
      </c>
      <c r="B552" t="inlineStr">
        <is>
          <t>avverkningsanmälan</t>
        </is>
      </c>
      <c r="C552" t="inlineStr">
        <is>
          <t>Föryngringsavverkning</t>
        </is>
      </c>
      <c r="D552" s="1" t="n">
        <v>45761</v>
      </c>
      <c r="E552" s="1" t="n">
        <v>46222</v>
      </c>
      <c r="F552" t="inlineStr">
        <is>
          <t>GÄVLEBORGS LÄN</t>
        </is>
      </c>
      <c r="G552" t="inlineStr">
        <is>
          <t>OVANÅKER</t>
        </is>
      </c>
      <c r="H552" t="inlineStr">
        <is>
          <t>Bergvik skog öst AB</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26581-2025</t>
        </is>
      </c>
      <c r="B553" t="inlineStr">
        <is>
          <t>avverkningsanmälan</t>
        </is>
      </c>
      <c r="C553" t="inlineStr">
        <is>
          <t>Föryngringsavverkning</t>
        </is>
      </c>
      <c r="D553" s="1" t="n">
        <v>45807</v>
      </c>
      <c r="E553" s="1" t="n">
        <v>46222</v>
      </c>
      <c r="F553" t="inlineStr">
        <is>
          <t>GÄVLEBORGS LÄN</t>
        </is>
      </c>
      <c r="G553" t="inlineStr">
        <is>
          <t>OVANÅKER</t>
        </is>
      </c>
      <c r="I553" t="n">
        <v>5.2</v>
      </c>
      <c r="J553" t="n">
        <v>0</v>
      </c>
      <c r="K553" t="n">
        <v>0</v>
      </c>
      <c r="L553" t="n">
        <v>0</v>
      </c>
      <c r="M553" t="n">
        <v>0</v>
      </c>
      <c r="N553" t="n">
        <v>0</v>
      </c>
      <c r="O553" t="n">
        <v>0</v>
      </c>
      <c r="P553" t="n">
        <v>0</v>
      </c>
      <c r="Q553" t="n">
        <v>0</v>
      </c>
      <c r="R553" t="n">
        <v>0</v>
      </c>
      <c r="S553" t="n">
        <v>0</v>
      </c>
      <c r="T553" t="n">
        <v>0</v>
      </c>
      <c r="U553" s="2" t="inlineStr"/>
    </row>
    <row r="554" ht="15" customHeight="1">
      <c r="A554" t="inlineStr">
        <is>
          <t>A 16431-2025</t>
        </is>
      </c>
      <c r="B554" t="inlineStr">
        <is>
          <t>avverkningsanmälan</t>
        </is>
      </c>
      <c r="C554" t="inlineStr">
        <is>
          <t>Föryngringsavverkning</t>
        </is>
      </c>
      <c r="D554" s="1" t="n">
        <v>45751</v>
      </c>
      <c r="E554" s="1" t="n">
        <v>46222</v>
      </c>
      <c r="F554" t="inlineStr">
        <is>
          <t>GÄVLEBORGS LÄN</t>
        </is>
      </c>
      <c r="G554" t="inlineStr">
        <is>
          <t>OVANÅKER</t>
        </is>
      </c>
      <c r="H554" t="inlineStr">
        <is>
          <t>Bergvik skog öst AB</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26582-2025</t>
        </is>
      </c>
      <c r="B555" t="inlineStr">
        <is>
          <t>avverkningsanmälan</t>
        </is>
      </c>
      <c r="C555" t="inlineStr">
        <is>
          <t>Föryngringsavverkning</t>
        </is>
      </c>
      <c r="D555" s="1" t="n">
        <v>45807</v>
      </c>
      <c r="E555" s="1" t="n">
        <v>46222</v>
      </c>
      <c r="F555" t="inlineStr">
        <is>
          <t>GÄVLEBORGS LÄN</t>
        </is>
      </c>
      <c r="G555" t="inlineStr">
        <is>
          <t>OVANÅKER</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26304-2025</t>
        </is>
      </c>
      <c r="B556" t="inlineStr">
        <is>
          <t>avverkningsanmälan</t>
        </is>
      </c>
      <c r="C556" t="inlineStr">
        <is>
          <t>Föryngringsavverkning</t>
        </is>
      </c>
      <c r="D556" s="1" t="n">
        <v>45805</v>
      </c>
      <c r="E556" s="1" t="n">
        <v>46222</v>
      </c>
      <c r="F556" t="inlineStr">
        <is>
          <t>GÄVLEBORGS LÄN</t>
        </is>
      </c>
      <c r="G556" t="inlineStr">
        <is>
          <t>OVANÅKER</t>
        </is>
      </c>
      <c r="I556" t="n">
        <v>3.4</v>
      </c>
      <c r="J556" t="n">
        <v>0</v>
      </c>
      <c r="K556" t="n">
        <v>0</v>
      </c>
      <c r="L556" t="n">
        <v>0</v>
      </c>
      <c r="M556" t="n">
        <v>0</v>
      </c>
      <c r="N556" t="n">
        <v>0</v>
      </c>
      <c r="O556" t="n">
        <v>0</v>
      </c>
      <c r="P556" t="n">
        <v>0</v>
      </c>
      <c r="Q556" t="n">
        <v>0</v>
      </c>
      <c r="R556" t="n">
        <v>0</v>
      </c>
      <c r="S556" t="n">
        <v>0</v>
      </c>
      <c r="T556" t="n">
        <v>0</v>
      </c>
      <c r="U556" s="2" t="inlineStr"/>
    </row>
    <row r="557" ht="15" customHeight="1">
      <c r="A557" t="inlineStr">
        <is>
          <t>A 62893-2025</t>
        </is>
      </c>
      <c r="B557" t="inlineStr">
        <is>
          <t>avverkningsanmälan</t>
        </is>
      </c>
      <c r="C557" t="inlineStr">
        <is>
          <t>Föryngringsavverkning</t>
        </is>
      </c>
      <c r="D557" s="1" t="n">
        <v>46009</v>
      </c>
      <c r="E557" s="1" t="n">
        <v>46222</v>
      </c>
      <c r="F557" t="inlineStr">
        <is>
          <t>GÄVLEBORGS LÄN</t>
        </is>
      </c>
      <c r="G557" t="inlineStr">
        <is>
          <t>OVANÅKER</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63690-2025</t>
        </is>
      </c>
      <c r="B558" t="inlineStr">
        <is>
          <t>avverkningsanmälan</t>
        </is>
      </c>
      <c r="C558" t="inlineStr">
        <is>
          <t>Föryngringsavverkning</t>
        </is>
      </c>
      <c r="D558" s="1" t="n">
        <v>46014</v>
      </c>
      <c r="E558" s="1" t="n">
        <v>46222</v>
      </c>
      <c r="F558" t="inlineStr">
        <is>
          <t>GÄVLEBORGS LÄN</t>
        </is>
      </c>
      <c r="G558" t="inlineStr">
        <is>
          <t>OVANÅKER</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62126-2023</t>
        </is>
      </c>
      <c r="B559" t="inlineStr">
        <is>
          <t>avverkningsanmälan</t>
        </is>
      </c>
      <c r="C559" t="inlineStr">
        <is>
          <t>Föryngringsavverkning</t>
        </is>
      </c>
      <c r="D559" s="1" t="n">
        <v>45267</v>
      </c>
      <c r="E559" s="1" t="n">
        <v>46222</v>
      </c>
      <c r="F559" t="inlineStr">
        <is>
          <t>GÄVLEBORGS LÄN</t>
        </is>
      </c>
      <c r="G559" t="inlineStr">
        <is>
          <t>OVANÅKER</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63688-2025</t>
        </is>
      </c>
      <c r="B560" t="inlineStr">
        <is>
          <t>avverkningsanmälan</t>
        </is>
      </c>
      <c r="C560" t="inlineStr">
        <is>
          <t>Föryngringsavverkning</t>
        </is>
      </c>
      <c r="D560" s="1" t="n">
        <v>46014</v>
      </c>
      <c r="E560" s="1" t="n">
        <v>46222</v>
      </c>
      <c r="F560" t="inlineStr">
        <is>
          <t>GÄVLEBORGS LÄN</t>
        </is>
      </c>
      <c r="G560" t="inlineStr">
        <is>
          <t>OVANÅKER</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63691-2025</t>
        </is>
      </c>
      <c r="B561" t="inlineStr">
        <is>
          <t>avverkningsanmälan</t>
        </is>
      </c>
      <c r="C561" t="inlineStr">
        <is>
          <t>Föryngringsavverkning</t>
        </is>
      </c>
      <c r="D561" s="1" t="n">
        <v>46014</v>
      </c>
      <c r="E561" s="1" t="n">
        <v>46222</v>
      </c>
      <c r="F561" t="inlineStr">
        <is>
          <t>GÄVLEBORGS LÄN</t>
        </is>
      </c>
      <c r="G561" t="inlineStr">
        <is>
          <t>OVANÅKER</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14887-2026</t>
        </is>
      </c>
      <c r="B562" t="inlineStr">
        <is>
          <t>avverkningsanmälan</t>
        </is>
      </c>
      <c r="C562" t="inlineStr">
        <is>
          <t>Föryngringsavverkning</t>
        </is>
      </c>
      <c r="D562" s="1" t="n">
        <v>46104</v>
      </c>
      <c r="E562" s="1" t="n">
        <v>46222</v>
      </c>
      <c r="F562" t="inlineStr">
        <is>
          <t>GÄVLEBORGS LÄN</t>
        </is>
      </c>
      <c r="G562" t="inlineStr">
        <is>
          <t>OVANÅKER</t>
        </is>
      </c>
      <c r="I562" t="n">
        <v>1.9</v>
      </c>
      <c r="J562" t="n">
        <v>0</v>
      </c>
      <c r="K562" t="n">
        <v>0</v>
      </c>
      <c r="L562" t="n">
        <v>0</v>
      </c>
      <c r="M562" t="n">
        <v>0</v>
      </c>
      <c r="N562" t="n">
        <v>0</v>
      </c>
      <c r="O562" t="n">
        <v>0</v>
      </c>
      <c r="P562" t="n">
        <v>0</v>
      </c>
      <c r="Q562" t="n">
        <v>0</v>
      </c>
      <c r="R562" t="n">
        <v>0</v>
      </c>
      <c r="S562" t="n">
        <v>0</v>
      </c>
      <c r="T562" t="n">
        <v>0</v>
      </c>
      <c r="U562" s="2" t="inlineStr"/>
    </row>
    <row r="563" ht="15" customHeight="1">
      <c r="A563" t="inlineStr">
        <is>
          <t>A 14939-2026</t>
        </is>
      </c>
      <c r="B563" t="inlineStr">
        <is>
          <t>avverkningsanmälan</t>
        </is>
      </c>
      <c r="C563" t="inlineStr">
        <is>
          <t>Föryngringsavverkning</t>
        </is>
      </c>
      <c r="D563" s="1" t="n">
        <v>46104</v>
      </c>
      <c r="E563" s="1" t="n">
        <v>46222</v>
      </c>
      <c r="F563" t="inlineStr">
        <is>
          <t>GÄVLEBORGS LÄN</t>
        </is>
      </c>
      <c r="G563" t="inlineStr">
        <is>
          <t>OVANÅKER</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15259-2026</t>
        </is>
      </c>
      <c r="B564" t="inlineStr">
        <is>
          <t>avverkningsanmälan</t>
        </is>
      </c>
      <c r="C564" t="inlineStr">
        <is>
          <t>Föryngringsavverkning</t>
        </is>
      </c>
      <c r="D564" s="1" t="n">
        <v>46105</v>
      </c>
      <c r="E564" s="1" t="n">
        <v>46222</v>
      </c>
      <c r="F564" t="inlineStr">
        <is>
          <t>GÄVLEBORGS LÄN</t>
        </is>
      </c>
      <c r="G564" t="inlineStr">
        <is>
          <t>OVANÅKER</t>
        </is>
      </c>
      <c r="H564" t="inlineStr">
        <is>
          <t>Bergvik skog öst AB</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15332-2026</t>
        </is>
      </c>
      <c r="B565" t="inlineStr">
        <is>
          <t>avverkningsanmälan</t>
        </is>
      </c>
      <c r="C565" t="inlineStr">
        <is>
          <t>Föryngringsavverkning</t>
        </is>
      </c>
      <c r="D565" s="1" t="n">
        <v>46105</v>
      </c>
      <c r="E565" s="1" t="n">
        <v>46222</v>
      </c>
      <c r="F565" t="inlineStr">
        <is>
          <t>GÄVLEBORGS LÄN</t>
        </is>
      </c>
      <c r="G565" t="inlineStr">
        <is>
          <t>OVANÅKER</t>
        </is>
      </c>
      <c r="H565" t="inlineStr">
        <is>
          <t>Bergvik skog öst AB</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63923-2025</t>
        </is>
      </c>
      <c r="B566" t="inlineStr">
        <is>
          <t>avverkningsanmälan</t>
        </is>
      </c>
      <c r="C566" t="inlineStr">
        <is>
          <t>Föryngringsavverkning</t>
        </is>
      </c>
      <c r="D566" s="1" t="n">
        <v>46020</v>
      </c>
      <c r="E566" s="1" t="n">
        <v>46222</v>
      </c>
      <c r="F566" t="inlineStr">
        <is>
          <t>GÄVLEBORGS LÄN</t>
        </is>
      </c>
      <c r="G566" t="inlineStr">
        <is>
          <t>OVANÅKER</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13014-2023</t>
        </is>
      </c>
      <c r="B567" t="inlineStr">
        <is>
          <t>avverkningsanmälan</t>
        </is>
      </c>
      <c r="C567" t="inlineStr">
        <is>
          <t>Föryngringsavverkning</t>
        </is>
      </c>
      <c r="D567" s="1" t="n">
        <v>45002</v>
      </c>
      <c r="E567" s="1" t="n">
        <v>46222</v>
      </c>
      <c r="F567" t="inlineStr">
        <is>
          <t>GÄVLEBORGS LÄN</t>
        </is>
      </c>
      <c r="G567" t="inlineStr">
        <is>
          <t>OVANÅKER</t>
        </is>
      </c>
      <c r="I567" t="n">
        <v>2</v>
      </c>
      <c r="J567" t="n">
        <v>0</v>
      </c>
      <c r="K567" t="n">
        <v>0</v>
      </c>
      <c r="L567" t="n">
        <v>0</v>
      </c>
      <c r="M567" t="n">
        <v>0</v>
      </c>
      <c r="N567" t="n">
        <v>0</v>
      </c>
      <c r="O567" t="n">
        <v>0</v>
      </c>
      <c r="P567" t="n">
        <v>0</v>
      </c>
      <c r="Q567" t="n">
        <v>0</v>
      </c>
      <c r="R567" t="n">
        <v>0</v>
      </c>
      <c r="S567" t="n">
        <v>0</v>
      </c>
      <c r="T567" t="n">
        <v>0</v>
      </c>
      <c r="U567" s="2" t="inlineStr"/>
    </row>
    <row r="568" ht="15" customHeight="1">
      <c r="A568" t="inlineStr">
        <is>
          <t>A 15290-2026</t>
        </is>
      </c>
      <c r="B568" t="inlineStr">
        <is>
          <t>avverkningsanmälan</t>
        </is>
      </c>
      <c r="C568" t="inlineStr">
        <is>
          <t>Föryngringsavverkning</t>
        </is>
      </c>
      <c r="D568" s="1" t="n">
        <v>46105</v>
      </c>
      <c r="E568" s="1" t="n">
        <v>46222</v>
      </c>
      <c r="F568" t="inlineStr">
        <is>
          <t>GÄVLEBORGS LÄN</t>
        </is>
      </c>
      <c r="G568" t="inlineStr">
        <is>
          <t>OVANÅKER</t>
        </is>
      </c>
      <c r="H568" t="inlineStr">
        <is>
          <t>Bergvik skog öst AB</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62152-2024</t>
        </is>
      </c>
      <c r="B569" t="inlineStr">
        <is>
          <t>avverkningsanmälan</t>
        </is>
      </c>
      <c r="C569" t="inlineStr">
        <is>
          <t>Föryngringsavverkning</t>
        </is>
      </c>
      <c r="D569" s="1" t="n">
        <v>45656</v>
      </c>
      <c r="E569" s="1" t="n">
        <v>46222</v>
      </c>
      <c r="F569" t="inlineStr">
        <is>
          <t>GÄVLEBORGS LÄN</t>
        </is>
      </c>
      <c r="G569" t="inlineStr">
        <is>
          <t>OVANÅKER</t>
        </is>
      </c>
      <c r="I569" t="n">
        <v>0.5</v>
      </c>
      <c r="J569" t="n">
        <v>0</v>
      </c>
      <c r="K569" t="n">
        <v>0</v>
      </c>
      <c r="L569" t="n">
        <v>0</v>
      </c>
      <c r="M569" t="n">
        <v>0</v>
      </c>
      <c r="N569" t="n">
        <v>0</v>
      </c>
      <c r="O569" t="n">
        <v>0</v>
      </c>
      <c r="P569" t="n">
        <v>0</v>
      </c>
      <c r="Q569" t="n">
        <v>0</v>
      </c>
      <c r="R569" t="n">
        <v>0</v>
      </c>
      <c r="S569" t="n">
        <v>0</v>
      </c>
      <c r="T569" t="n">
        <v>0</v>
      </c>
      <c r="U569" s="2" t="inlineStr"/>
    </row>
    <row r="570" ht="15" customHeight="1">
      <c r="A570" t="inlineStr">
        <is>
          <t>A 44346-2023</t>
        </is>
      </c>
      <c r="B570" t="inlineStr">
        <is>
          <t>avverkningsanmälan</t>
        </is>
      </c>
      <c r="C570" t="inlineStr">
        <is>
          <t>Föryngringsavverkning</t>
        </is>
      </c>
      <c r="D570" s="1" t="n">
        <v>45188</v>
      </c>
      <c r="E570" s="1" t="n">
        <v>46222</v>
      </c>
      <c r="F570" t="inlineStr">
        <is>
          <t>GÄVLEBORGS LÄN</t>
        </is>
      </c>
      <c r="G570" t="inlineStr">
        <is>
          <t>OVANÅKER</t>
        </is>
      </c>
      <c r="I570" t="n">
        <v>1.1</v>
      </c>
      <c r="J570" t="n">
        <v>0</v>
      </c>
      <c r="K570" t="n">
        <v>0</v>
      </c>
      <c r="L570" t="n">
        <v>0</v>
      </c>
      <c r="M570" t="n">
        <v>0</v>
      </c>
      <c r="N570" t="n">
        <v>0</v>
      </c>
      <c r="O570" t="n">
        <v>0</v>
      </c>
      <c r="P570" t="n">
        <v>0</v>
      </c>
      <c r="Q570" t="n">
        <v>0</v>
      </c>
      <c r="R570" t="n">
        <v>0</v>
      </c>
      <c r="S570" t="n">
        <v>0</v>
      </c>
      <c r="T570" t="n">
        <v>0</v>
      </c>
      <c r="U570" s="2" t="inlineStr"/>
    </row>
    <row r="571" ht="15" customHeight="1">
      <c r="A571" t="inlineStr">
        <is>
          <t>A 5059-2023</t>
        </is>
      </c>
      <c r="B571" t="inlineStr">
        <is>
          <t>avverkningsanmälan</t>
        </is>
      </c>
      <c r="C571" t="inlineStr">
        <is>
          <t>Avverkning för annat ändamål</t>
        </is>
      </c>
      <c r="D571" s="1" t="n">
        <v>44958</v>
      </c>
      <c r="E571" s="1" t="n">
        <v>46222</v>
      </c>
      <c r="F571" t="inlineStr">
        <is>
          <t>GÄVLEBORGS LÄN</t>
        </is>
      </c>
      <c r="G571" t="inlineStr">
        <is>
          <t>OVANÅKER</t>
        </is>
      </c>
      <c r="I571" t="n">
        <v>0.2</v>
      </c>
      <c r="J571" t="n">
        <v>0</v>
      </c>
      <c r="K571" t="n">
        <v>0</v>
      </c>
      <c r="L571" t="n">
        <v>0</v>
      </c>
      <c r="M571" t="n">
        <v>0</v>
      </c>
      <c r="N571" t="n">
        <v>0</v>
      </c>
      <c r="O571" t="n">
        <v>0</v>
      </c>
      <c r="P571" t="n">
        <v>0</v>
      </c>
      <c r="Q571" t="n">
        <v>0</v>
      </c>
      <c r="R571" t="n">
        <v>0</v>
      </c>
      <c r="S571" t="n">
        <v>0</v>
      </c>
      <c r="T571" t="n">
        <v>0</v>
      </c>
      <c r="U571" s="2" t="inlineStr"/>
    </row>
    <row r="572" ht="15" customHeight="1">
      <c r="A572" t="inlineStr">
        <is>
          <t>A 63920-2025</t>
        </is>
      </c>
      <c r="B572" t="inlineStr">
        <is>
          <t>avverkningsanmälan</t>
        </is>
      </c>
      <c r="C572" t="inlineStr">
        <is>
          <t>Föryngringsavverkning</t>
        </is>
      </c>
      <c r="D572" s="1" t="n">
        <v>46020</v>
      </c>
      <c r="E572" s="1" t="n">
        <v>46222</v>
      </c>
      <c r="F572" t="inlineStr">
        <is>
          <t>GÄVLEBORGS LÄN</t>
        </is>
      </c>
      <c r="G572" t="inlineStr">
        <is>
          <t>OVANÅKER</t>
        </is>
      </c>
      <c r="I572" t="n">
        <v>4.6</v>
      </c>
      <c r="J572" t="n">
        <v>0</v>
      </c>
      <c r="K572" t="n">
        <v>0</v>
      </c>
      <c r="L572" t="n">
        <v>0</v>
      </c>
      <c r="M572" t="n">
        <v>0</v>
      </c>
      <c r="N572" t="n">
        <v>0</v>
      </c>
      <c r="O572" t="n">
        <v>0</v>
      </c>
      <c r="P572" t="n">
        <v>0</v>
      </c>
      <c r="Q572" t="n">
        <v>0</v>
      </c>
      <c r="R572" t="n">
        <v>0</v>
      </c>
      <c r="S572" t="n">
        <v>0</v>
      </c>
      <c r="T572" t="n">
        <v>0</v>
      </c>
      <c r="U572" s="2" t="inlineStr"/>
    </row>
    <row r="573" ht="15" customHeight="1">
      <c r="A573" t="inlineStr">
        <is>
          <t>A 13486-2024</t>
        </is>
      </c>
      <c r="B573" t="inlineStr">
        <is>
          <t>avverkningsanmälan</t>
        </is>
      </c>
      <c r="C573" t="inlineStr">
        <is>
          <t>Föryngringsavverkning</t>
        </is>
      </c>
      <c r="D573" s="1" t="n">
        <v>45387</v>
      </c>
      <c r="E573" s="1" t="n">
        <v>46222</v>
      </c>
      <c r="F573" t="inlineStr">
        <is>
          <t>GÄVLEBORGS LÄN</t>
        </is>
      </c>
      <c r="G573" t="inlineStr">
        <is>
          <t>OVANÅKER</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63973-2025</t>
        </is>
      </c>
      <c r="B574" t="inlineStr">
        <is>
          <t>avverkningsanmälan</t>
        </is>
      </c>
      <c r="C574" t="inlineStr">
        <is>
          <t>Föryngringsavverkning</t>
        </is>
      </c>
      <c r="D574" s="1" t="n">
        <v>46021</v>
      </c>
      <c r="E574" s="1" t="n">
        <v>46222</v>
      </c>
      <c r="F574" t="inlineStr">
        <is>
          <t>GÄVLEBORGS LÄN</t>
        </is>
      </c>
      <c r="G574" t="inlineStr">
        <is>
          <t>OVANÅKER</t>
        </is>
      </c>
      <c r="I574" t="n">
        <v>2</v>
      </c>
      <c r="J574" t="n">
        <v>0</v>
      </c>
      <c r="K574" t="n">
        <v>0</v>
      </c>
      <c r="L574" t="n">
        <v>0</v>
      </c>
      <c r="M574" t="n">
        <v>0</v>
      </c>
      <c r="N574" t="n">
        <v>0</v>
      </c>
      <c r="O574" t="n">
        <v>0</v>
      </c>
      <c r="P574" t="n">
        <v>0</v>
      </c>
      <c r="Q574" t="n">
        <v>0</v>
      </c>
      <c r="R574" t="n">
        <v>0</v>
      </c>
      <c r="S574" t="n">
        <v>0</v>
      </c>
      <c r="T574" t="n">
        <v>0</v>
      </c>
      <c r="U574" s="2" t="inlineStr"/>
    </row>
    <row r="575" ht="15" customHeight="1">
      <c r="A575" t="inlineStr">
        <is>
          <t>A 57798-2021</t>
        </is>
      </c>
      <c r="B575" t="inlineStr">
        <is>
          <t>avverkningsanmälan</t>
        </is>
      </c>
      <c r="C575" t="inlineStr">
        <is>
          <t>Föryngringsavverkning</t>
        </is>
      </c>
      <c r="D575" s="1" t="n">
        <v>44484</v>
      </c>
      <c r="E575" s="1" t="n">
        <v>46222</v>
      </c>
      <c r="F575" t="inlineStr">
        <is>
          <t>GÄVLEBORGS LÄN</t>
        </is>
      </c>
      <c r="G575" t="inlineStr">
        <is>
          <t>OVANÅKER</t>
        </is>
      </c>
      <c r="I575" t="n">
        <v>13.4</v>
      </c>
      <c r="J575" t="n">
        <v>0</v>
      </c>
      <c r="K575" t="n">
        <v>0</v>
      </c>
      <c r="L575" t="n">
        <v>0</v>
      </c>
      <c r="M575" t="n">
        <v>0</v>
      </c>
      <c r="N575" t="n">
        <v>0</v>
      </c>
      <c r="O575" t="n">
        <v>0</v>
      </c>
      <c r="P575" t="n">
        <v>0</v>
      </c>
      <c r="Q575" t="n">
        <v>0</v>
      </c>
      <c r="R575" t="n">
        <v>0</v>
      </c>
      <c r="S575" t="n">
        <v>0</v>
      </c>
      <c r="T575" t="n">
        <v>0</v>
      </c>
      <c r="U575" s="2" t="inlineStr"/>
    </row>
    <row r="576" ht="15" customHeight="1">
      <c r="A576" t="inlineStr">
        <is>
          <t>A 6761-2024</t>
        </is>
      </c>
      <c r="B576" t="inlineStr">
        <is>
          <t>avverkningsanmälan</t>
        </is>
      </c>
      <c r="C576" t="inlineStr">
        <is>
          <t>Föryngringsavverkning</t>
        </is>
      </c>
      <c r="D576" s="1" t="n">
        <v>45342</v>
      </c>
      <c r="E576" s="1" t="n">
        <v>46222</v>
      </c>
      <c r="F576" t="inlineStr">
        <is>
          <t>GÄVLEBORGS LÄN</t>
        </is>
      </c>
      <c r="G576" t="inlineStr">
        <is>
          <t>OVANÅKER</t>
        </is>
      </c>
      <c r="I576" t="n">
        <v>1.4</v>
      </c>
      <c r="J576" t="n">
        <v>0</v>
      </c>
      <c r="K576" t="n">
        <v>0</v>
      </c>
      <c r="L576" t="n">
        <v>0</v>
      </c>
      <c r="M576" t="n">
        <v>0</v>
      </c>
      <c r="N576" t="n">
        <v>0</v>
      </c>
      <c r="O576" t="n">
        <v>0</v>
      </c>
      <c r="P576" t="n">
        <v>0</v>
      </c>
      <c r="Q576" t="n">
        <v>0</v>
      </c>
      <c r="R576" t="n">
        <v>0</v>
      </c>
      <c r="S576" t="n">
        <v>0</v>
      </c>
      <c r="T576" t="n">
        <v>0</v>
      </c>
      <c r="U576" s="2" t="inlineStr"/>
    </row>
    <row r="577" ht="15" customHeight="1">
      <c r="A577" t="inlineStr">
        <is>
          <t>A 63975-2025</t>
        </is>
      </c>
      <c r="B577" t="inlineStr">
        <is>
          <t>avverkningsanmälan</t>
        </is>
      </c>
      <c r="C577" t="inlineStr">
        <is>
          <t>Föryngringsavverkning</t>
        </is>
      </c>
      <c r="D577" s="1" t="n">
        <v>46021</v>
      </c>
      <c r="E577" s="1" t="n">
        <v>46222</v>
      </c>
      <c r="F577" t="inlineStr">
        <is>
          <t>GÄVLEBORGS LÄN</t>
        </is>
      </c>
      <c r="G577" t="inlineStr">
        <is>
          <t>OVANÅKER</t>
        </is>
      </c>
      <c r="I577" t="n">
        <v>7.1</v>
      </c>
      <c r="J577" t="n">
        <v>0</v>
      </c>
      <c r="K577" t="n">
        <v>0</v>
      </c>
      <c r="L577" t="n">
        <v>0</v>
      </c>
      <c r="M577" t="n">
        <v>0</v>
      </c>
      <c r="N577" t="n">
        <v>0</v>
      </c>
      <c r="O577" t="n">
        <v>0</v>
      </c>
      <c r="P577" t="n">
        <v>0</v>
      </c>
      <c r="Q577" t="n">
        <v>0</v>
      </c>
      <c r="R577" t="n">
        <v>0</v>
      </c>
      <c r="S577" t="n">
        <v>0</v>
      </c>
      <c r="T577" t="n">
        <v>0</v>
      </c>
      <c r="U577" s="2" t="inlineStr"/>
    </row>
    <row r="578" ht="15" customHeight="1">
      <c r="A578" t="inlineStr">
        <is>
          <t>A 6184-2026</t>
        </is>
      </c>
      <c r="B578" t="inlineStr">
        <is>
          <t>avverkningsanmälan</t>
        </is>
      </c>
      <c r="C578" t="inlineStr">
        <is>
          <t>Föryngringsavverkning</t>
        </is>
      </c>
      <c r="D578" s="1" t="n">
        <v>46055</v>
      </c>
      <c r="E578" s="1" t="n">
        <v>46222</v>
      </c>
      <c r="F578" t="inlineStr">
        <is>
          <t>GÄVLEBORGS LÄN</t>
        </is>
      </c>
      <c r="G578" t="inlineStr">
        <is>
          <t>OVANÅKER</t>
        </is>
      </c>
      <c r="I578" t="n">
        <v>0.9</v>
      </c>
      <c r="J578" t="n">
        <v>0</v>
      </c>
      <c r="K578" t="n">
        <v>0</v>
      </c>
      <c r="L578" t="n">
        <v>0</v>
      </c>
      <c r="M578" t="n">
        <v>0</v>
      </c>
      <c r="N578" t="n">
        <v>0</v>
      </c>
      <c r="O578" t="n">
        <v>0</v>
      </c>
      <c r="P578" t="n">
        <v>0</v>
      </c>
      <c r="Q578" t="n">
        <v>0</v>
      </c>
      <c r="R578" t="n">
        <v>0</v>
      </c>
      <c r="S578" t="n">
        <v>0</v>
      </c>
      <c r="T578" t="n">
        <v>0</v>
      </c>
      <c r="U578" s="2" t="inlineStr"/>
    </row>
    <row r="579" ht="15" customHeight="1">
      <c r="A579" t="inlineStr">
        <is>
          <t>A 14836-2026</t>
        </is>
      </c>
      <c r="B579" t="inlineStr">
        <is>
          <t>avverkningsanmälan</t>
        </is>
      </c>
      <c r="C579" t="inlineStr">
        <is>
          <t>Föryngringsavverkning</t>
        </is>
      </c>
      <c r="D579" s="1" t="n">
        <v>46104</v>
      </c>
      <c r="E579" s="1" t="n">
        <v>46222</v>
      </c>
      <c r="F579" t="inlineStr">
        <is>
          <t>GÄVLEBORGS LÄN</t>
        </is>
      </c>
      <c r="G579" t="inlineStr">
        <is>
          <t>OVANÅKER</t>
        </is>
      </c>
      <c r="I579" t="n">
        <v>1.6</v>
      </c>
      <c r="J579" t="n">
        <v>0</v>
      </c>
      <c r="K579" t="n">
        <v>0</v>
      </c>
      <c r="L579" t="n">
        <v>0</v>
      </c>
      <c r="M579" t="n">
        <v>0</v>
      </c>
      <c r="N579" t="n">
        <v>0</v>
      </c>
      <c r="O579" t="n">
        <v>0</v>
      </c>
      <c r="P579" t="n">
        <v>0</v>
      </c>
      <c r="Q579" t="n">
        <v>0</v>
      </c>
      <c r="R579" t="n">
        <v>0</v>
      </c>
      <c r="S579" t="n">
        <v>0</v>
      </c>
      <c r="T579" t="n">
        <v>0</v>
      </c>
      <c r="U579" s="2" t="inlineStr"/>
    </row>
    <row r="580" ht="15" customHeight="1">
      <c r="A580" t="inlineStr">
        <is>
          <t>A 103-2026</t>
        </is>
      </c>
      <c r="B580" t="inlineStr">
        <is>
          <t>avverkningsanmälan</t>
        </is>
      </c>
      <c r="C580" t="inlineStr">
        <is>
          <t>Föryngringsavverkning</t>
        </is>
      </c>
      <c r="D580" s="1" t="n">
        <v>46024</v>
      </c>
      <c r="E580" s="1" t="n">
        <v>46222</v>
      </c>
      <c r="F580" t="inlineStr">
        <is>
          <t>GÄVLEBORGS LÄN</t>
        </is>
      </c>
      <c r="G580" t="inlineStr">
        <is>
          <t>OVANÅKER</t>
        </is>
      </c>
      <c r="I580" t="n">
        <v>6.5</v>
      </c>
      <c r="J580" t="n">
        <v>0</v>
      </c>
      <c r="K580" t="n">
        <v>0</v>
      </c>
      <c r="L580" t="n">
        <v>0</v>
      </c>
      <c r="M580" t="n">
        <v>0</v>
      </c>
      <c r="N580" t="n">
        <v>0</v>
      </c>
      <c r="O580" t="n">
        <v>0</v>
      </c>
      <c r="P580" t="n">
        <v>0</v>
      </c>
      <c r="Q580" t="n">
        <v>0</v>
      </c>
      <c r="R580" t="n">
        <v>0</v>
      </c>
      <c r="S580" t="n">
        <v>0</v>
      </c>
      <c r="T580" t="n">
        <v>0</v>
      </c>
      <c r="U580" s="2" t="inlineStr"/>
    </row>
    <row r="581" ht="15" customHeight="1">
      <c r="A581" t="inlineStr">
        <is>
          <t>A 106-2026</t>
        </is>
      </c>
      <c r="B581" t="inlineStr">
        <is>
          <t>avverkningsanmälan</t>
        </is>
      </c>
      <c r="C581" t="inlineStr">
        <is>
          <t>Föryngringsavverkning</t>
        </is>
      </c>
      <c r="D581" s="1" t="n">
        <v>46024</v>
      </c>
      <c r="E581" s="1" t="n">
        <v>46222</v>
      </c>
      <c r="F581" t="inlineStr">
        <is>
          <t>GÄVLEBORGS LÄN</t>
        </is>
      </c>
      <c r="G581" t="inlineStr">
        <is>
          <t>OVANÅKER</t>
        </is>
      </c>
      <c r="I581" t="n">
        <v>2</v>
      </c>
      <c r="J581" t="n">
        <v>0</v>
      </c>
      <c r="K581" t="n">
        <v>0</v>
      </c>
      <c r="L581" t="n">
        <v>0</v>
      </c>
      <c r="M581" t="n">
        <v>0</v>
      </c>
      <c r="N581" t="n">
        <v>0</v>
      </c>
      <c r="O581" t="n">
        <v>0</v>
      </c>
      <c r="P581" t="n">
        <v>0</v>
      </c>
      <c r="Q581" t="n">
        <v>0</v>
      </c>
      <c r="R581" t="n">
        <v>0</v>
      </c>
      <c r="S581" t="n">
        <v>0</v>
      </c>
      <c r="T581" t="n">
        <v>0</v>
      </c>
      <c r="U581" s="2" t="inlineStr"/>
    </row>
    <row r="582" ht="15" customHeight="1">
      <c r="A582" t="inlineStr">
        <is>
          <t>A 221-2026</t>
        </is>
      </c>
      <c r="B582" t="inlineStr">
        <is>
          <t>avverkningsanmälan</t>
        </is>
      </c>
      <c r="C582" t="inlineStr">
        <is>
          <t>Föryngringsavverkning</t>
        </is>
      </c>
      <c r="D582" s="1" t="n">
        <v>46026</v>
      </c>
      <c r="E582" s="1" t="n">
        <v>46222</v>
      </c>
      <c r="F582" t="inlineStr">
        <is>
          <t>GÄVLEBORGS LÄN</t>
        </is>
      </c>
      <c r="G582" t="inlineStr">
        <is>
          <t>OVANÅKER</t>
        </is>
      </c>
      <c r="I582" t="n">
        <v>1.3</v>
      </c>
      <c r="J582" t="n">
        <v>0</v>
      </c>
      <c r="K582" t="n">
        <v>0</v>
      </c>
      <c r="L582" t="n">
        <v>0</v>
      </c>
      <c r="M582" t="n">
        <v>0</v>
      </c>
      <c r="N582" t="n">
        <v>0</v>
      </c>
      <c r="O582" t="n">
        <v>0</v>
      </c>
      <c r="P582" t="n">
        <v>0</v>
      </c>
      <c r="Q582" t="n">
        <v>0</v>
      </c>
      <c r="R582" t="n">
        <v>0</v>
      </c>
      <c r="S582" t="n">
        <v>0</v>
      </c>
      <c r="T582" t="n">
        <v>0</v>
      </c>
      <c r="U582" s="2" t="inlineStr"/>
    </row>
    <row r="583" ht="15" customHeight="1">
      <c r="A583" t="inlineStr">
        <is>
          <t>A 361-2026</t>
        </is>
      </c>
      <c r="B583" t="inlineStr">
        <is>
          <t>avverkningsanmälan</t>
        </is>
      </c>
      <c r="C583" t="inlineStr">
        <is>
          <t>Föryngringsavverkning</t>
        </is>
      </c>
      <c r="D583" s="1" t="n">
        <v>46027</v>
      </c>
      <c r="E583" s="1" t="n">
        <v>46222</v>
      </c>
      <c r="F583" t="inlineStr">
        <is>
          <t>GÄVLEBORGS LÄN</t>
        </is>
      </c>
      <c r="G583" t="inlineStr">
        <is>
          <t>OVANÅKER</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42331-2024</t>
        </is>
      </c>
      <c r="B584" t="inlineStr">
        <is>
          <t>avverkningsanmälan</t>
        </is>
      </c>
      <c r="C584" t="inlineStr">
        <is>
          <t>Föryngringsavverkning</t>
        </is>
      </c>
      <c r="D584" s="1" t="n">
        <v>45562</v>
      </c>
      <c r="E584" s="1" t="n">
        <v>46222</v>
      </c>
      <c r="F584" t="inlineStr">
        <is>
          <t>GÄVLEBORGS LÄN</t>
        </is>
      </c>
      <c r="G584" t="inlineStr">
        <is>
          <t>OVANÅKER</t>
        </is>
      </c>
      <c r="I584" t="n">
        <v>0.1</v>
      </c>
      <c r="J584" t="n">
        <v>0</v>
      </c>
      <c r="K584" t="n">
        <v>0</v>
      </c>
      <c r="L584" t="n">
        <v>0</v>
      </c>
      <c r="M584" t="n">
        <v>0</v>
      </c>
      <c r="N584" t="n">
        <v>0</v>
      </c>
      <c r="O584" t="n">
        <v>0</v>
      </c>
      <c r="P584" t="n">
        <v>0</v>
      </c>
      <c r="Q584" t="n">
        <v>0</v>
      </c>
      <c r="R584" t="n">
        <v>0</v>
      </c>
      <c r="S584" t="n">
        <v>0</v>
      </c>
      <c r="T584" t="n">
        <v>0</v>
      </c>
      <c r="U584" s="2" t="inlineStr"/>
    </row>
    <row r="585" ht="15" customHeight="1">
      <c r="A585" t="inlineStr">
        <is>
          <t>A 1040-2026</t>
        </is>
      </c>
      <c r="B585" t="inlineStr">
        <is>
          <t>avverkningsanmälan</t>
        </is>
      </c>
      <c r="C585" t="inlineStr">
        <is>
          <t>Föryngringsavverkning</t>
        </is>
      </c>
      <c r="D585" s="1" t="n">
        <v>46030</v>
      </c>
      <c r="E585" s="1" t="n">
        <v>46222</v>
      </c>
      <c r="F585" t="inlineStr">
        <is>
          <t>GÄVLEBORGS LÄN</t>
        </is>
      </c>
      <c r="G585" t="inlineStr">
        <is>
          <t>OVANÅKER</t>
        </is>
      </c>
      <c r="I585" t="n">
        <v>4.3</v>
      </c>
      <c r="J585" t="n">
        <v>0</v>
      </c>
      <c r="K585" t="n">
        <v>0</v>
      </c>
      <c r="L585" t="n">
        <v>0</v>
      </c>
      <c r="M585" t="n">
        <v>0</v>
      </c>
      <c r="N585" t="n">
        <v>0</v>
      </c>
      <c r="O585" t="n">
        <v>0</v>
      </c>
      <c r="P585" t="n">
        <v>0</v>
      </c>
      <c r="Q585" t="n">
        <v>0</v>
      </c>
      <c r="R585" t="n">
        <v>0</v>
      </c>
      <c r="S585" t="n">
        <v>0</v>
      </c>
      <c r="T585" t="n">
        <v>0</v>
      </c>
      <c r="U585" s="2" t="inlineStr"/>
    </row>
    <row r="586" ht="15" customHeight="1">
      <c r="A586" t="inlineStr">
        <is>
          <t>A 912-2026</t>
        </is>
      </c>
      <c r="B586" t="inlineStr">
        <is>
          <t>avverkningsanmälan</t>
        </is>
      </c>
      <c r="C586" t="inlineStr">
        <is>
          <t>Föryngringsavverkning</t>
        </is>
      </c>
      <c r="D586" s="1" t="n">
        <v>46030</v>
      </c>
      <c r="E586" s="1" t="n">
        <v>46222</v>
      </c>
      <c r="F586" t="inlineStr">
        <is>
          <t>GÄVLEBORGS LÄN</t>
        </is>
      </c>
      <c r="G586" t="inlineStr">
        <is>
          <t>OVANÅKER</t>
        </is>
      </c>
      <c r="I586" t="n">
        <v>2.7</v>
      </c>
      <c r="J586" t="n">
        <v>0</v>
      </c>
      <c r="K586" t="n">
        <v>0</v>
      </c>
      <c r="L586" t="n">
        <v>0</v>
      </c>
      <c r="M586" t="n">
        <v>0</v>
      </c>
      <c r="N586" t="n">
        <v>0</v>
      </c>
      <c r="O586" t="n">
        <v>0</v>
      </c>
      <c r="P586" t="n">
        <v>0</v>
      </c>
      <c r="Q586" t="n">
        <v>0</v>
      </c>
      <c r="R586" t="n">
        <v>0</v>
      </c>
      <c r="S586" t="n">
        <v>0</v>
      </c>
      <c r="T586" t="n">
        <v>0</v>
      </c>
      <c r="U586" s="2" t="inlineStr"/>
    </row>
    <row r="587" ht="15" customHeight="1">
      <c r="A587" t="inlineStr">
        <is>
          <t>A 961-2026</t>
        </is>
      </c>
      <c r="B587" t="inlineStr">
        <is>
          <t>avverkningsanmälan</t>
        </is>
      </c>
      <c r="C587" t="inlineStr">
        <is>
          <t>Föryngringsavverkning</t>
        </is>
      </c>
      <c r="D587" s="1" t="n">
        <v>46030</v>
      </c>
      <c r="E587" s="1" t="n">
        <v>46222</v>
      </c>
      <c r="F587" t="inlineStr">
        <is>
          <t>GÄVLEBORGS LÄN</t>
        </is>
      </c>
      <c r="G587" t="inlineStr">
        <is>
          <t>OVANÅKER</t>
        </is>
      </c>
      <c r="I587" t="n">
        <v>12.2</v>
      </c>
      <c r="J587" t="n">
        <v>0</v>
      </c>
      <c r="K587" t="n">
        <v>0</v>
      </c>
      <c r="L587" t="n">
        <v>0</v>
      </c>
      <c r="M587" t="n">
        <v>0</v>
      </c>
      <c r="N587" t="n">
        <v>0</v>
      </c>
      <c r="O587" t="n">
        <v>0</v>
      </c>
      <c r="P587" t="n">
        <v>0</v>
      </c>
      <c r="Q587" t="n">
        <v>0</v>
      </c>
      <c r="R587" t="n">
        <v>0</v>
      </c>
      <c r="S587" t="n">
        <v>0</v>
      </c>
      <c r="T587" t="n">
        <v>0</v>
      </c>
      <c r="U587" s="2" t="inlineStr"/>
    </row>
    <row r="588" ht="15" customHeight="1">
      <c r="A588" t="inlineStr">
        <is>
          <t>A 969-2026</t>
        </is>
      </c>
      <c r="B588" t="inlineStr">
        <is>
          <t>avverkningsanmälan</t>
        </is>
      </c>
      <c r="C588" t="inlineStr">
        <is>
          <t>Föryngringsavverkning</t>
        </is>
      </c>
      <c r="D588" s="1" t="n">
        <v>46030</v>
      </c>
      <c r="E588" s="1" t="n">
        <v>46222</v>
      </c>
      <c r="F588" t="inlineStr">
        <is>
          <t>GÄVLEBORGS LÄN</t>
        </is>
      </c>
      <c r="G588" t="inlineStr">
        <is>
          <t>OVANÅKER</t>
        </is>
      </c>
      <c r="I588" t="n">
        <v>2.9</v>
      </c>
      <c r="J588" t="n">
        <v>0</v>
      </c>
      <c r="K588" t="n">
        <v>0</v>
      </c>
      <c r="L588" t="n">
        <v>0</v>
      </c>
      <c r="M588" t="n">
        <v>0</v>
      </c>
      <c r="N588" t="n">
        <v>0</v>
      </c>
      <c r="O588" t="n">
        <v>0</v>
      </c>
      <c r="P588" t="n">
        <v>0</v>
      </c>
      <c r="Q588" t="n">
        <v>0</v>
      </c>
      <c r="R588" t="n">
        <v>0</v>
      </c>
      <c r="S588" t="n">
        <v>0</v>
      </c>
      <c r="T588" t="n">
        <v>0</v>
      </c>
      <c r="U588" s="2" t="inlineStr"/>
    </row>
    <row r="589" ht="15" customHeight="1">
      <c r="A589" t="inlineStr">
        <is>
          <t>A 735-2026</t>
        </is>
      </c>
      <c r="B589" t="inlineStr">
        <is>
          <t>avverkningsanmälan</t>
        </is>
      </c>
      <c r="C589" t="inlineStr">
        <is>
          <t>Föryngringsavverkning</t>
        </is>
      </c>
      <c r="D589" s="1" t="n">
        <v>46029</v>
      </c>
      <c r="E589" s="1" t="n">
        <v>46222</v>
      </c>
      <c r="F589" t="inlineStr">
        <is>
          <t>GÄVLEBORGS LÄN</t>
        </is>
      </c>
      <c r="G589" t="inlineStr">
        <is>
          <t>OVANÅKER</t>
        </is>
      </c>
      <c r="I589" t="n">
        <v>6.2</v>
      </c>
      <c r="J589" t="n">
        <v>0</v>
      </c>
      <c r="K589" t="n">
        <v>0</v>
      </c>
      <c r="L589" t="n">
        <v>0</v>
      </c>
      <c r="M589" t="n">
        <v>0</v>
      </c>
      <c r="N589" t="n">
        <v>0</v>
      </c>
      <c r="O589" t="n">
        <v>0</v>
      </c>
      <c r="P589" t="n">
        <v>0</v>
      </c>
      <c r="Q589" t="n">
        <v>0</v>
      </c>
      <c r="R589" t="n">
        <v>0</v>
      </c>
      <c r="S589" t="n">
        <v>0</v>
      </c>
      <c r="T589" t="n">
        <v>0</v>
      </c>
      <c r="U589" s="2" t="inlineStr"/>
    </row>
    <row r="590" ht="15" customHeight="1">
      <c r="A590" t="inlineStr">
        <is>
          <t>A 908-2026</t>
        </is>
      </c>
      <c r="B590" t="inlineStr">
        <is>
          <t>avverkningsanmälan</t>
        </is>
      </c>
      <c r="C590" t="inlineStr">
        <is>
          <t>Föryngringsavverkning</t>
        </is>
      </c>
      <c r="D590" s="1" t="n">
        <v>46030</v>
      </c>
      <c r="E590" s="1" t="n">
        <v>46222</v>
      </c>
      <c r="F590" t="inlineStr">
        <is>
          <t>GÄVLEBORGS LÄN</t>
        </is>
      </c>
      <c r="G590" t="inlineStr">
        <is>
          <t>OVANÅKER</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15824-2026</t>
        </is>
      </c>
      <c r="B591" t="inlineStr">
        <is>
          <t>avverkningsanmälan</t>
        </is>
      </c>
      <c r="C591" t="inlineStr">
        <is>
          <t>Föryngringsavverkning</t>
        </is>
      </c>
      <c r="D591" s="1" t="n">
        <v>46107</v>
      </c>
      <c r="E591" s="1" t="n">
        <v>46222</v>
      </c>
      <c r="F591" t="inlineStr">
        <is>
          <t>GÄVLEBORGS LÄN</t>
        </is>
      </c>
      <c r="G591" t="inlineStr">
        <is>
          <t>OVANÅKER</t>
        </is>
      </c>
      <c r="H591" t="inlineStr">
        <is>
          <t>Bergvik skog öst AB</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690-2026</t>
        </is>
      </c>
      <c r="B592" t="inlineStr">
        <is>
          <t>avverkningsanmälan</t>
        </is>
      </c>
      <c r="C592" t="inlineStr">
        <is>
          <t>Föryngringsavverkning</t>
        </is>
      </c>
      <c r="D592" s="1" t="n">
        <v>46029</v>
      </c>
      <c r="E592" s="1" t="n">
        <v>46222</v>
      </c>
      <c r="F592" t="inlineStr">
        <is>
          <t>GÄVLEBORGS LÄN</t>
        </is>
      </c>
      <c r="G592" t="inlineStr">
        <is>
          <t>OVANÅKER</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707-2026</t>
        </is>
      </c>
      <c r="B593" t="inlineStr">
        <is>
          <t>avverkningsanmälan</t>
        </is>
      </c>
      <c r="C593" t="inlineStr">
        <is>
          <t>Föryngringsavverkning</t>
        </is>
      </c>
      <c r="D593" s="1" t="n">
        <v>46029</v>
      </c>
      <c r="E593" s="1" t="n">
        <v>46222</v>
      </c>
      <c r="F593" t="inlineStr">
        <is>
          <t>GÄVLEBORGS LÄN</t>
        </is>
      </c>
      <c r="G593" t="inlineStr">
        <is>
          <t>OVANÅKER</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874-2026</t>
        </is>
      </c>
      <c r="B594" t="inlineStr">
        <is>
          <t>avverkningsanmälan</t>
        </is>
      </c>
      <c r="C594" t="inlineStr">
        <is>
          <t>Föryngringsavverkning</t>
        </is>
      </c>
      <c r="D594" s="1" t="n">
        <v>46030</v>
      </c>
      <c r="E594" s="1" t="n">
        <v>46222</v>
      </c>
      <c r="F594" t="inlineStr">
        <is>
          <t>GÄVLEBORGS LÄN</t>
        </is>
      </c>
      <c r="G594" t="inlineStr">
        <is>
          <t>OVANÅKER</t>
        </is>
      </c>
      <c r="I594" t="n">
        <v>5.3</v>
      </c>
      <c r="J594" t="n">
        <v>0</v>
      </c>
      <c r="K594" t="n">
        <v>0</v>
      </c>
      <c r="L594" t="n">
        <v>0</v>
      </c>
      <c r="M594" t="n">
        <v>0</v>
      </c>
      <c r="N594" t="n">
        <v>0</v>
      </c>
      <c r="O594" t="n">
        <v>0</v>
      </c>
      <c r="P594" t="n">
        <v>0</v>
      </c>
      <c r="Q594" t="n">
        <v>0</v>
      </c>
      <c r="R594" t="n">
        <v>0</v>
      </c>
      <c r="S594" t="n">
        <v>0</v>
      </c>
      <c r="T594" t="n">
        <v>0</v>
      </c>
      <c r="U594" s="2" t="inlineStr"/>
    </row>
    <row r="595" ht="15" customHeight="1">
      <c r="A595" t="inlineStr">
        <is>
          <t>A 15916-2026</t>
        </is>
      </c>
      <c r="B595" t="inlineStr">
        <is>
          <t>avverkningsanmälan</t>
        </is>
      </c>
      <c r="C595" t="inlineStr">
        <is>
          <t>Föryngringsavverkning</t>
        </is>
      </c>
      <c r="D595" s="1" t="n">
        <v>46107</v>
      </c>
      <c r="E595" s="1" t="n">
        <v>46222</v>
      </c>
      <c r="F595" t="inlineStr">
        <is>
          <t>GÄVLEBORGS LÄN</t>
        </is>
      </c>
      <c r="G595" t="inlineStr">
        <is>
          <t>OVANÅKER</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15926-2026</t>
        </is>
      </c>
      <c r="B596" t="inlineStr">
        <is>
          <t>avverkningsanmälan</t>
        </is>
      </c>
      <c r="C596" t="inlineStr">
        <is>
          <t>Föryngringsavverkning</t>
        </is>
      </c>
      <c r="D596" s="1" t="n">
        <v>46107</v>
      </c>
      <c r="E596" s="1" t="n">
        <v>46222</v>
      </c>
      <c r="F596" t="inlineStr">
        <is>
          <t>GÄVLEBORGS LÄN</t>
        </is>
      </c>
      <c r="G596" t="inlineStr">
        <is>
          <t>OVANÅKER</t>
        </is>
      </c>
      <c r="H596" t="inlineStr">
        <is>
          <t>Bergvik skog öst AB</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743-2026</t>
        </is>
      </c>
      <c r="B597" t="inlineStr">
        <is>
          <t>avverkningsanmälan</t>
        </is>
      </c>
      <c r="C597" t="inlineStr">
        <is>
          <t>Föryngringsavverkning</t>
        </is>
      </c>
      <c r="D597" s="1" t="n">
        <v>46029</v>
      </c>
      <c r="E597" s="1" t="n">
        <v>46222</v>
      </c>
      <c r="F597" t="inlineStr">
        <is>
          <t>GÄVLEBORGS LÄN</t>
        </is>
      </c>
      <c r="G597" t="inlineStr">
        <is>
          <t>OVANÅKER</t>
        </is>
      </c>
      <c r="I597" t="n">
        <v>1.9</v>
      </c>
      <c r="J597" t="n">
        <v>0</v>
      </c>
      <c r="K597" t="n">
        <v>0</v>
      </c>
      <c r="L597" t="n">
        <v>0</v>
      </c>
      <c r="M597" t="n">
        <v>0</v>
      </c>
      <c r="N597" t="n">
        <v>0</v>
      </c>
      <c r="O597" t="n">
        <v>0</v>
      </c>
      <c r="P597" t="n">
        <v>0</v>
      </c>
      <c r="Q597" t="n">
        <v>0</v>
      </c>
      <c r="R597" t="n">
        <v>0</v>
      </c>
      <c r="S597" t="n">
        <v>0</v>
      </c>
      <c r="T597" t="n">
        <v>0</v>
      </c>
      <c r="U597" s="2" t="inlineStr"/>
    </row>
    <row r="598" ht="15" customHeight="1">
      <c r="A598" t="inlineStr">
        <is>
          <t>A 508-2026</t>
        </is>
      </c>
      <c r="B598" t="inlineStr">
        <is>
          <t>avverkningsanmälan</t>
        </is>
      </c>
      <c r="C598" t="inlineStr">
        <is>
          <t>Föryngringsavverkning</t>
        </is>
      </c>
      <c r="D598" s="1" t="n">
        <v>46029</v>
      </c>
      <c r="E598" s="1" t="n">
        <v>46222</v>
      </c>
      <c r="F598" t="inlineStr">
        <is>
          <t>GÄVLEBORGS LÄN</t>
        </is>
      </c>
      <c r="G598" t="inlineStr">
        <is>
          <t>OVANÅKER</t>
        </is>
      </c>
      <c r="I598" t="n">
        <v>2.9</v>
      </c>
      <c r="J598" t="n">
        <v>0</v>
      </c>
      <c r="K598" t="n">
        <v>0</v>
      </c>
      <c r="L598" t="n">
        <v>0</v>
      </c>
      <c r="M598" t="n">
        <v>0</v>
      </c>
      <c r="N598" t="n">
        <v>0</v>
      </c>
      <c r="O598" t="n">
        <v>0</v>
      </c>
      <c r="P598" t="n">
        <v>0</v>
      </c>
      <c r="Q598" t="n">
        <v>0</v>
      </c>
      <c r="R598" t="n">
        <v>0</v>
      </c>
      <c r="S598" t="n">
        <v>0</v>
      </c>
      <c r="T598" t="n">
        <v>0</v>
      </c>
      <c r="U598" s="2" t="inlineStr"/>
    </row>
    <row r="599" ht="15" customHeight="1">
      <c r="A599" t="inlineStr">
        <is>
          <t>A 15705-2026</t>
        </is>
      </c>
      <c r="B599" t="inlineStr">
        <is>
          <t>avverkningsanmälan</t>
        </is>
      </c>
      <c r="C599" t="inlineStr">
        <is>
          <t>Föryngringsavverkning</t>
        </is>
      </c>
      <c r="D599" s="1" t="n">
        <v>46107</v>
      </c>
      <c r="E599" s="1" t="n">
        <v>46222</v>
      </c>
      <c r="F599" t="inlineStr">
        <is>
          <t>GÄVLEBORGS LÄN</t>
        </is>
      </c>
      <c r="G599" t="inlineStr">
        <is>
          <t>OVANÅKER</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798-2026</t>
        </is>
      </c>
      <c r="B600" t="inlineStr">
        <is>
          <t>avverkningsanmälan</t>
        </is>
      </c>
      <c r="C600" t="inlineStr">
        <is>
          <t>Föryngringsavverkning</t>
        </is>
      </c>
      <c r="D600" s="1" t="n">
        <v>46029</v>
      </c>
      <c r="E600" s="1" t="n">
        <v>46222</v>
      </c>
      <c r="F600" t="inlineStr">
        <is>
          <t>GÄVLEBORGS LÄN</t>
        </is>
      </c>
      <c r="G600" t="inlineStr">
        <is>
          <t>OVANÅKER</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39373-2024</t>
        </is>
      </c>
      <c r="B601" t="inlineStr">
        <is>
          <t>avverkningsanmälan</t>
        </is>
      </c>
      <c r="C601" t="inlineStr">
        <is>
          <t>Föryngringsavverkning</t>
        </is>
      </c>
      <c r="D601" s="1" t="n">
        <v>45551</v>
      </c>
      <c r="E601" s="1" t="n">
        <v>46222</v>
      </c>
      <c r="F601" t="inlineStr">
        <is>
          <t>GÄVLEBORGS LÄN</t>
        </is>
      </c>
      <c r="G601" t="inlineStr">
        <is>
          <t>OVANÅKER</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6114-2026</t>
        </is>
      </c>
      <c r="B602" t="inlineStr">
        <is>
          <t>avverkningsanmälan</t>
        </is>
      </c>
      <c r="C602" t="inlineStr">
        <is>
          <t>Föryngringsavverkning</t>
        </is>
      </c>
      <c r="D602" s="1" t="n">
        <v>46053</v>
      </c>
      <c r="E602" s="1" t="n">
        <v>46222</v>
      </c>
      <c r="F602" t="inlineStr">
        <is>
          <t>GÄVLEBORGS LÄN</t>
        </is>
      </c>
      <c r="G602" t="inlineStr">
        <is>
          <t>OVANÅKER</t>
        </is>
      </c>
      <c r="I602" t="n">
        <v>2.3</v>
      </c>
      <c r="J602" t="n">
        <v>0</v>
      </c>
      <c r="K602" t="n">
        <v>0</v>
      </c>
      <c r="L602" t="n">
        <v>0</v>
      </c>
      <c r="M602" t="n">
        <v>0</v>
      </c>
      <c r="N602" t="n">
        <v>0</v>
      </c>
      <c r="O602" t="n">
        <v>0</v>
      </c>
      <c r="P602" t="n">
        <v>0</v>
      </c>
      <c r="Q602" t="n">
        <v>0</v>
      </c>
      <c r="R602" t="n">
        <v>0</v>
      </c>
      <c r="S602" t="n">
        <v>0</v>
      </c>
      <c r="T602" t="n">
        <v>0</v>
      </c>
      <c r="U602" s="2" t="inlineStr"/>
    </row>
    <row r="603" ht="15" customHeight="1">
      <c r="A603" t="inlineStr">
        <is>
          <t>A 1471-2026</t>
        </is>
      </c>
      <c r="B603" t="inlineStr">
        <is>
          <t>avverkningsanmälan</t>
        </is>
      </c>
      <c r="C603" t="inlineStr">
        <is>
          <t>Föryngringsavverkning</t>
        </is>
      </c>
      <c r="D603" s="1" t="n">
        <v>46033</v>
      </c>
      <c r="E603" s="1" t="n">
        <v>46222</v>
      </c>
      <c r="F603" t="inlineStr">
        <is>
          <t>GÄVLEBORGS LÄN</t>
        </is>
      </c>
      <c r="G603" t="inlineStr">
        <is>
          <t>OVANÅKER</t>
        </is>
      </c>
      <c r="I603" t="n">
        <v>5.9</v>
      </c>
      <c r="J603" t="n">
        <v>0</v>
      </c>
      <c r="K603" t="n">
        <v>0</v>
      </c>
      <c r="L603" t="n">
        <v>0</v>
      </c>
      <c r="M603" t="n">
        <v>0</v>
      </c>
      <c r="N603" t="n">
        <v>0</v>
      </c>
      <c r="O603" t="n">
        <v>0</v>
      </c>
      <c r="P603" t="n">
        <v>0</v>
      </c>
      <c r="Q603" t="n">
        <v>0</v>
      </c>
      <c r="R603" t="n">
        <v>0</v>
      </c>
      <c r="S603" t="n">
        <v>0</v>
      </c>
      <c r="T603" t="n">
        <v>0</v>
      </c>
      <c r="U603" s="2" t="inlineStr"/>
    </row>
    <row r="604" ht="15" customHeight="1">
      <c r="A604" t="inlineStr">
        <is>
          <t>A 1470-2026</t>
        </is>
      </c>
      <c r="B604" t="inlineStr">
        <is>
          <t>avverkningsanmälan</t>
        </is>
      </c>
      <c r="C604" t="inlineStr">
        <is>
          <t>Föryngringsavverkning</t>
        </is>
      </c>
      <c r="D604" s="1" t="n">
        <v>46033</v>
      </c>
      <c r="E604" s="1" t="n">
        <v>46222</v>
      </c>
      <c r="F604" t="inlineStr">
        <is>
          <t>GÄVLEBORGS LÄN</t>
        </is>
      </c>
      <c r="G604" t="inlineStr">
        <is>
          <t>OVANÅKER</t>
        </is>
      </c>
      <c r="I604" t="n">
        <v>9.300000000000001</v>
      </c>
      <c r="J604" t="n">
        <v>0</v>
      </c>
      <c r="K604" t="n">
        <v>0</v>
      </c>
      <c r="L604" t="n">
        <v>0</v>
      </c>
      <c r="M604" t="n">
        <v>0</v>
      </c>
      <c r="N604" t="n">
        <v>0</v>
      </c>
      <c r="O604" t="n">
        <v>0</v>
      </c>
      <c r="P604" t="n">
        <v>0</v>
      </c>
      <c r="Q604" t="n">
        <v>0</v>
      </c>
      <c r="R604" t="n">
        <v>0</v>
      </c>
      <c r="S604" t="n">
        <v>0</v>
      </c>
      <c r="T604" t="n">
        <v>0</v>
      </c>
      <c r="U604" s="2" t="inlineStr"/>
    </row>
    <row r="605" ht="15" customHeight="1">
      <c r="A605" t="inlineStr">
        <is>
          <t>A 15510-2026</t>
        </is>
      </c>
      <c r="B605" t="inlineStr">
        <is>
          <t>avverkningsanmälan</t>
        </is>
      </c>
      <c r="C605" t="inlineStr">
        <is>
          <t>Föryngringsavverkning</t>
        </is>
      </c>
      <c r="D605" s="1" t="n">
        <v>46106</v>
      </c>
      <c r="E605" s="1" t="n">
        <v>46222</v>
      </c>
      <c r="F605" t="inlineStr">
        <is>
          <t>GÄVLEBORGS LÄN</t>
        </is>
      </c>
      <c r="G605" t="inlineStr">
        <is>
          <t>OVANÅKER</t>
        </is>
      </c>
      <c r="H605" t="inlineStr">
        <is>
          <t>Bergvik skog öst AB</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44905-2024</t>
        </is>
      </c>
      <c r="B606" t="inlineStr">
        <is>
          <t>avverkningsanmälan</t>
        </is>
      </c>
      <c r="C606" t="inlineStr">
        <is>
          <t>Föryngringsavverkning</t>
        </is>
      </c>
      <c r="D606" s="1" t="n">
        <v>45575</v>
      </c>
      <c r="E606" s="1" t="n">
        <v>46222</v>
      </c>
      <c r="F606" t="inlineStr">
        <is>
          <t>GÄVLEBORGS LÄN</t>
        </is>
      </c>
      <c r="G606" t="inlineStr">
        <is>
          <t>OVANÅKER</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A 15606-2026</t>
        </is>
      </c>
      <c r="B607" t="inlineStr">
        <is>
          <t>avverkningsanmälan</t>
        </is>
      </c>
      <c r="C607" t="inlineStr">
        <is>
          <t>Föryngringsavverkning</t>
        </is>
      </c>
      <c r="D607" s="1" t="n">
        <v>46106</v>
      </c>
      <c r="E607" s="1" t="n">
        <v>46222</v>
      </c>
      <c r="F607" t="inlineStr">
        <is>
          <t>GÄVLEBORGS LÄN</t>
        </is>
      </c>
      <c r="G607" t="inlineStr">
        <is>
          <t>OVANÅKER</t>
        </is>
      </c>
      <c r="H607" t="inlineStr">
        <is>
          <t>Bergvik skog öst AB</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31404-2023</t>
        </is>
      </c>
      <c r="B608" t="inlineStr">
        <is>
          <t>avverkningsanmälan</t>
        </is>
      </c>
      <c r="C608" t="inlineStr">
        <is>
          <t>Föryngringsavverkning</t>
        </is>
      </c>
      <c r="D608" s="1" t="n">
        <v>45114</v>
      </c>
      <c r="E608" s="1" t="n">
        <v>46222</v>
      </c>
      <c r="F608" t="inlineStr">
        <is>
          <t>GÄVLEBORGS LÄN</t>
        </is>
      </c>
      <c r="G608" t="inlineStr">
        <is>
          <t>OVANÅKER</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50752-2023</t>
        </is>
      </c>
      <c r="B609" t="inlineStr">
        <is>
          <t>avverkningsanmälan</t>
        </is>
      </c>
      <c r="C609" t="inlineStr">
        <is>
          <t>Föryngringsavverkning</t>
        </is>
      </c>
      <c r="D609" s="1" t="n">
        <v>45217</v>
      </c>
      <c r="E609" s="1" t="n">
        <v>46222</v>
      </c>
      <c r="F609" t="inlineStr">
        <is>
          <t>GÄVLEBORGS LÄN</t>
        </is>
      </c>
      <c r="G609" t="inlineStr">
        <is>
          <t>OVANÅKER</t>
        </is>
      </c>
      <c r="H609" t="inlineStr">
        <is>
          <t>Bergvik skog väst AB</t>
        </is>
      </c>
      <c r="I609" t="n">
        <v>3.3</v>
      </c>
      <c r="J609" t="n">
        <v>0</v>
      </c>
      <c r="K609" t="n">
        <v>0</v>
      </c>
      <c r="L609" t="n">
        <v>0</v>
      </c>
      <c r="M609" t="n">
        <v>0</v>
      </c>
      <c r="N609" t="n">
        <v>0</v>
      </c>
      <c r="O609" t="n">
        <v>0</v>
      </c>
      <c r="P609" t="n">
        <v>0</v>
      </c>
      <c r="Q609" t="n">
        <v>0</v>
      </c>
      <c r="R609" t="n">
        <v>0</v>
      </c>
      <c r="S609" t="n">
        <v>0</v>
      </c>
      <c r="T609" t="n">
        <v>0</v>
      </c>
      <c r="U609" s="2" t="inlineStr"/>
      <c r="X609">
        <f>HYPERLINK("https://klasma.github.io/Logging_2121/knärot/A 50752-2023 karta knärot.png", "A 50752-2023")</f>
        <v/>
      </c>
      <c r="Y609">
        <f>HYPERLINK("https://klasma.github.io/Logging_2121/klagomål/A 50752-2023 FSC-klagomål.docx", "A 50752-2023")</f>
        <v/>
      </c>
      <c r="Z609">
        <f>HYPERLINK("https://klasma.github.io/Logging_2121/klagomålsmail/A 50752-2023 FSC-klagomål mail.docx", "A 50752-2023")</f>
        <v/>
      </c>
      <c r="AA609">
        <f>HYPERLINK("https://klasma.github.io/Logging_2121/tillsyn/A 50752-2023 tillsynsbegäran.docx", "A 50752-2023")</f>
        <v/>
      </c>
      <c r="AB609">
        <f>HYPERLINK("https://klasma.github.io/Logging_2121/tillsynsmail/A 50752-2023 tillsynsbegäran mail.docx", "A 50752-2023")</f>
        <v/>
      </c>
    </row>
    <row r="610" ht="15" customHeight="1">
      <c r="A610" t="inlineStr">
        <is>
          <t>A 15423-2026</t>
        </is>
      </c>
      <c r="B610" t="inlineStr">
        <is>
          <t>avverkningsanmälan</t>
        </is>
      </c>
      <c r="C610" t="inlineStr">
        <is>
          <t>Föryngringsavverkning</t>
        </is>
      </c>
      <c r="D610" s="1" t="n">
        <v>46106</v>
      </c>
      <c r="E610" s="1" t="n">
        <v>46222</v>
      </c>
      <c r="F610" t="inlineStr">
        <is>
          <t>GÄVLEBORGS LÄN</t>
        </is>
      </c>
      <c r="G610" t="inlineStr">
        <is>
          <t>OVANÅKER</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15534-2026</t>
        </is>
      </c>
      <c r="B611" t="inlineStr">
        <is>
          <t>avverkningsanmälan</t>
        </is>
      </c>
      <c r="C611" t="inlineStr">
        <is>
          <t>Föryngringsavverkning</t>
        </is>
      </c>
      <c r="D611" s="1" t="n">
        <v>46106</v>
      </c>
      <c r="E611" s="1" t="n">
        <v>46222</v>
      </c>
      <c r="F611" t="inlineStr">
        <is>
          <t>GÄVLEBORGS LÄN</t>
        </is>
      </c>
      <c r="G611" t="inlineStr">
        <is>
          <t>OVANÅKER</t>
        </is>
      </c>
      <c r="I611" t="n">
        <v>3.4</v>
      </c>
      <c r="J611" t="n">
        <v>0</v>
      </c>
      <c r="K611" t="n">
        <v>0</v>
      </c>
      <c r="L611" t="n">
        <v>0</v>
      </c>
      <c r="M611" t="n">
        <v>0</v>
      </c>
      <c r="N611" t="n">
        <v>0</v>
      </c>
      <c r="O611" t="n">
        <v>0</v>
      </c>
      <c r="P611" t="n">
        <v>0</v>
      </c>
      <c r="Q611" t="n">
        <v>0</v>
      </c>
      <c r="R611" t="n">
        <v>0</v>
      </c>
      <c r="S611" t="n">
        <v>0</v>
      </c>
      <c r="T611" t="n">
        <v>0</v>
      </c>
      <c r="U611" s="2" t="inlineStr"/>
    </row>
    <row r="612" ht="15" customHeight="1">
      <c r="A612" t="inlineStr">
        <is>
          <t>A 15721-2026</t>
        </is>
      </c>
      <c r="B612" t="inlineStr">
        <is>
          <t>avverkningsanmälan</t>
        </is>
      </c>
      <c r="C612" t="inlineStr">
        <is>
          <t>Föryngringsavverkning</t>
        </is>
      </c>
      <c r="D612" s="1" t="n">
        <v>46107</v>
      </c>
      <c r="E612" s="1" t="n">
        <v>46222</v>
      </c>
      <c r="F612" t="inlineStr">
        <is>
          <t>GÄVLEBORGS LÄN</t>
        </is>
      </c>
      <c r="G612" t="inlineStr">
        <is>
          <t>OVANÅKER</t>
        </is>
      </c>
      <c r="I612" t="n">
        <v>2.9</v>
      </c>
      <c r="J612" t="n">
        <v>0</v>
      </c>
      <c r="K612" t="n">
        <v>0</v>
      </c>
      <c r="L612" t="n">
        <v>0</v>
      </c>
      <c r="M612" t="n">
        <v>0</v>
      </c>
      <c r="N612" t="n">
        <v>0</v>
      </c>
      <c r="O612" t="n">
        <v>0</v>
      </c>
      <c r="P612" t="n">
        <v>0</v>
      </c>
      <c r="Q612" t="n">
        <v>0</v>
      </c>
      <c r="R612" t="n">
        <v>0</v>
      </c>
      <c r="S612" t="n">
        <v>0</v>
      </c>
      <c r="T612" t="n">
        <v>0</v>
      </c>
      <c r="U612" s="2" t="inlineStr"/>
    </row>
    <row r="613" ht="15" customHeight="1">
      <c r="A613" t="inlineStr">
        <is>
          <t>A 15896-2026</t>
        </is>
      </c>
      <c r="B613" t="inlineStr">
        <is>
          <t>avverkningsanmälan</t>
        </is>
      </c>
      <c r="C613" t="inlineStr">
        <is>
          <t>Föryngringsavverkning</t>
        </is>
      </c>
      <c r="D613" s="1" t="n">
        <v>46107</v>
      </c>
      <c r="E613" s="1" t="n">
        <v>46222</v>
      </c>
      <c r="F613" t="inlineStr">
        <is>
          <t>GÄVLEBORGS LÄN</t>
        </is>
      </c>
      <c r="G613" t="inlineStr">
        <is>
          <t>OVANÅKER</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15898-2026</t>
        </is>
      </c>
      <c r="B614" t="inlineStr">
        <is>
          <t>avverkningsanmälan</t>
        </is>
      </c>
      <c r="C614" t="inlineStr">
        <is>
          <t>Föryngringsavverkning</t>
        </is>
      </c>
      <c r="D614" s="1" t="n">
        <v>46107</v>
      </c>
      <c r="E614" s="1" t="n">
        <v>46222</v>
      </c>
      <c r="F614" t="inlineStr">
        <is>
          <t>GÄVLEBORGS LÄN</t>
        </is>
      </c>
      <c r="G614" t="inlineStr">
        <is>
          <t>OVANÅKER</t>
        </is>
      </c>
      <c r="I614" t="n">
        <v>1.8</v>
      </c>
      <c r="J614" t="n">
        <v>0</v>
      </c>
      <c r="K614" t="n">
        <v>0</v>
      </c>
      <c r="L614" t="n">
        <v>0</v>
      </c>
      <c r="M614" t="n">
        <v>0</v>
      </c>
      <c r="N614" t="n">
        <v>0</v>
      </c>
      <c r="O614" t="n">
        <v>0</v>
      </c>
      <c r="P614" t="n">
        <v>0</v>
      </c>
      <c r="Q614" t="n">
        <v>0</v>
      </c>
      <c r="R614" t="n">
        <v>0</v>
      </c>
      <c r="S614" t="n">
        <v>0</v>
      </c>
      <c r="T614" t="n">
        <v>0</v>
      </c>
      <c r="U614" s="2" t="inlineStr"/>
    </row>
    <row r="615" ht="15" customHeight="1">
      <c r="A615" t="inlineStr">
        <is>
          <t>A 15941-2026</t>
        </is>
      </c>
      <c r="B615" t="inlineStr">
        <is>
          <t>avverkningsanmälan</t>
        </is>
      </c>
      <c r="C615" t="inlineStr">
        <is>
          <t>Föryngringsavverkning</t>
        </is>
      </c>
      <c r="D615" s="1" t="n">
        <v>46107</v>
      </c>
      <c r="E615" s="1" t="n">
        <v>46222</v>
      </c>
      <c r="F615" t="inlineStr">
        <is>
          <t>GÄVLEBORGS LÄN</t>
        </is>
      </c>
      <c r="G615" t="inlineStr">
        <is>
          <t>OVANÅKER</t>
        </is>
      </c>
      <c r="I615" t="n">
        <v>7.9</v>
      </c>
      <c r="J615" t="n">
        <v>0</v>
      </c>
      <c r="K615" t="n">
        <v>0</v>
      </c>
      <c r="L615" t="n">
        <v>0</v>
      </c>
      <c r="M615" t="n">
        <v>0</v>
      </c>
      <c r="N615" t="n">
        <v>0</v>
      </c>
      <c r="O615" t="n">
        <v>0</v>
      </c>
      <c r="P615" t="n">
        <v>0</v>
      </c>
      <c r="Q615" t="n">
        <v>0</v>
      </c>
      <c r="R615" t="n">
        <v>0</v>
      </c>
      <c r="S615" t="n">
        <v>0</v>
      </c>
      <c r="T615" t="n">
        <v>0</v>
      </c>
      <c r="U615" s="2" t="inlineStr"/>
    </row>
    <row r="616" ht="15" customHeight="1">
      <c r="A616" t="inlineStr">
        <is>
          <t>A 2379-2026</t>
        </is>
      </c>
      <c r="B616" t="inlineStr">
        <is>
          <t>avverkningsanmälan</t>
        </is>
      </c>
      <c r="C616" t="inlineStr">
        <is>
          <t>Föryngringsavverkning</t>
        </is>
      </c>
      <c r="D616" s="1" t="n">
        <v>46036</v>
      </c>
      <c r="E616" s="1" t="n">
        <v>46222</v>
      </c>
      <c r="F616" t="inlineStr">
        <is>
          <t>GÄVLEBORGS LÄN</t>
        </is>
      </c>
      <c r="G616" t="inlineStr">
        <is>
          <t>OVANÅKER</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19818-2025</t>
        </is>
      </c>
      <c r="B617" t="inlineStr">
        <is>
          <t>avverkningsanmälan</t>
        </is>
      </c>
      <c r="C617" t="inlineStr">
        <is>
          <t>Föryngringsavverkning</t>
        </is>
      </c>
      <c r="D617" s="1" t="n">
        <v>45771</v>
      </c>
      <c r="E617" s="1" t="n">
        <v>46222</v>
      </c>
      <c r="F617" t="inlineStr">
        <is>
          <t>GÄVLEBORGS LÄN</t>
        </is>
      </c>
      <c r="G617" t="inlineStr">
        <is>
          <t>OVANÅKER</t>
        </is>
      </c>
      <c r="I617" t="n">
        <v>3.2</v>
      </c>
      <c r="J617" t="n">
        <v>0</v>
      </c>
      <c r="K617" t="n">
        <v>0</v>
      </c>
      <c r="L617" t="n">
        <v>0</v>
      </c>
      <c r="M617" t="n">
        <v>0</v>
      </c>
      <c r="N617" t="n">
        <v>0</v>
      </c>
      <c r="O617" t="n">
        <v>0</v>
      </c>
      <c r="P617" t="n">
        <v>0</v>
      </c>
      <c r="Q617" t="n">
        <v>0</v>
      </c>
      <c r="R617" t="n">
        <v>0</v>
      </c>
      <c r="S617" t="n">
        <v>0</v>
      </c>
      <c r="T617" t="n">
        <v>0</v>
      </c>
      <c r="U617" s="2" t="inlineStr"/>
    </row>
    <row r="618" ht="15" customHeight="1">
      <c r="A618" t="inlineStr">
        <is>
          <t>A 15373-2026</t>
        </is>
      </c>
      <c r="B618" t="inlineStr">
        <is>
          <t>avverkningsanmälan</t>
        </is>
      </c>
      <c r="C618" t="inlineStr">
        <is>
          <t>Föryngringsavverkning</t>
        </is>
      </c>
      <c r="D618" s="1" t="n">
        <v>46106</v>
      </c>
      <c r="E618" s="1" t="n">
        <v>46222</v>
      </c>
      <c r="F618" t="inlineStr">
        <is>
          <t>GÄVLEBORGS LÄN</t>
        </is>
      </c>
      <c r="G618" t="inlineStr">
        <is>
          <t>OVANÅKER</t>
        </is>
      </c>
      <c r="H618" t="inlineStr">
        <is>
          <t>Bergvik skog väst AB</t>
        </is>
      </c>
      <c r="I618" t="n">
        <v>2.7</v>
      </c>
      <c r="J618" t="n">
        <v>0</v>
      </c>
      <c r="K618" t="n">
        <v>0</v>
      </c>
      <c r="L618" t="n">
        <v>0</v>
      </c>
      <c r="M618" t="n">
        <v>0</v>
      </c>
      <c r="N618" t="n">
        <v>0</v>
      </c>
      <c r="O618" t="n">
        <v>0</v>
      </c>
      <c r="P618" t="n">
        <v>0</v>
      </c>
      <c r="Q618" t="n">
        <v>0</v>
      </c>
      <c r="R618" t="n">
        <v>0</v>
      </c>
      <c r="S618" t="n">
        <v>0</v>
      </c>
      <c r="T618" t="n">
        <v>0</v>
      </c>
      <c r="U618" s="2" t="inlineStr"/>
    </row>
    <row r="619" ht="15" customHeight="1">
      <c r="A619" t="inlineStr">
        <is>
          <t>A 63903-2025</t>
        </is>
      </c>
      <c r="B619" t="inlineStr">
        <is>
          <t>avverkningsanmälan</t>
        </is>
      </c>
      <c r="C619" t="inlineStr">
        <is>
          <t>Föryngringsavverkning</t>
        </is>
      </c>
      <c r="D619" s="1" t="n">
        <v>46020</v>
      </c>
      <c r="E619" s="1" t="n">
        <v>46222</v>
      </c>
      <c r="F619" t="inlineStr">
        <is>
          <t>GÄVLEBORGS LÄN</t>
        </is>
      </c>
      <c r="G619" t="inlineStr">
        <is>
          <t>OVANÅKER</t>
        </is>
      </c>
      <c r="I619" t="n">
        <v>2.8</v>
      </c>
      <c r="J619" t="n">
        <v>0</v>
      </c>
      <c r="K619" t="n">
        <v>0</v>
      </c>
      <c r="L619" t="n">
        <v>0</v>
      </c>
      <c r="M619" t="n">
        <v>0</v>
      </c>
      <c r="N619" t="n">
        <v>0</v>
      </c>
      <c r="O619" t="n">
        <v>0</v>
      </c>
      <c r="P619" t="n">
        <v>0</v>
      </c>
      <c r="Q619" t="n">
        <v>0</v>
      </c>
      <c r="R619" t="n">
        <v>0</v>
      </c>
      <c r="S619" t="n">
        <v>0</v>
      </c>
      <c r="T619" t="n">
        <v>0</v>
      </c>
      <c r="U619" s="2" t="inlineStr"/>
    </row>
    <row r="620" ht="15" customHeight="1">
      <c r="A620" t="inlineStr">
        <is>
          <t>A 684-2026</t>
        </is>
      </c>
      <c r="B620" t="inlineStr">
        <is>
          <t>avverkningsanmälan</t>
        </is>
      </c>
      <c r="C620" t="inlineStr">
        <is>
          <t>Föryngringsavverkning</t>
        </is>
      </c>
      <c r="D620" s="1" t="n">
        <v>46029</v>
      </c>
      <c r="E620" s="1" t="n">
        <v>46222</v>
      </c>
      <c r="F620" t="inlineStr">
        <is>
          <t>GÄVLEBORGS LÄN</t>
        </is>
      </c>
      <c r="G620" t="inlineStr">
        <is>
          <t>OVANÅKER</t>
        </is>
      </c>
      <c r="I620" t="n">
        <v>6.6</v>
      </c>
      <c r="J620" t="n">
        <v>0</v>
      </c>
      <c r="K620" t="n">
        <v>0</v>
      </c>
      <c r="L620" t="n">
        <v>0</v>
      </c>
      <c r="M620" t="n">
        <v>0</v>
      </c>
      <c r="N620" t="n">
        <v>0</v>
      </c>
      <c r="O620" t="n">
        <v>0</v>
      </c>
      <c r="P620" t="n">
        <v>0</v>
      </c>
      <c r="Q620" t="n">
        <v>0</v>
      </c>
      <c r="R620" t="n">
        <v>0</v>
      </c>
      <c r="S620" t="n">
        <v>0</v>
      </c>
      <c r="T620" t="n">
        <v>0</v>
      </c>
      <c r="U620" s="2" t="inlineStr"/>
    </row>
    <row r="621" ht="15" customHeight="1">
      <c r="A621" t="inlineStr">
        <is>
          <t>A 15582-2026</t>
        </is>
      </c>
      <c r="B621" t="inlineStr">
        <is>
          <t>avverkningsanmälan</t>
        </is>
      </c>
      <c r="C621" t="inlineStr">
        <is>
          <t>Föryngringsavverkning</t>
        </is>
      </c>
      <c r="D621" s="1" t="n">
        <v>46106</v>
      </c>
      <c r="E621" s="1" t="n">
        <v>46222</v>
      </c>
      <c r="F621" t="inlineStr">
        <is>
          <t>GÄVLEBORGS LÄN</t>
        </is>
      </c>
      <c r="G621" t="inlineStr">
        <is>
          <t>OVANÅKER</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2066-2026</t>
        </is>
      </c>
      <c r="B622" t="inlineStr">
        <is>
          <t>avverkningsanmälan</t>
        </is>
      </c>
      <c r="C622" t="inlineStr">
        <is>
          <t>Föryngringsavverkning</t>
        </is>
      </c>
      <c r="D622" s="1" t="n">
        <v>46036</v>
      </c>
      <c r="E622" s="1" t="n">
        <v>46222</v>
      </c>
      <c r="F622" t="inlineStr">
        <is>
          <t>GÄVLEBORGS LÄN</t>
        </is>
      </c>
      <c r="G622" t="inlineStr">
        <is>
          <t>OVANÅKER</t>
        </is>
      </c>
      <c r="I622" t="n">
        <v>16</v>
      </c>
      <c r="J622" t="n">
        <v>0</v>
      </c>
      <c r="K622" t="n">
        <v>0</v>
      </c>
      <c r="L622" t="n">
        <v>0</v>
      </c>
      <c r="M622" t="n">
        <v>0</v>
      </c>
      <c r="N622" t="n">
        <v>0</v>
      </c>
      <c r="O622" t="n">
        <v>0</v>
      </c>
      <c r="P622" t="n">
        <v>0</v>
      </c>
      <c r="Q622" t="n">
        <v>0</v>
      </c>
      <c r="R622" t="n">
        <v>0</v>
      </c>
      <c r="S622" t="n">
        <v>0</v>
      </c>
      <c r="T622" t="n">
        <v>0</v>
      </c>
      <c r="U622" s="2" t="inlineStr"/>
    </row>
    <row r="623" ht="15" customHeight="1">
      <c r="A623" t="inlineStr">
        <is>
          <t>A 2264-2026</t>
        </is>
      </c>
      <c r="B623" t="inlineStr">
        <is>
          <t>avverkningsanmälan</t>
        </is>
      </c>
      <c r="C623" t="inlineStr">
        <is>
          <t>Föryngringsavverkning</t>
        </is>
      </c>
      <c r="D623" s="1" t="n">
        <v>46036</v>
      </c>
      <c r="E623" s="1" t="n">
        <v>46222</v>
      </c>
      <c r="F623" t="inlineStr">
        <is>
          <t>GÄVLEBORGS LÄN</t>
        </is>
      </c>
      <c r="G623" t="inlineStr">
        <is>
          <t>OVANÅKER</t>
        </is>
      </c>
      <c r="I623" t="n">
        <v>11.8</v>
      </c>
      <c r="J623" t="n">
        <v>0</v>
      </c>
      <c r="K623" t="n">
        <v>0</v>
      </c>
      <c r="L623" t="n">
        <v>0</v>
      </c>
      <c r="M623" t="n">
        <v>0</v>
      </c>
      <c r="N623" t="n">
        <v>0</v>
      </c>
      <c r="O623" t="n">
        <v>0</v>
      </c>
      <c r="P623" t="n">
        <v>0</v>
      </c>
      <c r="Q623" t="n">
        <v>0</v>
      </c>
      <c r="R623" t="n">
        <v>0</v>
      </c>
      <c r="S623" t="n">
        <v>0</v>
      </c>
      <c r="T623" t="n">
        <v>0</v>
      </c>
      <c r="U623" s="2" t="inlineStr"/>
    </row>
    <row r="624" ht="15" customHeight="1">
      <c r="A624" t="inlineStr">
        <is>
          <t>A 2144-2026</t>
        </is>
      </c>
      <c r="B624" t="inlineStr">
        <is>
          <t>avverkningsanmälan</t>
        </is>
      </c>
      <c r="C624" t="inlineStr">
        <is>
          <t>Föryngringsavverkning</t>
        </is>
      </c>
      <c r="D624" s="1" t="n">
        <v>46036</v>
      </c>
      <c r="E624" s="1" t="n">
        <v>46222</v>
      </c>
      <c r="F624" t="inlineStr">
        <is>
          <t>GÄVLEBORGS LÄN</t>
        </is>
      </c>
      <c r="G624" t="inlineStr">
        <is>
          <t>OVANÅKER</t>
        </is>
      </c>
      <c r="I624" t="n">
        <v>3.8</v>
      </c>
      <c r="J624" t="n">
        <v>0</v>
      </c>
      <c r="K624" t="n">
        <v>0</v>
      </c>
      <c r="L624" t="n">
        <v>0</v>
      </c>
      <c r="M624" t="n">
        <v>0</v>
      </c>
      <c r="N624" t="n">
        <v>0</v>
      </c>
      <c r="O624" t="n">
        <v>0</v>
      </c>
      <c r="P624" t="n">
        <v>0</v>
      </c>
      <c r="Q624" t="n">
        <v>0</v>
      </c>
      <c r="R624" t="n">
        <v>0</v>
      </c>
      <c r="S624" t="n">
        <v>0</v>
      </c>
      <c r="T624" t="n">
        <v>0</v>
      </c>
      <c r="U624" s="2" t="inlineStr"/>
    </row>
    <row r="625" ht="15" customHeight="1">
      <c r="A625" t="inlineStr">
        <is>
          <t>A 1961-2026</t>
        </is>
      </c>
      <c r="B625" t="inlineStr">
        <is>
          <t>avverkningsanmälan</t>
        </is>
      </c>
      <c r="C625" t="inlineStr">
        <is>
          <t>Föryngringsavverkning</t>
        </is>
      </c>
      <c r="D625" s="1" t="n">
        <v>46035</v>
      </c>
      <c r="E625" s="1" t="n">
        <v>46222</v>
      </c>
      <c r="F625" t="inlineStr">
        <is>
          <t>GÄVLEBORGS LÄN</t>
        </is>
      </c>
      <c r="G625" t="inlineStr">
        <is>
          <t>OVANÅKER</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2104-2026</t>
        </is>
      </c>
      <c r="B626" t="inlineStr">
        <is>
          <t>avverkningsanmälan</t>
        </is>
      </c>
      <c r="C626" t="inlineStr">
        <is>
          <t>Föryngringsavverkning</t>
        </is>
      </c>
      <c r="D626" s="1" t="n">
        <v>46036</v>
      </c>
      <c r="E626" s="1" t="n">
        <v>46222</v>
      </c>
      <c r="F626" t="inlineStr">
        <is>
          <t>GÄVLEBORGS LÄN</t>
        </is>
      </c>
      <c r="G626" t="inlineStr">
        <is>
          <t>OVANÅKER</t>
        </is>
      </c>
      <c r="I626" t="n">
        <v>4.8</v>
      </c>
      <c r="J626" t="n">
        <v>0</v>
      </c>
      <c r="K626" t="n">
        <v>0</v>
      </c>
      <c r="L626" t="n">
        <v>0</v>
      </c>
      <c r="M626" t="n">
        <v>0</v>
      </c>
      <c r="N626" t="n">
        <v>0</v>
      </c>
      <c r="O626" t="n">
        <v>0</v>
      </c>
      <c r="P626" t="n">
        <v>0</v>
      </c>
      <c r="Q626" t="n">
        <v>0</v>
      </c>
      <c r="R626" t="n">
        <v>0</v>
      </c>
      <c r="S626" t="n">
        <v>0</v>
      </c>
      <c r="T626" t="n">
        <v>0</v>
      </c>
      <c r="U626" s="2" t="inlineStr"/>
    </row>
    <row r="627" ht="15" customHeight="1">
      <c r="A627" t="inlineStr">
        <is>
          <t>A 1876-2026</t>
        </is>
      </c>
      <c r="B627" t="inlineStr">
        <is>
          <t>avverkningsanmälan</t>
        </is>
      </c>
      <c r="C627" t="inlineStr">
        <is>
          <t>Föryngringsavverkning</t>
        </is>
      </c>
      <c r="D627" s="1" t="n">
        <v>46035</v>
      </c>
      <c r="E627" s="1" t="n">
        <v>46222</v>
      </c>
      <c r="F627" t="inlineStr">
        <is>
          <t>GÄVLEBORGS LÄN</t>
        </is>
      </c>
      <c r="G627" t="inlineStr">
        <is>
          <t>OVANÅKER</t>
        </is>
      </c>
      <c r="I627" t="n">
        <v>20.5</v>
      </c>
      <c r="J627" t="n">
        <v>0</v>
      </c>
      <c r="K627" t="n">
        <v>0</v>
      </c>
      <c r="L627" t="n">
        <v>0</v>
      </c>
      <c r="M627" t="n">
        <v>0</v>
      </c>
      <c r="N627" t="n">
        <v>0</v>
      </c>
      <c r="O627" t="n">
        <v>0</v>
      </c>
      <c r="P627" t="n">
        <v>0</v>
      </c>
      <c r="Q627" t="n">
        <v>0</v>
      </c>
      <c r="R627" t="n">
        <v>0</v>
      </c>
      <c r="S627" t="n">
        <v>0</v>
      </c>
      <c r="T627" t="n">
        <v>0</v>
      </c>
      <c r="U627" s="2" t="inlineStr"/>
    </row>
    <row r="628" ht="15" customHeight="1">
      <c r="A628" t="inlineStr">
        <is>
          <t>A 2137-2026</t>
        </is>
      </c>
      <c r="B628" t="inlineStr">
        <is>
          <t>avverkningsanmälan</t>
        </is>
      </c>
      <c r="C628" t="inlineStr">
        <is>
          <t>Föryngringsavverkning</t>
        </is>
      </c>
      <c r="D628" s="1" t="n">
        <v>46036</v>
      </c>
      <c r="E628" s="1" t="n">
        <v>46222</v>
      </c>
      <c r="F628" t="inlineStr">
        <is>
          <t>GÄVLEBORGS LÄN</t>
        </is>
      </c>
      <c r="G628" t="inlineStr">
        <is>
          <t>OVANÅKER</t>
        </is>
      </c>
      <c r="I628" t="n">
        <v>5.3</v>
      </c>
      <c r="J628" t="n">
        <v>0</v>
      </c>
      <c r="K628" t="n">
        <v>0</v>
      </c>
      <c r="L628" t="n">
        <v>0</v>
      </c>
      <c r="M628" t="n">
        <v>0</v>
      </c>
      <c r="N628" t="n">
        <v>0</v>
      </c>
      <c r="O628" t="n">
        <v>0</v>
      </c>
      <c r="P628" t="n">
        <v>0</v>
      </c>
      <c r="Q628" t="n">
        <v>0</v>
      </c>
      <c r="R628" t="n">
        <v>0</v>
      </c>
      <c r="S628" t="n">
        <v>0</v>
      </c>
      <c r="T628" t="n">
        <v>0</v>
      </c>
      <c r="U628" s="2" t="inlineStr"/>
    </row>
    <row r="629" ht="15" customHeight="1">
      <c r="A629" t="inlineStr">
        <is>
          <t>A 15442-2026</t>
        </is>
      </c>
      <c r="B629" t="inlineStr">
        <is>
          <t>avverkningsanmälan</t>
        </is>
      </c>
      <c r="C629" t="inlineStr">
        <is>
          <t>Föryngringsavverkning</t>
        </is>
      </c>
      <c r="D629" s="1" t="n">
        <v>46106</v>
      </c>
      <c r="E629" s="1" t="n">
        <v>46222</v>
      </c>
      <c r="F629" t="inlineStr">
        <is>
          <t>GÄVLEBORGS LÄN</t>
        </is>
      </c>
      <c r="G629" t="inlineStr">
        <is>
          <t>OVANÅKER</t>
        </is>
      </c>
      <c r="I629" t="n">
        <v>5.4</v>
      </c>
      <c r="J629" t="n">
        <v>0</v>
      </c>
      <c r="K629" t="n">
        <v>0</v>
      </c>
      <c r="L629" t="n">
        <v>0</v>
      </c>
      <c r="M629" t="n">
        <v>0</v>
      </c>
      <c r="N629" t="n">
        <v>0</v>
      </c>
      <c r="O629" t="n">
        <v>0</v>
      </c>
      <c r="P629" t="n">
        <v>0</v>
      </c>
      <c r="Q629" t="n">
        <v>0</v>
      </c>
      <c r="R629" t="n">
        <v>0</v>
      </c>
      <c r="S629" t="n">
        <v>0</v>
      </c>
      <c r="T629" t="n">
        <v>0</v>
      </c>
      <c r="U629" s="2" t="inlineStr"/>
    </row>
    <row r="630" ht="15" customHeight="1">
      <c r="A630" t="inlineStr">
        <is>
          <t>A 2933-2026</t>
        </is>
      </c>
      <c r="B630" t="inlineStr">
        <is>
          <t>avverkningsanmälan</t>
        </is>
      </c>
      <c r="C630" t="inlineStr">
        <is>
          <t>Föryngringsavverkning</t>
        </is>
      </c>
      <c r="D630" s="1" t="n">
        <v>46036</v>
      </c>
      <c r="E630" s="1" t="n">
        <v>46222</v>
      </c>
      <c r="F630" t="inlineStr">
        <is>
          <t>GÄVLEBORGS LÄN</t>
        </is>
      </c>
      <c r="G630" t="inlineStr">
        <is>
          <t>OVANÅKER</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58467-2022</t>
        </is>
      </c>
      <c r="B631" t="inlineStr">
        <is>
          <t>avverkningsanmälan</t>
        </is>
      </c>
      <c r="C631" t="inlineStr">
        <is>
          <t>Föryngringsavverkning</t>
        </is>
      </c>
      <c r="D631" s="1" t="n">
        <v>44902</v>
      </c>
      <c r="E631" s="1" t="n">
        <v>46222</v>
      </c>
      <c r="F631" t="inlineStr">
        <is>
          <t>GÄVLEBORGS LÄN</t>
        </is>
      </c>
      <c r="G631" t="inlineStr">
        <is>
          <t>OVANÅKER</t>
        </is>
      </c>
      <c r="H631" t="inlineStr">
        <is>
          <t>Bergvik skog väst AB</t>
        </is>
      </c>
      <c r="I631" t="n">
        <v>2.7</v>
      </c>
      <c r="J631" t="n">
        <v>0</v>
      </c>
      <c r="K631" t="n">
        <v>0</v>
      </c>
      <c r="L631" t="n">
        <v>0</v>
      </c>
      <c r="M631" t="n">
        <v>0</v>
      </c>
      <c r="N631" t="n">
        <v>0</v>
      </c>
      <c r="O631" t="n">
        <v>0</v>
      </c>
      <c r="P631" t="n">
        <v>0</v>
      </c>
      <c r="Q631" t="n">
        <v>0</v>
      </c>
      <c r="R631" t="n">
        <v>0</v>
      </c>
      <c r="S631" t="n">
        <v>0</v>
      </c>
      <c r="T631" t="n">
        <v>0</v>
      </c>
      <c r="U631" s="2" t="inlineStr"/>
    </row>
    <row r="632" ht="15" customHeight="1">
      <c r="A632" t="inlineStr">
        <is>
          <t>A 15614-2026</t>
        </is>
      </c>
      <c r="B632" t="inlineStr">
        <is>
          <t>avverkningsanmälan</t>
        </is>
      </c>
      <c r="C632" t="inlineStr">
        <is>
          <t>Föryngringsavverkning</t>
        </is>
      </c>
      <c r="D632" s="1" t="n">
        <v>46106</v>
      </c>
      <c r="E632" s="1" t="n">
        <v>46222</v>
      </c>
      <c r="F632" t="inlineStr">
        <is>
          <t>GÄVLEBORGS LÄN</t>
        </is>
      </c>
      <c r="G632" t="inlineStr">
        <is>
          <t>OVANÅKER</t>
        </is>
      </c>
      <c r="H632" t="inlineStr">
        <is>
          <t>Bergvik skog öst AB</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36452-2023</t>
        </is>
      </c>
      <c r="B633" t="inlineStr">
        <is>
          <t>avverkningsanmälan</t>
        </is>
      </c>
      <c r="C633" t="inlineStr">
        <is>
          <t>Avverkning för annat ändamål</t>
        </is>
      </c>
      <c r="D633" s="1" t="n">
        <v>45152</v>
      </c>
      <c r="E633" s="1" t="n">
        <v>46222</v>
      </c>
      <c r="F633" t="inlineStr">
        <is>
          <t>GÄVLEBORGS LÄN</t>
        </is>
      </c>
      <c r="G633" t="inlineStr">
        <is>
          <t>OVANÅKER</t>
        </is>
      </c>
      <c r="H633" t="inlineStr">
        <is>
          <t>Sveaskog</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2553-2026</t>
        </is>
      </c>
      <c r="B634" t="inlineStr">
        <is>
          <t>avverkningsanmälan</t>
        </is>
      </c>
      <c r="C634" t="inlineStr">
        <is>
          <t>Föryngringsavverkning</t>
        </is>
      </c>
      <c r="D634" s="1" t="n">
        <v>46037</v>
      </c>
      <c r="E634" s="1" t="n">
        <v>46222</v>
      </c>
      <c r="F634" t="inlineStr">
        <is>
          <t>GÄVLEBORGS LÄN</t>
        </is>
      </c>
      <c r="G634" t="inlineStr">
        <is>
          <t>OVANÅKER</t>
        </is>
      </c>
      <c r="H634" t="inlineStr">
        <is>
          <t>Bergvik skog väst AB</t>
        </is>
      </c>
      <c r="I634" t="n">
        <v>1.4</v>
      </c>
      <c r="J634" t="n">
        <v>0</v>
      </c>
      <c r="K634" t="n">
        <v>0</v>
      </c>
      <c r="L634" t="n">
        <v>0</v>
      </c>
      <c r="M634" t="n">
        <v>0</v>
      </c>
      <c r="N634" t="n">
        <v>0</v>
      </c>
      <c r="O634" t="n">
        <v>0</v>
      </c>
      <c r="P634" t="n">
        <v>0</v>
      </c>
      <c r="Q634" t="n">
        <v>0</v>
      </c>
      <c r="R634" t="n">
        <v>0</v>
      </c>
      <c r="S634" t="n">
        <v>0</v>
      </c>
      <c r="T634" t="n">
        <v>0</v>
      </c>
      <c r="U634" s="2" t="inlineStr"/>
    </row>
    <row r="635" ht="15" customHeight="1">
      <c r="A635" t="inlineStr">
        <is>
          <t>A 2670-2026</t>
        </is>
      </c>
      <c r="B635" t="inlineStr">
        <is>
          <t>avverkningsanmälan</t>
        </is>
      </c>
      <c r="C635" t="inlineStr">
        <is>
          <t>Föryngringsavverkning</t>
        </is>
      </c>
      <c r="D635" s="1" t="n">
        <v>46037</v>
      </c>
      <c r="E635" s="1" t="n">
        <v>46222</v>
      </c>
      <c r="F635" t="inlineStr">
        <is>
          <t>GÄVLEBORGS LÄN</t>
        </is>
      </c>
      <c r="G635" t="inlineStr">
        <is>
          <t>OVANÅKER</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2678-2026</t>
        </is>
      </c>
      <c r="B636" t="inlineStr">
        <is>
          <t>avverkningsanmälan</t>
        </is>
      </c>
      <c r="C636" t="inlineStr">
        <is>
          <t>Föryngringsavverkning</t>
        </is>
      </c>
      <c r="D636" s="1" t="n">
        <v>46037</v>
      </c>
      <c r="E636" s="1" t="n">
        <v>46222</v>
      </c>
      <c r="F636" t="inlineStr">
        <is>
          <t>GÄVLEBORGS LÄN</t>
        </is>
      </c>
      <c r="G636" t="inlineStr">
        <is>
          <t>OVANÅKER</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2833-2026</t>
        </is>
      </c>
      <c r="B637" t="inlineStr">
        <is>
          <t>avverkningsanmälan</t>
        </is>
      </c>
      <c r="C637" t="inlineStr">
        <is>
          <t>Föryngringsavverkning</t>
        </is>
      </c>
      <c r="D637" s="1" t="n">
        <v>46038</v>
      </c>
      <c r="E637" s="1" t="n">
        <v>46222</v>
      </c>
      <c r="F637" t="inlineStr">
        <is>
          <t>GÄVLEBORGS LÄN</t>
        </is>
      </c>
      <c r="G637" t="inlineStr">
        <is>
          <t>OVANÅKER</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2847-2026</t>
        </is>
      </c>
      <c r="B638" t="inlineStr">
        <is>
          <t>avverkningsanmälan</t>
        </is>
      </c>
      <c r="C638" t="inlineStr">
        <is>
          <t>Föryngringsavverkning</t>
        </is>
      </c>
      <c r="D638" s="1" t="n">
        <v>46038</v>
      </c>
      <c r="E638" s="1" t="n">
        <v>46222</v>
      </c>
      <c r="F638" t="inlineStr">
        <is>
          <t>GÄVLEBORGS LÄN</t>
        </is>
      </c>
      <c r="G638" t="inlineStr">
        <is>
          <t>OVANÅKER</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2848-2026</t>
        </is>
      </c>
      <c r="B639" t="inlineStr">
        <is>
          <t>avverkningsanmälan</t>
        </is>
      </c>
      <c r="C639" t="inlineStr">
        <is>
          <t>Föryngringsavverkning</t>
        </is>
      </c>
      <c r="D639" s="1" t="n">
        <v>46038</v>
      </c>
      <c r="E639" s="1" t="n">
        <v>46222</v>
      </c>
      <c r="F639" t="inlineStr">
        <is>
          <t>GÄVLEBORGS LÄN</t>
        </is>
      </c>
      <c r="G639" t="inlineStr">
        <is>
          <t>OVANÅKER</t>
        </is>
      </c>
      <c r="I639" t="n">
        <v>7.6</v>
      </c>
      <c r="J639" t="n">
        <v>0</v>
      </c>
      <c r="K639" t="n">
        <v>0</v>
      </c>
      <c r="L639" t="n">
        <v>0</v>
      </c>
      <c r="M639" t="n">
        <v>0</v>
      </c>
      <c r="N639" t="n">
        <v>0</v>
      </c>
      <c r="O639" t="n">
        <v>0</v>
      </c>
      <c r="P639" t="n">
        <v>0</v>
      </c>
      <c r="Q639" t="n">
        <v>0</v>
      </c>
      <c r="R639" t="n">
        <v>0</v>
      </c>
      <c r="S639" t="n">
        <v>0</v>
      </c>
      <c r="T639" t="n">
        <v>0</v>
      </c>
      <c r="U639" s="2" t="inlineStr"/>
    </row>
    <row r="640" ht="15" customHeight="1">
      <c r="A640" t="inlineStr">
        <is>
          <t>A 2673-2026</t>
        </is>
      </c>
      <c r="B640" t="inlineStr">
        <is>
          <t>avverkningsanmälan</t>
        </is>
      </c>
      <c r="C640" t="inlineStr">
        <is>
          <t>Föryngringsavverkning</t>
        </is>
      </c>
      <c r="D640" s="1" t="n">
        <v>46037</v>
      </c>
      <c r="E640" s="1" t="n">
        <v>46222</v>
      </c>
      <c r="F640" t="inlineStr">
        <is>
          <t>GÄVLEBORGS LÄN</t>
        </is>
      </c>
      <c r="G640" t="inlineStr">
        <is>
          <t>OVANÅKER</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6188-2024</t>
        </is>
      </c>
      <c r="B641" t="inlineStr">
        <is>
          <t>avverkningsanmälan</t>
        </is>
      </c>
      <c r="C641" t="inlineStr">
        <is>
          <t>Föryngringsavverkning</t>
        </is>
      </c>
      <c r="D641" s="1" t="n">
        <v>45337</v>
      </c>
      <c r="E641" s="1" t="n">
        <v>46222</v>
      </c>
      <c r="F641" t="inlineStr">
        <is>
          <t>GÄVLEBORGS LÄN</t>
        </is>
      </c>
      <c r="G641" t="inlineStr">
        <is>
          <t>OVANÅKER</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1405-2024</t>
        </is>
      </c>
      <c r="B642" t="inlineStr">
        <is>
          <t>avverkningsanmälan</t>
        </is>
      </c>
      <c r="C642" t="inlineStr">
        <is>
          <t>Avverkning för annat ändamål</t>
        </is>
      </c>
      <c r="D642" s="1" t="n">
        <v>45303</v>
      </c>
      <c r="E642" s="1" t="n">
        <v>46222</v>
      </c>
      <c r="F642" t="inlineStr">
        <is>
          <t>GÄVLEBORGS LÄN</t>
        </is>
      </c>
      <c r="G642" t="inlineStr">
        <is>
          <t>OVANÅKER</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2830-2026</t>
        </is>
      </c>
      <c r="B643" t="inlineStr">
        <is>
          <t>avverkningsanmälan</t>
        </is>
      </c>
      <c r="C643" t="inlineStr">
        <is>
          <t>Föryngringsavverkning</t>
        </is>
      </c>
      <c r="D643" s="1" t="n">
        <v>46038</v>
      </c>
      <c r="E643" s="1" t="n">
        <v>46222</v>
      </c>
      <c r="F643" t="inlineStr">
        <is>
          <t>GÄVLEBORGS LÄN</t>
        </is>
      </c>
      <c r="G643" t="inlineStr">
        <is>
          <t>OVANÅKER</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2851-2026</t>
        </is>
      </c>
      <c r="B644" t="inlineStr">
        <is>
          <t>avverkningsanmälan</t>
        </is>
      </c>
      <c r="C644" t="inlineStr">
        <is>
          <t>Föryngringsavverkning</t>
        </is>
      </c>
      <c r="D644" s="1" t="n">
        <v>46038</v>
      </c>
      <c r="E644" s="1" t="n">
        <v>46222</v>
      </c>
      <c r="F644" t="inlineStr">
        <is>
          <t>GÄVLEBORGS LÄN</t>
        </is>
      </c>
      <c r="G644" t="inlineStr">
        <is>
          <t>OVANÅKER</t>
        </is>
      </c>
      <c r="I644" t="n">
        <v>2.3</v>
      </c>
      <c r="J644" t="n">
        <v>0</v>
      </c>
      <c r="K644" t="n">
        <v>0</v>
      </c>
      <c r="L644" t="n">
        <v>0</v>
      </c>
      <c r="M644" t="n">
        <v>0</v>
      </c>
      <c r="N644" t="n">
        <v>0</v>
      </c>
      <c r="O644" t="n">
        <v>0</v>
      </c>
      <c r="P644" t="n">
        <v>0</v>
      </c>
      <c r="Q644" t="n">
        <v>0</v>
      </c>
      <c r="R644" t="n">
        <v>0</v>
      </c>
      <c r="S644" t="n">
        <v>0</v>
      </c>
      <c r="T644" t="n">
        <v>0</v>
      </c>
      <c r="U644" s="2" t="inlineStr"/>
    </row>
    <row r="645" ht="15" customHeight="1">
      <c r="A645" t="inlineStr">
        <is>
          <t>A 2445-2026</t>
        </is>
      </c>
      <c r="B645" t="inlineStr">
        <is>
          <t>avverkningsanmälan</t>
        </is>
      </c>
      <c r="C645" t="inlineStr">
        <is>
          <t>Föryngringsavverkning</t>
        </is>
      </c>
      <c r="D645" s="1" t="n">
        <v>46037</v>
      </c>
      <c r="E645" s="1" t="n">
        <v>46222</v>
      </c>
      <c r="F645" t="inlineStr">
        <is>
          <t>GÄVLEBORGS LÄN</t>
        </is>
      </c>
      <c r="G645" t="inlineStr">
        <is>
          <t>OVANÅKER</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2446-2026</t>
        </is>
      </c>
      <c r="B646" t="inlineStr">
        <is>
          <t>avverkningsanmälan</t>
        </is>
      </c>
      <c r="C646" t="inlineStr">
        <is>
          <t>Föryngringsavverkning</t>
        </is>
      </c>
      <c r="D646" s="1" t="n">
        <v>46037</v>
      </c>
      <c r="E646" s="1" t="n">
        <v>46222</v>
      </c>
      <c r="F646" t="inlineStr">
        <is>
          <t>GÄVLEBORGS LÄN</t>
        </is>
      </c>
      <c r="G646" t="inlineStr">
        <is>
          <t>OVANÅKER</t>
        </is>
      </c>
      <c r="I646" t="n">
        <v>2.2</v>
      </c>
      <c r="J646" t="n">
        <v>0</v>
      </c>
      <c r="K646" t="n">
        <v>0</v>
      </c>
      <c r="L646" t="n">
        <v>0</v>
      </c>
      <c r="M646" t="n">
        <v>0</v>
      </c>
      <c r="N646" t="n">
        <v>0</v>
      </c>
      <c r="O646" t="n">
        <v>0</v>
      </c>
      <c r="P646" t="n">
        <v>0</v>
      </c>
      <c r="Q646" t="n">
        <v>0</v>
      </c>
      <c r="R646" t="n">
        <v>0</v>
      </c>
      <c r="S646" t="n">
        <v>0</v>
      </c>
      <c r="T646" t="n">
        <v>0</v>
      </c>
      <c r="U646" s="2" t="inlineStr"/>
    </row>
    <row r="647" ht="15" customHeight="1">
      <c r="A647" t="inlineStr">
        <is>
          <t>A 2855-2026</t>
        </is>
      </c>
      <c r="B647" t="inlineStr">
        <is>
          <t>avverkningsanmälan</t>
        </is>
      </c>
      <c r="C647" t="inlineStr">
        <is>
          <t>Föryngringsavverkning</t>
        </is>
      </c>
      <c r="D647" s="1" t="n">
        <v>46038</v>
      </c>
      <c r="E647" s="1" t="n">
        <v>46222</v>
      </c>
      <c r="F647" t="inlineStr">
        <is>
          <t>GÄVLEBORGS LÄN</t>
        </is>
      </c>
      <c r="G647" t="inlineStr">
        <is>
          <t>OVANÅKER</t>
        </is>
      </c>
      <c r="I647" t="n">
        <v>6</v>
      </c>
      <c r="J647" t="n">
        <v>0</v>
      </c>
      <c r="K647" t="n">
        <v>0</v>
      </c>
      <c r="L647" t="n">
        <v>0</v>
      </c>
      <c r="M647" t="n">
        <v>0</v>
      </c>
      <c r="N647" t="n">
        <v>0</v>
      </c>
      <c r="O647" t="n">
        <v>0</v>
      </c>
      <c r="P647" t="n">
        <v>0</v>
      </c>
      <c r="Q647" t="n">
        <v>0</v>
      </c>
      <c r="R647" t="n">
        <v>0</v>
      </c>
      <c r="S647" t="n">
        <v>0</v>
      </c>
      <c r="T647" t="n">
        <v>0</v>
      </c>
      <c r="U647" s="2" t="inlineStr"/>
    </row>
    <row r="648" ht="15" customHeight="1">
      <c r="A648" t="inlineStr">
        <is>
          <t>A 2872-2026</t>
        </is>
      </c>
      <c r="B648" t="inlineStr">
        <is>
          <t>avverkningsanmälan</t>
        </is>
      </c>
      <c r="C648" t="inlineStr">
        <is>
          <t>Föryngringsavverkning</t>
        </is>
      </c>
      <c r="D648" s="1" t="n">
        <v>46038</v>
      </c>
      <c r="E648" s="1" t="n">
        <v>46222</v>
      </c>
      <c r="F648" t="inlineStr">
        <is>
          <t>GÄVLEBORGS LÄN</t>
        </is>
      </c>
      <c r="G648" t="inlineStr">
        <is>
          <t>OVANÅKER</t>
        </is>
      </c>
      <c r="I648" t="n">
        <v>2.7</v>
      </c>
      <c r="J648" t="n">
        <v>0</v>
      </c>
      <c r="K648" t="n">
        <v>0</v>
      </c>
      <c r="L648" t="n">
        <v>0</v>
      </c>
      <c r="M648" t="n">
        <v>0</v>
      </c>
      <c r="N648" t="n">
        <v>0</v>
      </c>
      <c r="O648" t="n">
        <v>0</v>
      </c>
      <c r="P648" t="n">
        <v>0</v>
      </c>
      <c r="Q648" t="n">
        <v>0</v>
      </c>
      <c r="R648" t="n">
        <v>0</v>
      </c>
      <c r="S648" t="n">
        <v>0</v>
      </c>
      <c r="T648" t="n">
        <v>0</v>
      </c>
      <c r="U648" s="2" t="inlineStr"/>
    </row>
    <row r="649" ht="15" customHeight="1">
      <c r="A649" t="inlineStr">
        <is>
          <t>A 2589-2026</t>
        </is>
      </c>
      <c r="B649" t="inlineStr">
        <is>
          <t>avverkningsanmälan</t>
        </is>
      </c>
      <c r="C649" t="inlineStr">
        <is>
          <t>Föryngringsavverkning</t>
        </is>
      </c>
      <c r="D649" s="1" t="n">
        <v>46037</v>
      </c>
      <c r="E649" s="1" t="n">
        <v>46222</v>
      </c>
      <c r="F649" t="inlineStr">
        <is>
          <t>GÄVLEBORGS LÄN</t>
        </is>
      </c>
      <c r="G649" t="inlineStr">
        <is>
          <t>OVANÅKER</t>
        </is>
      </c>
      <c r="I649" t="n">
        <v>5.6</v>
      </c>
      <c r="J649" t="n">
        <v>0</v>
      </c>
      <c r="K649" t="n">
        <v>0</v>
      </c>
      <c r="L649" t="n">
        <v>0</v>
      </c>
      <c r="M649" t="n">
        <v>0</v>
      </c>
      <c r="N649" t="n">
        <v>0</v>
      </c>
      <c r="O649" t="n">
        <v>0</v>
      </c>
      <c r="P649" t="n">
        <v>0</v>
      </c>
      <c r="Q649" t="n">
        <v>0</v>
      </c>
      <c r="R649" t="n">
        <v>0</v>
      </c>
      <c r="S649" t="n">
        <v>0</v>
      </c>
      <c r="T649" t="n">
        <v>0</v>
      </c>
      <c r="U649" s="2" t="inlineStr"/>
    </row>
    <row r="650" ht="15" customHeight="1">
      <c r="A650" t="inlineStr">
        <is>
          <t>A 2912-2026</t>
        </is>
      </c>
      <c r="B650" t="inlineStr">
        <is>
          <t>avverkningsanmälan</t>
        </is>
      </c>
      <c r="C650" t="inlineStr">
        <is>
          <t>Föryngringsavverkning</t>
        </is>
      </c>
      <c r="D650" s="1" t="n">
        <v>46038</v>
      </c>
      <c r="E650" s="1" t="n">
        <v>46222</v>
      </c>
      <c r="F650" t="inlineStr">
        <is>
          <t>GÄVLEBORGS LÄN</t>
        </is>
      </c>
      <c r="G650" t="inlineStr">
        <is>
          <t>OVANÅKER</t>
        </is>
      </c>
      <c r="I650" t="n">
        <v>1.2</v>
      </c>
      <c r="J650" t="n">
        <v>0</v>
      </c>
      <c r="K650" t="n">
        <v>0</v>
      </c>
      <c r="L650" t="n">
        <v>0</v>
      </c>
      <c r="M650" t="n">
        <v>0</v>
      </c>
      <c r="N650" t="n">
        <v>0</v>
      </c>
      <c r="O650" t="n">
        <v>0</v>
      </c>
      <c r="P650" t="n">
        <v>0</v>
      </c>
      <c r="Q650" t="n">
        <v>0</v>
      </c>
      <c r="R650" t="n">
        <v>0</v>
      </c>
      <c r="S650" t="n">
        <v>0</v>
      </c>
      <c r="T650" t="n">
        <v>0</v>
      </c>
      <c r="U650" s="2" t="inlineStr"/>
    </row>
    <row r="651" ht="15" customHeight="1">
      <c r="A651" t="inlineStr">
        <is>
          <t>A 16063-2026</t>
        </is>
      </c>
      <c r="B651" t="inlineStr">
        <is>
          <t>avverkningsanmälan</t>
        </is>
      </c>
      <c r="C651" t="inlineStr">
        <is>
          <t>Föryngringsavverkning</t>
        </is>
      </c>
      <c r="D651" s="1" t="n">
        <v>46108</v>
      </c>
      <c r="E651" s="1" t="n">
        <v>46222</v>
      </c>
      <c r="F651" t="inlineStr">
        <is>
          <t>GÄVLEBORGS LÄN</t>
        </is>
      </c>
      <c r="G651" t="inlineStr">
        <is>
          <t>OVANÅKER</t>
        </is>
      </c>
      <c r="H651" t="inlineStr">
        <is>
          <t>Bergvik skog öst AB</t>
        </is>
      </c>
      <c r="I651" t="n">
        <v>2.2</v>
      </c>
      <c r="J651" t="n">
        <v>0</v>
      </c>
      <c r="K651" t="n">
        <v>0</v>
      </c>
      <c r="L651" t="n">
        <v>0</v>
      </c>
      <c r="M651" t="n">
        <v>0</v>
      </c>
      <c r="N651" t="n">
        <v>0</v>
      </c>
      <c r="O651" t="n">
        <v>0</v>
      </c>
      <c r="P651" t="n">
        <v>0</v>
      </c>
      <c r="Q651" t="n">
        <v>0</v>
      </c>
      <c r="R651" t="n">
        <v>0</v>
      </c>
      <c r="S651" t="n">
        <v>0</v>
      </c>
      <c r="T651" t="n">
        <v>0</v>
      </c>
      <c r="U651" s="2" t="inlineStr"/>
    </row>
    <row r="652" ht="15" customHeight="1">
      <c r="A652" t="inlineStr">
        <is>
          <t>A 16065-2026</t>
        </is>
      </c>
      <c r="B652" t="inlineStr">
        <is>
          <t>avverkningsanmälan</t>
        </is>
      </c>
      <c r="C652" t="inlineStr">
        <is>
          <t>Föryngringsavverkning</t>
        </is>
      </c>
      <c r="D652" s="1" t="n">
        <v>46108</v>
      </c>
      <c r="E652" s="1" t="n">
        <v>46222</v>
      </c>
      <c r="F652" t="inlineStr">
        <is>
          <t>GÄVLEBORGS LÄN</t>
        </is>
      </c>
      <c r="G652" t="inlineStr">
        <is>
          <t>OVANÅKER</t>
        </is>
      </c>
      <c r="H652" t="inlineStr">
        <is>
          <t>Bergvik skog öst AB</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16005-2026</t>
        </is>
      </c>
      <c r="B653" t="inlineStr">
        <is>
          <t>avverkningsanmälan</t>
        </is>
      </c>
      <c r="C653" t="inlineStr">
        <is>
          <t>Föryngringsavverkning</t>
        </is>
      </c>
      <c r="D653" s="1" t="n">
        <v>46108</v>
      </c>
      <c r="E653" s="1" t="n">
        <v>46222</v>
      </c>
      <c r="F653" t="inlineStr">
        <is>
          <t>GÄVLEBORGS LÄN</t>
        </is>
      </c>
      <c r="G653" t="inlineStr">
        <is>
          <t>OVANÅKER</t>
        </is>
      </c>
      <c r="I653" t="n">
        <v>3.1</v>
      </c>
      <c r="J653" t="n">
        <v>0</v>
      </c>
      <c r="K653" t="n">
        <v>0</v>
      </c>
      <c r="L653" t="n">
        <v>0</v>
      </c>
      <c r="M653" t="n">
        <v>0</v>
      </c>
      <c r="N653" t="n">
        <v>0</v>
      </c>
      <c r="O653" t="n">
        <v>0</v>
      </c>
      <c r="P653" t="n">
        <v>0</v>
      </c>
      <c r="Q653" t="n">
        <v>0</v>
      </c>
      <c r="R653" t="n">
        <v>0</v>
      </c>
      <c r="S653" t="n">
        <v>0</v>
      </c>
      <c r="T653" t="n">
        <v>0</v>
      </c>
      <c r="U653" s="2" t="inlineStr"/>
    </row>
    <row r="654" ht="15" customHeight="1">
      <c r="A654" t="inlineStr">
        <is>
          <t>A 15962-2026</t>
        </is>
      </c>
      <c r="B654" t="inlineStr">
        <is>
          <t>avverkningsanmälan</t>
        </is>
      </c>
      <c r="C654" t="inlineStr">
        <is>
          <t>Föryngringsavverkning</t>
        </is>
      </c>
      <c r="D654" s="1" t="n">
        <v>46108</v>
      </c>
      <c r="E654" s="1" t="n">
        <v>46222</v>
      </c>
      <c r="F654" t="inlineStr">
        <is>
          <t>GÄVLEBORGS LÄN</t>
        </is>
      </c>
      <c r="G654" t="inlineStr">
        <is>
          <t>OVANÅKER</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16545-2026</t>
        </is>
      </c>
      <c r="B655" t="inlineStr">
        <is>
          <t>avverkningsanmälan</t>
        </is>
      </c>
      <c r="C655" t="inlineStr">
        <is>
          <t>Föryngringsavverkning</t>
        </is>
      </c>
      <c r="D655" s="1" t="n">
        <v>46112</v>
      </c>
      <c r="E655" s="1" t="n">
        <v>46222</v>
      </c>
      <c r="F655" t="inlineStr">
        <is>
          <t>GÄVLEBORGS LÄN</t>
        </is>
      </c>
      <c r="G655" t="inlineStr">
        <is>
          <t>OVANÅKER</t>
        </is>
      </c>
      <c r="I655" t="n">
        <v>4.4</v>
      </c>
      <c r="J655" t="n">
        <v>0</v>
      </c>
      <c r="K655" t="n">
        <v>0</v>
      </c>
      <c r="L655" t="n">
        <v>0</v>
      </c>
      <c r="M655" t="n">
        <v>0</v>
      </c>
      <c r="N655" t="n">
        <v>0</v>
      </c>
      <c r="O655" t="n">
        <v>0</v>
      </c>
      <c r="P655" t="n">
        <v>0</v>
      </c>
      <c r="Q655" t="n">
        <v>0</v>
      </c>
      <c r="R655" t="n">
        <v>0</v>
      </c>
      <c r="S655" t="n">
        <v>0</v>
      </c>
      <c r="T655" t="n">
        <v>0</v>
      </c>
      <c r="U655" s="2" t="inlineStr"/>
    </row>
    <row r="656" ht="15" customHeight="1">
      <c r="A656" t="inlineStr">
        <is>
          <t>A 16471-2026</t>
        </is>
      </c>
      <c r="B656" t="inlineStr">
        <is>
          <t>avverkningsanmälan</t>
        </is>
      </c>
      <c r="C656" t="inlineStr">
        <is>
          <t>Föryngringsavverkning</t>
        </is>
      </c>
      <c r="D656" s="1" t="n">
        <v>46112</v>
      </c>
      <c r="E656" s="1" t="n">
        <v>46222</v>
      </c>
      <c r="F656" t="inlineStr">
        <is>
          <t>GÄVLEBORGS LÄN</t>
        </is>
      </c>
      <c r="G656" t="inlineStr">
        <is>
          <t>OVANÅKER</t>
        </is>
      </c>
      <c r="I656" t="n">
        <v>3.7</v>
      </c>
      <c r="J656" t="n">
        <v>0</v>
      </c>
      <c r="K656" t="n">
        <v>0</v>
      </c>
      <c r="L656" t="n">
        <v>0</v>
      </c>
      <c r="M656" t="n">
        <v>0</v>
      </c>
      <c r="N656" t="n">
        <v>0</v>
      </c>
      <c r="O656" t="n">
        <v>0</v>
      </c>
      <c r="P656" t="n">
        <v>0</v>
      </c>
      <c r="Q656" t="n">
        <v>0</v>
      </c>
      <c r="R656" t="n">
        <v>0</v>
      </c>
      <c r="S656" t="n">
        <v>0</v>
      </c>
      <c r="T656" t="n">
        <v>0</v>
      </c>
      <c r="U656" s="2" t="inlineStr"/>
    </row>
    <row r="657" ht="15" customHeight="1">
      <c r="A657" t="inlineStr">
        <is>
          <t>A 16767-2026</t>
        </is>
      </c>
      <c r="B657" t="inlineStr">
        <is>
          <t>avverkningsanmälan</t>
        </is>
      </c>
      <c r="C657" t="inlineStr">
        <is>
          <t>Föryngringsavverkning</t>
        </is>
      </c>
      <c r="D657" s="1" t="n">
        <v>46113</v>
      </c>
      <c r="E657" s="1" t="n">
        <v>46222</v>
      </c>
      <c r="F657" t="inlineStr">
        <is>
          <t>GÄVLEBORGS LÄN</t>
        </is>
      </c>
      <c r="G657" t="inlineStr">
        <is>
          <t>OVANÅKER</t>
        </is>
      </c>
      <c r="H657" t="inlineStr">
        <is>
          <t>Bergvik skog öst AB</t>
        </is>
      </c>
      <c r="I657" t="n">
        <v>0.6</v>
      </c>
      <c r="J657" t="n">
        <v>0</v>
      </c>
      <c r="K657" t="n">
        <v>0</v>
      </c>
      <c r="L657" t="n">
        <v>0</v>
      </c>
      <c r="M657" t="n">
        <v>0</v>
      </c>
      <c r="N657" t="n">
        <v>0</v>
      </c>
      <c r="O657" t="n">
        <v>0</v>
      </c>
      <c r="P657" t="n">
        <v>0</v>
      </c>
      <c r="Q657" t="n">
        <v>0</v>
      </c>
      <c r="R657" t="n">
        <v>0</v>
      </c>
      <c r="S657" t="n">
        <v>0</v>
      </c>
      <c r="T657" t="n">
        <v>0</v>
      </c>
      <c r="U657" s="2" t="inlineStr"/>
    </row>
    <row r="658" ht="15" customHeight="1">
      <c r="A658" t="inlineStr">
        <is>
          <t>A 11055-2026</t>
        </is>
      </c>
      <c r="B658" t="inlineStr">
        <is>
          <t>avverkningsanmälan</t>
        </is>
      </c>
      <c r="C658" t="inlineStr">
        <is>
          <t>Föryngringsavverkning</t>
        </is>
      </c>
      <c r="D658" s="1" t="n">
        <v>46079</v>
      </c>
      <c r="E658" s="1" t="n">
        <v>46222</v>
      </c>
      <c r="F658" t="inlineStr">
        <is>
          <t>GÄVLEBORGS LÄN</t>
        </is>
      </c>
      <c r="G658" t="inlineStr">
        <is>
          <t>OVANÅKER</t>
        </is>
      </c>
      <c r="I658" t="n">
        <v>3</v>
      </c>
      <c r="J658" t="n">
        <v>0</v>
      </c>
      <c r="K658" t="n">
        <v>0</v>
      </c>
      <c r="L658" t="n">
        <v>0</v>
      </c>
      <c r="M658" t="n">
        <v>0</v>
      </c>
      <c r="N658" t="n">
        <v>0</v>
      </c>
      <c r="O658" t="n">
        <v>0</v>
      </c>
      <c r="P658" t="n">
        <v>0</v>
      </c>
      <c r="Q658" t="n">
        <v>0</v>
      </c>
      <c r="R658" t="n">
        <v>0</v>
      </c>
      <c r="S658" t="n">
        <v>0</v>
      </c>
      <c r="T658" t="n">
        <v>0</v>
      </c>
      <c r="U658" s="2" t="inlineStr"/>
    </row>
    <row r="659" ht="15" customHeight="1">
      <c r="A659" t="inlineStr">
        <is>
          <t>A 17015-2026</t>
        </is>
      </c>
      <c r="B659" t="inlineStr">
        <is>
          <t>avverkningsanmälan</t>
        </is>
      </c>
      <c r="C659" t="inlineStr">
        <is>
          <t>Föryngringsavverkning</t>
        </is>
      </c>
      <c r="D659" s="1" t="n">
        <v>46114</v>
      </c>
      <c r="E659" s="1" t="n">
        <v>46222</v>
      </c>
      <c r="F659" t="inlineStr">
        <is>
          <t>GÄVLEBORGS LÄN</t>
        </is>
      </c>
      <c r="G659" t="inlineStr">
        <is>
          <t>OVANÅKER</t>
        </is>
      </c>
      <c r="I659" t="n">
        <v>1.5</v>
      </c>
      <c r="J659" t="n">
        <v>0</v>
      </c>
      <c r="K659" t="n">
        <v>0</v>
      </c>
      <c r="L659" t="n">
        <v>0</v>
      </c>
      <c r="M659" t="n">
        <v>0</v>
      </c>
      <c r="N659" t="n">
        <v>0</v>
      </c>
      <c r="O659" t="n">
        <v>0</v>
      </c>
      <c r="P659" t="n">
        <v>0</v>
      </c>
      <c r="Q659" t="n">
        <v>0</v>
      </c>
      <c r="R659" t="n">
        <v>0</v>
      </c>
      <c r="S659" t="n">
        <v>0</v>
      </c>
      <c r="T659" t="n">
        <v>0</v>
      </c>
      <c r="U659" s="2" t="inlineStr"/>
    </row>
    <row r="660" ht="15" customHeight="1">
      <c r="A660" t="inlineStr">
        <is>
          <t>A 17017-2026</t>
        </is>
      </c>
      <c r="B660" t="inlineStr">
        <is>
          <t>avverkningsanmälan</t>
        </is>
      </c>
      <c r="C660" t="inlineStr">
        <is>
          <t>Föryngringsavverkning</t>
        </is>
      </c>
      <c r="D660" s="1" t="n">
        <v>46114</v>
      </c>
      <c r="E660" s="1" t="n">
        <v>46222</v>
      </c>
      <c r="F660" t="inlineStr">
        <is>
          <t>GÄVLEBORGS LÄN</t>
        </is>
      </c>
      <c r="G660" t="inlineStr">
        <is>
          <t>OVANÅKER</t>
        </is>
      </c>
      <c r="I660" t="n">
        <v>0.6</v>
      </c>
      <c r="J660" t="n">
        <v>0</v>
      </c>
      <c r="K660" t="n">
        <v>0</v>
      </c>
      <c r="L660" t="n">
        <v>0</v>
      </c>
      <c r="M660" t="n">
        <v>0</v>
      </c>
      <c r="N660" t="n">
        <v>0</v>
      </c>
      <c r="O660" t="n">
        <v>0</v>
      </c>
      <c r="P660" t="n">
        <v>0</v>
      </c>
      <c r="Q660" t="n">
        <v>0</v>
      </c>
      <c r="R660" t="n">
        <v>0</v>
      </c>
      <c r="S660" t="n">
        <v>0</v>
      </c>
      <c r="T660" t="n">
        <v>0</v>
      </c>
      <c r="U660" s="2" t="inlineStr"/>
    </row>
    <row r="661" ht="15" customHeight="1">
      <c r="A661" t="inlineStr">
        <is>
          <t>A 17018-2026</t>
        </is>
      </c>
      <c r="B661" t="inlineStr">
        <is>
          <t>avverkningsanmälan</t>
        </is>
      </c>
      <c r="C661" t="inlineStr">
        <is>
          <t>Föryngringsavverkning</t>
        </is>
      </c>
      <c r="D661" s="1" t="n">
        <v>46114</v>
      </c>
      <c r="E661" s="1" t="n">
        <v>46222</v>
      </c>
      <c r="F661" t="inlineStr">
        <is>
          <t>GÄVLEBORGS LÄN</t>
        </is>
      </c>
      <c r="G661" t="inlineStr">
        <is>
          <t>OVANÅKER</t>
        </is>
      </c>
      <c r="I661" t="n">
        <v>0.5</v>
      </c>
      <c r="J661" t="n">
        <v>0</v>
      </c>
      <c r="K661" t="n">
        <v>0</v>
      </c>
      <c r="L661" t="n">
        <v>0</v>
      </c>
      <c r="M661" t="n">
        <v>0</v>
      </c>
      <c r="N661" t="n">
        <v>0</v>
      </c>
      <c r="O661" t="n">
        <v>0</v>
      </c>
      <c r="P661" t="n">
        <v>0</v>
      </c>
      <c r="Q661" t="n">
        <v>0</v>
      </c>
      <c r="R661" t="n">
        <v>0</v>
      </c>
      <c r="S661" t="n">
        <v>0</v>
      </c>
      <c r="T661" t="n">
        <v>0</v>
      </c>
      <c r="U661" s="2" t="inlineStr"/>
    </row>
    <row r="662" ht="15" customHeight="1">
      <c r="A662" t="inlineStr">
        <is>
          <t>A 17023-2026</t>
        </is>
      </c>
      <c r="B662" t="inlineStr">
        <is>
          <t>avverkningsanmälan</t>
        </is>
      </c>
      <c r="C662" t="inlineStr">
        <is>
          <t>Föryngringsavverkning</t>
        </is>
      </c>
      <c r="D662" s="1" t="n">
        <v>46114</v>
      </c>
      <c r="E662" s="1" t="n">
        <v>46222</v>
      </c>
      <c r="F662" t="inlineStr">
        <is>
          <t>GÄVLEBORGS LÄN</t>
        </is>
      </c>
      <c r="G662" t="inlineStr">
        <is>
          <t>OVANÅKER</t>
        </is>
      </c>
      <c r="I662" t="n">
        <v>1.7</v>
      </c>
      <c r="J662" t="n">
        <v>0</v>
      </c>
      <c r="K662" t="n">
        <v>0</v>
      </c>
      <c r="L662" t="n">
        <v>0</v>
      </c>
      <c r="M662" t="n">
        <v>0</v>
      </c>
      <c r="N662" t="n">
        <v>0</v>
      </c>
      <c r="O662" t="n">
        <v>0</v>
      </c>
      <c r="P662" t="n">
        <v>0</v>
      </c>
      <c r="Q662" t="n">
        <v>0</v>
      </c>
      <c r="R662" t="n">
        <v>0</v>
      </c>
      <c r="S662" t="n">
        <v>0</v>
      </c>
      <c r="T662" t="n">
        <v>0</v>
      </c>
      <c r="U662" s="2" t="inlineStr"/>
    </row>
    <row r="663" ht="15" customHeight="1">
      <c r="A663" t="inlineStr">
        <is>
          <t>A 24134-2024</t>
        </is>
      </c>
      <c r="B663" t="inlineStr">
        <is>
          <t>avverkningsanmälan</t>
        </is>
      </c>
      <c r="C663" t="inlineStr">
        <is>
          <t>Föryngringsavverkning</t>
        </is>
      </c>
      <c r="D663" s="1" t="n">
        <v>45456</v>
      </c>
      <c r="E663" s="1" t="n">
        <v>46222</v>
      </c>
      <c r="F663" t="inlineStr">
        <is>
          <t>GÄVLEBORGS LÄN</t>
        </is>
      </c>
      <c r="G663" t="inlineStr">
        <is>
          <t>OVANÅKER</t>
        </is>
      </c>
      <c r="H663" t="inlineStr">
        <is>
          <t>Bergvik skog väst AB</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24137-2024</t>
        </is>
      </c>
      <c r="B664" t="inlineStr">
        <is>
          <t>avverkningsanmälan</t>
        </is>
      </c>
      <c r="C664" t="inlineStr">
        <is>
          <t>Föryngringsavverkning</t>
        </is>
      </c>
      <c r="D664" s="1" t="n">
        <v>45456</v>
      </c>
      <c r="E664" s="1" t="n">
        <v>46222</v>
      </c>
      <c r="F664" t="inlineStr">
        <is>
          <t>GÄVLEBORGS LÄN</t>
        </is>
      </c>
      <c r="G664" t="inlineStr">
        <is>
          <t>OVANÅKER</t>
        </is>
      </c>
      <c r="H664" t="inlineStr">
        <is>
          <t>Bergvik skog väst AB</t>
        </is>
      </c>
      <c r="I664" t="n">
        <v>1.5</v>
      </c>
      <c r="J664" t="n">
        <v>0</v>
      </c>
      <c r="K664" t="n">
        <v>0</v>
      </c>
      <c r="L664" t="n">
        <v>0</v>
      </c>
      <c r="M664" t="n">
        <v>0</v>
      </c>
      <c r="N664" t="n">
        <v>0</v>
      </c>
      <c r="O664" t="n">
        <v>0</v>
      </c>
      <c r="P664" t="n">
        <v>0</v>
      </c>
      <c r="Q664" t="n">
        <v>0</v>
      </c>
      <c r="R664" t="n">
        <v>0</v>
      </c>
      <c r="S664" t="n">
        <v>0</v>
      </c>
      <c r="T664" t="n">
        <v>0</v>
      </c>
      <c r="U664" s="2" t="inlineStr"/>
    </row>
    <row r="665" ht="15" customHeight="1">
      <c r="A665" t="inlineStr">
        <is>
          <t>A 16978-2026</t>
        </is>
      </c>
      <c r="B665" t="inlineStr">
        <is>
          <t>avverkningsanmälan</t>
        </is>
      </c>
      <c r="C665" t="inlineStr">
        <is>
          <t>Föryngringsavverkning</t>
        </is>
      </c>
      <c r="D665" s="1" t="n">
        <v>46114</v>
      </c>
      <c r="E665" s="1" t="n">
        <v>46222</v>
      </c>
      <c r="F665" t="inlineStr">
        <is>
          <t>GÄVLEBORGS LÄN</t>
        </is>
      </c>
      <c r="G665" t="inlineStr">
        <is>
          <t>OVANÅKER</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17380-2026</t>
        </is>
      </c>
      <c r="B666" t="inlineStr">
        <is>
          <t>avverkningsanmälan</t>
        </is>
      </c>
      <c r="C666" t="inlineStr">
        <is>
          <t>Föryngringsavverkning</t>
        </is>
      </c>
      <c r="D666" s="1" t="n">
        <v>46119</v>
      </c>
      <c r="E666" s="1" t="n">
        <v>46222</v>
      </c>
      <c r="F666" t="inlineStr">
        <is>
          <t>GÄVLEBORGS LÄN</t>
        </is>
      </c>
      <c r="G666" t="inlineStr">
        <is>
          <t>OVANÅKER</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19172-2024</t>
        </is>
      </c>
      <c r="B667" t="inlineStr">
        <is>
          <t>avverkningsanmälan</t>
        </is>
      </c>
      <c r="C667" t="inlineStr">
        <is>
          <t>Föryngringsavverkning</t>
        </is>
      </c>
      <c r="D667" s="1" t="n">
        <v>45428</v>
      </c>
      <c r="E667" s="1" t="n">
        <v>46222</v>
      </c>
      <c r="F667" t="inlineStr">
        <is>
          <t>GÄVLEBORGS LÄN</t>
        </is>
      </c>
      <c r="G667" t="inlineStr">
        <is>
          <t>OVANÅKER</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10990-2026</t>
        </is>
      </c>
      <c r="B668" t="inlineStr">
        <is>
          <t>avverkningsanmälan</t>
        </is>
      </c>
      <c r="C668" t="inlineStr">
        <is>
          <t>Föryngringsavverkning</t>
        </is>
      </c>
      <c r="D668" s="1" t="n">
        <v>46079</v>
      </c>
      <c r="E668" s="1" t="n">
        <v>46222</v>
      </c>
      <c r="F668" t="inlineStr">
        <is>
          <t>GÄVLEBORGS LÄN</t>
        </is>
      </c>
      <c r="G668" t="inlineStr">
        <is>
          <t>OVANÅKER</t>
        </is>
      </c>
      <c r="H668" t="inlineStr">
        <is>
          <t>Bergvik skog öst AB</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17491-2026</t>
        </is>
      </c>
      <c r="B669" t="inlineStr">
        <is>
          <t>avverkningsanmälan</t>
        </is>
      </c>
      <c r="C669" t="inlineStr">
        <is>
          <t>Föryngringsavverkning</t>
        </is>
      </c>
      <c r="D669" s="1" t="n">
        <v>46120</v>
      </c>
      <c r="E669" s="1" t="n">
        <v>46222</v>
      </c>
      <c r="F669" t="inlineStr">
        <is>
          <t>GÄVLEBORGS LÄN</t>
        </is>
      </c>
      <c r="G669" t="inlineStr">
        <is>
          <t>OVANÅKER</t>
        </is>
      </c>
      <c r="I669" t="n">
        <v>0.9</v>
      </c>
      <c r="J669" t="n">
        <v>0</v>
      </c>
      <c r="K669" t="n">
        <v>0</v>
      </c>
      <c r="L669" t="n">
        <v>0</v>
      </c>
      <c r="M669" t="n">
        <v>0</v>
      </c>
      <c r="N669" t="n">
        <v>0</v>
      </c>
      <c r="O669" t="n">
        <v>0</v>
      </c>
      <c r="P669" t="n">
        <v>0</v>
      </c>
      <c r="Q669" t="n">
        <v>0</v>
      </c>
      <c r="R669" t="n">
        <v>0</v>
      </c>
      <c r="S669" t="n">
        <v>0</v>
      </c>
      <c r="T669" t="n">
        <v>0</v>
      </c>
      <c r="U669" s="2" t="inlineStr"/>
    </row>
    <row r="670" ht="15" customHeight="1">
      <c r="A670" t="inlineStr">
        <is>
          <t>A 17671-2026</t>
        </is>
      </c>
      <c r="B670" t="inlineStr">
        <is>
          <t>avverkningsanmälan</t>
        </is>
      </c>
      <c r="C670" t="inlineStr">
        <is>
          <t>Föryngringsavverkning</t>
        </is>
      </c>
      <c r="D670" s="1" t="n">
        <v>46121</v>
      </c>
      <c r="E670" s="1" t="n">
        <v>46222</v>
      </c>
      <c r="F670" t="inlineStr">
        <is>
          <t>GÄVLEBORGS LÄN</t>
        </is>
      </c>
      <c r="G670" t="inlineStr">
        <is>
          <t>OVANÅKER</t>
        </is>
      </c>
      <c r="H670" t="inlineStr">
        <is>
          <t>Bergvik skog väst AB</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17664-2026</t>
        </is>
      </c>
      <c r="B671" t="inlineStr">
        <is>
          <t>avverkningsanmälan</t>
        </is>
      </c>
      <c r="C671" t="inlineStr">
        <is>
          <t>Föryngringsavverkning</t>
        </is>
      </c>
      <c r="D671" s="1" t="n">
        <v>46121</v>
      </c>
      <c r="E671" s="1" t="n">
        <v>46222</v>
      </c>
      <c r="F671" t="inlineStr">
        <is>
          <t>GÄVLEBORGS LÄN</t>
        </is>
      </c>
      <c r="G671" t="inlineStr">
        <is>
          <t>OVANÅKER</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17683-2026</t>
        </is>
      </c>
      <c r="B672" t="inlineStr">
        <is>
          <t>avverkningsanmälan</t>
        </is>
      </c>
      <c r="C672" t="inlineStr">
        <is>
          <t>Föryngringsavverkning</t>
        </is>
      </c>
      <c r="D672" s="1" t="n">
        <v>46121</v>
      </c>
      <c r="E672" s="1" t="n">
        <v>46222</v>
      </c>
      <c r="F672" t="inlineStr">
        <is>
          <t>GÄVLEBORGS LÄN</t>
        </is>
      </c>
      <c r="G672" t="inlineStr">
        <is>
          <t>OVANÅKER</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17476-2026</t>
        </is>
      </c>
      <c r="B673" t="inlineStr">
        <is>
          <t>avverkningsanmälan</t>
        </is>
      </c>
      <c r="C673" t="inlineStr">
        <is>
          <t>Föryngringsavverkning</t>
        </is>
      </c>
      <c r="D673" s="1" t="n">
        <v>46120</v>
      </c>
      <c r="E673" s="1" t="n">
        <v>46222</v>
      </c>
      <c r="F673" t="inlineStr">
        <is>
          <t>GÄVLEBORGS LÄN</t>
        </is>
      </c>
      <c r="G673" t="inlineStr">
        <is>
          <t>OVANÅKER</t>
        </is>
      </c>
      <c r="I673" t="n">
        <v>3.3</v>
      </c>
      <c r="J673" t="n">
        <v>0</v>
      </c>
      <c r="K673" t="n">
        <v>0</v>
      </c>
      <c r="L673" t="n">
        <v>0</v>
      </c>
      <c r="M673" t="n">
        <v>0</v>
      </c>
      <c r="N673" t="n">
        <v>0</v>
      </c>
      <c r="O673" t="n">
        <v>0</v>
      </c>
      <c r="P673" t="n">
        <v>0</v>
      </c>
      <c r="Q673" t="n">
        <v>0</v>
      </c>
      <c r="R673" t="n">
        <v>0</v>
      </c>
      <c r="S673" t="n">
        <v>0</v>
      </c>
      <c r="T673" t="n">
        <v>0</v>
      </c>
      <c r="U673" s="2" t="inlineStr"/>
    </row>
    <row r="674" ht="15" customHeight="1">
      <c r="A674" t="inlineStr">
        <is>
          <t>A 8917-2026</t>
        </is>
      </c>
      <c r="B674" t="inlineStr">
        <is>
          <t>avverkningsanmälan</t>
        </is>
      </c>
      <c r="C674" t="inlineStr">
        <is>
          <t>Föryngringsavverkning</t>
        </is>
      </c>
      <c r="D674" s="1" t="n">
        <v>46069</v>
      </c>
      <c r="E674" s="1" t="n">
        <v>46222</v>
      </c>
      <c r="F674" t="inlineStr">
        <is>
          <t>GÄVLEBORGS LÄN</t>
        </is>
      </c>
      <c r="G674" t="inlineStr">
        <is>
          <t>OVANÅKER</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18006-2026</t>
        </is>
      </c>
      <c r="B675" t="inlineStr">
        <is>
          <t>avverkningsanmälan</t>
        </is>
      </c>
      <c r="C675" t="inlineStr">
        <is>
          <t>Föryngringsavverkning</t>
        </is>
      </c>
      <c r="D675" s="1" t="n">
        <v>46125</v>
      </c>
      <c r="E675" s="1" t="n">
        <v>46222</v>
      </c>
      <c r="F675" t="inlineStr">
        <is>
          <t>GÄVLEBORGS LÄN</t>
        </is>
      </c>
      <c r="G675" t="inlineStr">
        <is>
          <t>OVANÅKER</t>
        </is>
      </c>
      <c r="I675" t="n">
        <v>3.8</v>
      </c>
      <c r="J675" t="n">
        <v>0</v>
      </c>
      <c r="K675" t="n">
        <v>0</v>
      </c>
      <c r="L675" t="n">
        <v>0</v>
      </c>
      <c r="M675" t="n">
        <v>0</v>
      </c>
      <c r="N675" t="n">
        <v>0</v>
      </c>
      <c r="O675" t="n">
        <v>0</v>
      </c>
      <c r="P675" t="n">
        <v>0</v>
      </c>
      <c r="Q675" t="n">
        <v>0</v>
      </c>
      <c r="R675" t="n">
        <v>0</v>
      </c>
      <c r="S675" t="n">
        <v>0</v>
      </c>
      <c r="T675" t="n">
        <v>0</v>
      </c>
      <c r="U675" s="2" t="inlineStr"/>
    </row>
    <row r="676" ht="15" customHeight="1">
      <c r="A676" t="inlineStr">
        <is>
          <t>A 18134-2026</t>
        </is>
      </c>
      <c r="B676" t="inlineStr">
        <is>
          <t>avverkningsanmälan</t>
        </is>
      </c>
      <c r="C676" t="inlineStr">
        <is>
          <t>Föryngringsavverkning</t>
        </is>
      </c>
      <c r="D676" s="1" t="n">
        <v>46125</v>
      </c>
      <c r="E676" s="1" t="n">
        <v>46222</v>
      </c>
      <c r="F676" t="inlineStr">
        <is>
          <t>GÄVLEBORGS LÄN</t>
        </is>
      </c>
      <c r="G676" t="inlineStr">
        <is>
          <t>OVANÅKER</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41451-2023</t>
        </is>
      </c>
      <c r="B677" t="inlineStr">
        <is>
          <t>avverkningsanmälan</t>
        </is>
      </c>
      <c r="C677" t="inlineStr">
        <is>
          <t>Föryngringsavverkning</t>
        </is>
      </c>
      <c r="D677" s="1" t="n">
        <v>45175</v>
      </c>
      <c r="E677" s="1" t="n">
        <v>46222</v>
      </c>
      <c r="F677" t="inlineStr">
        <is>
          <t>GÄVLEBORGS LÄN</t>
        </is>
      </c>
      <c r="G677" t="inlineStr">
        <is>
          <t>OVANÅKER</t>
        </is>
      </c>
      <c r="I677" t="n">
        <v>2.2</v>
      </c>
      <c r="J677" t="n">
        <v>0</v>
      </c>
      <c r="K677" t="n">
        <v>0</v>
      </c>
      <c r="L677" t="n">
        <v>0</v>
      </c>
      <c r="M677" t="n">
        <v>0</v>
      </c>
      <c r="N677" t="n">
        <v>0</v>
      </c>
      <c r="O677" t="n">
        <v>0</v>
      </c>
      <c r="P677" t="n">
        <v>0</v>
      </c>
      <c r="Q677" t="n">
        <v>0</v>
      </c>
      <c r="R677" t="n">
        <v>0</v>
      </c>
      <c r="S677" t="n">
        <v>0</v>
      </c>
      <c r="T677" t="n">
        <v>0</v>
      </c>
      <c r="U677" s="2" t="inlineStr"/>
    </row>
    <row r="678" ht="15" customHeight="1">
      <c r="A678" t="inlineStr">
        <is>
          <t>A 17794-2026</t>
        </is>
      </c>
      <c r="B678" t="inlineStr">
        <is>
          <t>avverkningsanmälan</t>
        </is>
      </c>
      <c r="C678" t="inlineStr">
        <is>
          <t>Föryngringsavverkning</t>
        </is>
      </c>
      <c r="D678" s="1" t="n">
        <v>46122</v>
      </c>
      <c r="E678" s="1" t="n">
        <v>46222</v>
      </c>
      <c r="F678" t="inlineStr">
        <is>
          <t>GÄVLEBORGS LÄN</t>
        </is>
      </c>
      <c r="G678" t="inlineStr">
        <is>
          <t>OVANÅKER</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17861-2026</t>
        </is>
      </c>
      <c r="B679" t="inlineStr">
        <is>
          <t>avverkningsanmälan</t>
        </is>
      </c>
      <c r="C679" t="inlineStr">
        <is>
          <t>Föryngringsavverkning</t>
        </is>
      </c>
      <c r="D679" s="1" t="n">
        <v>46122</v>
      </c>
      <c r="E679" s="1" t="n">
        <v>46222</v>
      </c>
      <c r="F679" t="inlineStr">
        <is>
          <t>GÄVLEBORGS LÄN</t>
        </is>
      </c>
      <c r="G679" t="inlineStr">
        <is>
          <t>OVANÅKER</t>
        </is>
      </c>
      <c r="I679" t="n">
        <v>2.7</v>
      </c>
      <c r="J679" t="n">
        <v>0</v>
      </c>
      <c r="K679" t="n">
        <v>0</v>
      </c>
      <c r="L679" t="n">
        <v>0</v>
      </c>
      <c r="M679" t="n">
        <v>0</v>
      </c>
      <c r="N679" t="n">
        <v>0</v>
      </c>
      <c r="O679" t="n">
        <v>0</v>
      </c>
      <c r="P679" t="n">
        <v>0</v>
      </c>
      <c r="Q679" t="n">
        <v>0</v>
      </c>
      <c r="R679" t="n">
        <v>0</v>
      </c>
      <c r="S679" t="n">
        <v>0</v>
      </c>
      <c r="T679" t="n">
        <v>0</v>
      </c>
      <c r="U679" s="2" t="inlineStr"/>
    </row>
    <row r="680" ht="15" customHeight="1">
      <c r="A680" t="inlineStr">
        <is>
          <t>A 48755-2024</t>
        </is>
      </c>
      <c r="B680" t="inlineStr">
        <is>
          <t>avverkningsanmälan</t>
        </is>
      </c>
      <c r="C680" t="inlineStr">
        <is>
          <t>Föryngringsavverkning</t>
        </is>
      </c>
      <c r="D680" s="1" t="n">
        <v>45593</v>
      </c>
      <c r="E680" s="1" t="n">
        <v>46222</v>
      </c>
      <c r="F680" t="inlineStr">
        <is>
          <t>GÄVLEBORGS LÄN</t>
        </is>
      </c>
      <c r="G680" t="inlineStr">
        <is>
          <t>OVANÅKER</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18500-2026</t>
        </is>
      </c>
      <c r="B681" t="inlineStr">
        <is>
          <t>avverkningsanmälan</t>
        </is>
      </c>
      <c r="C681" t="inlineStr">
        <is>
          <t>Föryngringsavverkning</t>
        </is>
      </c>
      <c r="D681" s="1" t="n">
        <v>46127</v>
      </c>
      <c r="E681" s="1" t="n">
        <v>46222</v>
      </c>
      <c r="F681" t="inlineStr">
        <is>
          <t>GÄVLEBORGS LÄN</t>
        </is>
      </c>
      <c r="G681" t="inlineStr">
        <is>
          <t>OVANÅKER</t>
        </is>
      </c>
      <c r="H681" t="inlineStr">
        <is>
          <t>Bergvik skog öst AB</t>
        </is>
      </c>
      <c r="I681" t="n">
        <v>6.2</v>
      </c>
      <c r="J681" t="n">
        <v>0</v>
      </c>
      <c r="K681" t="n">
        <v>0</v>
      </c>
      <c r="L681" t="n">
        <v>0</v>
      </c>
      <c r="M681" t="n">
        <v>0</v>
      </c>
      <c r="N681" t="n">
        <v>0</v>
      </c>
      <c r="O681" t="n">
        <v>0</v>
      </c>
      <c r="P681" t="n">
        <v>0</v>
      </c>
      <c r="Q681" t="n">
        <v>0</v>
      </c>
      <c r="R681" t="n">
        <v>0</v>
      </c>
      <c r="S681" t="n">
        <v>0</v>
      </c>
      <c r="T681" t="n">
        <v>0</v>
      </c>
      <c r="U681" s="2" t="inlineStr"/>
    </row>
    <row r="682" ht="15" customHeight="1">
      <c r="A682" t="inlineStr">
        <is>
          <t>A 18324-2026</t>
        </is>
      </c>
      <c r="B682" t="inlineStr">
        <is>
          <t>avverkningsanmälan</t>
        </is>
      </c>
      <c r="C682" t="inlineStr">
        <is>
          <t>Föryngringsavverkning</t>
        </is>
      </c>
      <c r="D682" s="1" t="n">
        <v>46126</v>
      </c>
      <c r="E682" s="1" t="n">
        <v>46222</v>
      </c>
      <c r="F682" t="inlineStr">
        <is>
          <t>GÄVLEBORGS LÄN</t>
        </is>
      </c>
      <c r="G682" t="inlineStr">
        <is>
          <t>OVANÅKER</t>
        </is>
      </c>
      <c r="I682" t="n">
        <v>1.4</v>
      </c>
      <c r="J682" t="n">
        <v>0</v>
      </c>
      <c r="K682" t="n">
        <v>0</v>
      </c>
      <c r="L682" t="n">
        <v>0</v>
      </c>
      <c r="M682" t="n">
        <v>0</v>
      </c>
      <c r="N682" t="n">
        <v>0</v>
      </c>
      <c r="O682" t="n">
        <v>0</v>
      </c>
      <c r="P682" t="n">
        <v>0</v>
      </c>
      <c r="Q682" t="n">
        <v>0</v>
      </c>
      <c r="R682" t="n">
        <v>0</v>
      </c>
      <c r="S682" t="n">
        <v>0</v>
      </c>
      <c r="T682" t="n">
        <v>0</v>
      </c>
      <c r="U682" s="2" t="inlineStr"/>
    </row>
    <row r="683" ht="15" customHeight="1">
      <c r="A683" t="inlineStr">
        <is>
          <t>A 18335-2026</t>
        </is>
      </c>
      <c r="B683" t="inlineStr">
        <is>
          <t>avverkningsanmälan</t>
        </is>
      </c>
      <c r="C683" t="inlineStr">
        <is>
          <t>Föryngringsavverkning</t>
        </is>
      </c>
      <c r="D683" s="1" t="n">
        <v>46126</v>
      </c>
      <c r="E683" s="1" t="n">
        <v>46222</v>
      </c>
      <c r="F683" t="inlineStr">
        <is>
          <t>GÄVLEBORGS LÄN</t>
        </is>
      </c>
      <c r="G683" t="inlineStr">
        <is>
          <t>OVANÅKER</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18252-2026</t>
        </is>
      </c>
      <c r="B684" t="inlineStr">
        <is>
          <t>avverkningsanmälan</t>
        </is>
      </c>
      <c r="C684" t="inlineStr">
        <is>
          <t>Föryngringsavverkning</t>
        </is>
      </c>
      <c r="D684" s="1" t="n">
        <v>46126</v>
      </c>
      <c r="E684" s="1" t="n">
        <v>46222</v>
      </c>
      <c r="F684" t="inlineStr">
        <is>
          <t>GÄVLEBORGS LÄN</t>
        </is>
      </c>
      <c r="G684" t="inlineStr">
        <is>
          <t>OVANÅKER</t>
        </is>
      </c>
      <c r="H684" t="inlineStr">
        <is>
          <t>Bergvik skog öst AB</t>
        </is>
      </c>
      <c r="I684" t="n">
        <v>0.5</v>
      </c>
      <c r="J684" t="n">
        <v>0</v>
      </c>
      <c r="K684" t="n">
        <v>0</v>
      </c>
      <c r="L684" t="n">
        <v>0</v>
      </c>
      <c r="M684" t="n">
        <v>0</v>
      </c>
      <c r="N684" t="n">
        <v>0</v>
      </c>
      <c r="O684" t="n">
        <v>0</v>
      </c>
      <c r="P684" t="n">
        <v>0</v>
      </c>
      <c r="Q684" t="n">
        <v>0</v>
      </c>
      <c r="R684" t="n">
        <v>0</v>
      </c>
      <c r="S684" t="n">
        <v>0</v>
      </c>
      <c r="T684" t="n">
        <v>0</v>
      </c>
      <c r="U684" s="2" t="inlineStr"/>
    </row>
    <row r="685" ht="15" customHeight="1">
      <c r="A685" t="inlineStr">
        <is>
          <t>A 10986-2026</t>
        </is>
      </c>
      <c r="B685" t="inlineStr">
        <is>
          <t>avverkningsanmälan</t>
        </is>
      </c>
      <c r="C685" t="inlineStr">
        <is>
          <t>Föryngringsavverkning</t>
        </is>
      </c>
      <c r="D685" s="1" t="n">
        <v>46079</v>
      </c>
      <c r="E685" s="1" t="n">
        <v>46222</v>
      </c>
      <c r="F685" t="inlineStr">
        <is>
          <t>GÄVLEBORGS LÄN</t>
        </is>
      </c>
      <c r="G685" t="inlineStr">
        <is>
          <t>OVANÅKER</t>
        </is>
      </c>
      <c r="H685" t="inlineStr">
        <is>
          <t>Bergvik skog öst AB</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56087-2024</t>
        </is>
      </c>
      <c r="B686" t="inlineStr">
        <is>
          <t>avverkningsanmälan</t>
        </is>
      </c>
      <c r="C686" t="inlineStr">
        <is>
          <t>Föryngringsavverkning</t>
        </is>
      </c>
      <c r="D686" s="1" t="n">
        <v>45624</v>
      </c>
      <c r="E686" s="1" t="n">
        <v>46222</v>
      </c>
      <c r="F686" t="inlineStr">
        <is>
          <t>GÄVLEBORGS LÄN</t>
        </is>
      </c>
      <c r="G686" t="inlineStr">
        <is>
          <t>OVANÅKER</t>
        </is>
      </c>
      <c r="I686" t="n">
        <v>5.4</v>
      </c>
      <c r="J686" t="n">
        <v>0</v>
      </c>
      <c r="K686" t="n">
        <v>0</v>
      </c>
      <c r="L686" t="n">
        <v>0</v>
      </c>
      <c r="M686" t="n">
        <v>0</v>
      </c>
      <c r="N686" t="n">
        <v>0</v>
      </c>
      <c r="O686" t="n">
        <v>0</v>
      </c>
      <c r="P686" t="n">
        <v>0</v>
      </c>
      <c r="Q686" t="n">
        <v>0</v>
      </c>
      <c r="R686" t="n">
        <v>0</v>
      </c>
      <c r="S686" t="n">
        <v>0</v>
      </c>
      <c r="T686" t="n">
        <v>0</v>
      </c>
      <c r="U686" s="2" t="inlineStr"/>
    </row>
    <row r="687" ht="15" customHeight="1">
      <c r="A687" t="inlineStr">
        <is>
          <t>A 33231-2023</t>
        </is>
      </c>
      <c r="B687" t="inlineStr">
        <is>
          <t>avverkningsanmälan</t>
        </is>
      </c>
      <c r="C687" t="inlineStr">
        <is>
          <t>Föryngringsavverkning</t>
        </is>
      </c>
      <c r="D687" s="1" t="n">
        <v>45127</v>
      </c>
      <c r="E687" s="1" t="n">
        <v>46222</v>
      </c>
      <c r="F687" t="inlineStr">
        <is>
          <t>GÄVLEBORGS LÄN</t>
        </is>
      </c>
      <c r="G687" t="inlineStr">
        <is>
          <t>OVANÅKER</t>
        </is>
      </c>
      <c r="H687" t="inlineStr">
        <is>
          <t>Bergvik skog öst AB</t>
        </is>
      </c>
      <c r="I687" t="n">
        <v>5.8</v>
      </c>
      <c r="J687" t="n">
        <v>0</v>
      </c>
      <c r="K687" t="n">
        <v>0</v>
      </c>
      <c r="L687" t="n">
        <v>0</v>
      </c>
      <c r="M687" t="n">
        <v>0</v>
      </c>
      <c r="N687" t="n">
        <v>0</v>
      </c>
      <c r="O687" t="n">
        <v>0</v>
      </c>
      <c r="P687" t="n">
        <v>0</v>
      </c>
      <c r="Q687" t="n">
        <v>0</v>
      </c>
      <c r="R687" t="n">
        <v>0</v>
      </c>
      <c r="S687" t="n">
        <v>0</v>
      </c>
      <c r="T687" t="n">
        <v>0</v>
      </c>
      <c r="U687" s="2" t="inlineStr"/>
    </row>
    <row r="688" ht="15" customHeight="1">
      <c r="A688" t="inlineStr">
        <is>
          <t>A 18487-2026</t>
        </is>
      </c>
      <c r="B688" t="inlineStr">
        <is>
          <t>avverkningsanmälan</t>
        </is>
      </c>
      <c r="C688" t="inlineStr">
        <is>
          <t>Föryngringsavverkning</t>
        </is>
      </c>
      <c r="D688" s="1" t="n">
        <v>46127</v>
      </c>
      <c r="E688" s="1" t="n">
        <v>46222</v>
      </c>
      <c r="F688" t="inlineStr">
        <is>
          <t>GÄVLEBORGS LÄN</t>
        </is>
      </c>
      <c r="G688" t="inlineStr">
        <is>
          <t>OVANÅKER</t>
        </is>
      </c>
      <c r="H688" t="inlineStr">
        <is>
          <t>Bergvik skog öst AB</t>
        </is>
      </c>
      <c r="I688" t="n">
        <v>7.8</v>
      </c>
      <c r="J688" t="n">
        <v>0</v>
      </c>
      <c r="K688" t="n">
        <v>0</v>
      </c>
      <c r="L688" t="n">
        <v>0</v>
      </c>
      <c r="M688" t="n">
        <v>0</v>
      </c>
      <c r="N688" t="n">
        <v>0</v>
      </c>
      <c r="O688" t="n">
        <v>0</v>
      </c>
      <c r="P688" t="n">
        <v>0</v>
      </c>
      <c r="Q688" t="n">
        <v>0</v>
      </c>
      <c r="R688" t="n">
        <v>0</v>
      </c>
      <c r="S688" t="n">
        <v>0</v>
      </c>
      <c r="T688" t="n">
        <v>0</v>
      </c>
      <c r="U688" s="2" t="inlineStr"/>
    </row>
    <row r="689" ht="15" customHeight="1">
      <c r="A689" t="inlineStr">
        <is>
          <t>A 18323-2026</t>
        </is>
      </c>
      <c r="B689" t="inlineStr">
        <is>
          <t>avverkningsanmälan</t>
        </is>
      </c>
      <c r="C689" t="inlineStr">
        <is>
          <t>Föryngringsavverkning</t>
        </is>
      </c>
      <c r="D689" s="1" t="n">
        <v>46126</v>
      </c>
      <c r="E689" s="1" t="n">
        <v>46222</v>
      </c>
      <c r="F689" t="inlineStr">
        <is>
          <t>GÄVLEBORGS LÄN</t>
        </is>
      </c>
      <c r="G689" t="inlineStr">
        <is>
          <t>OVANÅKER</t>
        </is>
      </c>
      <c r="I689" t="n">
        <v>3.7</v>
      </c>
      <c r="J689" t="n">
        <v>0</v>
      </c>
      <c r="K689" t="n">
        <v>0</v>
      </c>
      <c r="L689" t="n">
        <v>0</v>
      </c>
      <c r="M689" t="n">
        <v>0</v>
      </c>
      <c r="N689" t="n">
        <v>0</v>
      </c>
      <c r="O689" t="n">
        <v>0</v>
      </c>
      <c r="P689" t="n">
        <v>0</v>
      </c>
      <c r="Q689" t="n">
        <v>0</v>
      </c>
      <c r="R689" t="n">
        <v>0</v>
      </c>
      <c r="S689" t="n">
        <v>0</v>
      </c>
      <c r="T689" t="n">
        <v>0</v>
      </c>
      <c r="U689" s="2" t="inlineStr"/>
    </row>
    <row r="690" ht="15" customHeight="1">
      <c r="A690" t="inlineStr">
        <is>
          <t>A 11608-2026</t>
        </is>
      </c>
      <c r="B690" t="inlineStr">
        <is>
          <t>avverkningsanmälan</t>
        </is>
      </c>
      <c r="C690" t="inlineStr">
        <is>
          <t>Föryngringsavverkning</t>
        </is>
      </c>
      <c r="D690" s="1" t="n">
        <v>46084</v>
      </c>
      <c r="E690" s="1" t="n">
        <v>46222</v>
      </c>
      <c r="F690" t="inlineStr">
        <is>
          <t>GÄVLEBORGS LÄN</t>
        </is>
      </c>
      <c r="G690" t="inlineStr">
        <is>
          <t>OVANÅKER</t>
        </is>
      </c>
      <c r="H690" t="inlineStr">
        <is>
          <t>Bergvik skog öst AB</t>
        </is>
      </c>
      <c r="I690" t="n">
        <v>6.1</v>
      </c>
      <c r="J690" t="n">
        <v>0</v>
      </c>
      <c r="K690" t="n">
        <v>0</v>
      </c>
      <c r="L690" t="n">
        <v>0</v>
      </c>
      <c r="M690" t="n">
        <v>0</v>
      </c>
      <c r="N690" t="n">
        <v>0</v>
      </c>
      <c r="O690" t="n">
        <v>0</v>
      </c>
      <c r="P690" t="n">
        <v>0</v>
      </c>
      <c r="Q690" t="n">
        <v>0</v>
      </c>
      <c r="R690" t="n">
        <v>0</v>
      </c>
      <c r="S690" t="n">
        <v>0</v>
      </c>
      <c r="T690" t="n">
        <v>0</v>
      </c>
      <c r="U690" s="2" t="inlineStr"/>
    </row>
    <row r="691" ht="15" customHeight="1">
      <c r="A691" t="inlineStr">
        <is>
          <t>A 14240-2023</t>
        </is>
      </c>
      <c r="B691" t="inlineStr">
        <is>
          <t>avverkningsanmälan</t>
        </is>
      </c>
      <c r="C691" t="inlineStr">
        <is>
          <t>Föryngringsavverkning</t>
        </is>
      </c>
      <c r="D691" s="1" t="n">
        <v>45009</v>
      </c>
      <c r="E691" s="1" t="n">
        <v>46222</v>
      </c>
      <c r="F691" t="inlineStr">
        <is>
          <t>GÄVLEBORGS LÄN</t>
        </is>
      </c>
      <c r="G691" t="inlineStr">
        <is>
          <t>OVANÅKER</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11695-2026</t>
        </is>
      </c>
      <c r="B692" t="inlineStr">
        <is>
          <t>avverkningsanmälan</t>
        </is>
      </c>
      <c r="C692" t="inlineStr">
        <is>
          <t>Föryngringsavverkning</t>
        </is>
      </c>
      <c r="D692" s="1" t="n">
        <v>46084</v>
      </c>
      <c r="E692" s="1" t="n">
        <v>46222</v>
      </c>
      <c r="F692" t="inlineStr">
        <is>
          <t>GÄVLEBORGS LÄN</t>
        </is>
      </c>
      <c r="G692" t="inlineStr">
        <is>
          <t>OVANÅKER</t>
        </is>
      </c>
      <c r="H692" t="inlineStr">
        <is>
          <t>Bergvik skog öst AB</t>
        </is>
      </c>
      <c r="I692" t="n">
        <v>13.9</v>
      </c>
      <c r="J692" t="n">
        <v>0</v>
      </c>
      <c r="K692" t="n">
        <v>0</v>
      </c>
      <c r="L692" t="n">
        <v>0</v>
      </c>
      <c r="M692" t="n">
        <v>0</v>
      </c>
      <c r="N692" t="n">
        <v>0</v>
      </c>
      <c r="O692" t="n">
        <v>0</v>
      </c>
      <c r="P692" t="n">
        <v>0</v>
      </c>
      <c r="Q692" t="n">
        <v>0</v>
      </c>
      <c r="R692" t="n">
        <v>0</v>
      </c>
      <c r="S692" t="n">
        <v>0</v>
      </c>
      <c r="T692" t="n">
        <v>0</v>
      </c>
      <c r="U692" s="2" t="inlineStr"/>
    </row>
    <row r="693" ht="15" customHeight="1">
      <c r="A693" t="inlineStr">
        <is>
          <t>A 12073-2026</t>
        </is>
      </c>
      <c r="B693" t="inlineStr">
        <is>
          <t>avverkningsanmälan</t>
        </is>
      </c>
      <c r="C693" t="inlineStr">
        <is>
          <t>Föryngringsavverkning</t>
        </is>
      </c>
      <c r="D693" s="1" t="n">
        <v>46086</v>
      </c>
      <c r="E693" s="1" t="n">
        <v>46222</v>
      </c>
      <c r="F693" t="inlineStr">
        <is>
          <t>GÄVLEBORGS LÄN</t>
        </is>
      </c>
      <c r="G693" t="inlineStr">
        <is>
          <t>OVANÅKER</t>
        </is>
      </c>
      <c r="H693" t="inlineStr">
        <is>
          <t>Bergvik skog öst AB</t>
        </is>
      </c>
      <c r="I693" t="n">
        <v>6.1</v>
      </c>
      <c r="J693" t="n">
        <v>0</v>
      </c>
      <c r="K693" t="n">
        <v>0</v>
      </c>
      <c r="L693" t="n">
        <v>0</v>
      </c>
      <c r="M693" t="n">
        <v>0</v>
      </c>
      <c r="N693" t="n">
        <v>0</v>
      </c>
      <c r="O693" t="n">
        <v>0</v>
      </c>
      <c r="P693" t="n">
        <v>0</v>
      </c>
      <c r="Q693" t="n">
        <v>0</v>
      </c>
      <c r="R693" t="n">
        <v>0</v>
      </c>
      <c r="S693" t="n">
        <v>0</v>
      </c>
      <c r="T693" t="n">
        <v>0</v>
      </c>
      <c r="U693" s="2" t="inlineStr"/>
    </row>
    <row r="694" ht="15" customHeight="1">
      <c r="A694" t="inlineStr">
        <is>
          <t>A 18230-2026</t>
        </is>
      </c>
      <c r="B694" t="inlineStr">
        <is>
          <t>avverkningsanmälan</t>
        </is>
      </c>
      <c r="C694" t="inlineStr">
        <is>
          <t>Föryngringsavverkning</t>
        </is>
      </c>
      <c r="D694" s="1" t="n">
        <v>46126</v>
      </c>
      <c r="E694" s="1" t="n">
        <v>46222</v>
      </c>
      <c r="F694" t="inlineStr">
        <is>
          <t>GÄVLEBORGS LÄN</t>
        </is>
      </c>
      <c r="G694" t="inlineStr">
        <is>
          <t>OVANÅKER</t>
        </is>
      </c>
      <c r="I694" t="n">
        <v>1.8</v>
      </c>
      <c r="J694" t="n">
        <v>0</v>
      </c>
      <c r="K694" t="n">
        <v>0</v>
      </c>
      <c r="L694" t="n">
        <v>0</v>
      </c>
      <c r="M694" t="n">
        <v>0</v>
      </c>
      <c r="N694" t="n">
        <v>0</v>
      </c>
      <c r="O694" t="n">
        <v>0</v>
      </c>
      <c r="P694" t="n">
        <v>0</v>
      </c>
      <c r="Q694" t="n">
        <v>0</v>
      </c>
      <c r="R694" t="n">
        <v>0</v>
      </c>
      <c r="S694" t="n">
        <v>0</v>
      </c>
      <c r="T694" t="n">
        <v>0</v>
      </c>
      <c r="U694" s="2" t="inlineStr"/>
    </row>
    <row r="695" ht="15" customHeight="1">
      <c r="A695" t="inlineStr">
        <is>
          <t>A 18490-2026</t>
        </is>
      </c>
      <c r="B695" t="inlineStr">
        <is>
          <t>avverkningsanmälan</t>
        </is>
      </c>
      <c r="C695" t="inlineStr">
        <is>
          <t>Föryngringsavverkning</t>
        </is>
      </c>
      <c r="D695" s="1" t="n">
        <v>46127</v>
      </c>
      <c r="E695" s="1" t="n">
        <v>46222</v>
      </c>
      <c r="F695" t="inlineStr">
        <is>
          <t>GÄVLEBORGS LÄN</t>
        </is>
      </c>
      <c r="G695" t="inlineStr">
        <is>
          <t>OVANÅKER</t>
        </is>
      </c>
      <c r="H695" t="inlineStr">
        <is>
          <t>Bergvik skog öst AB</t>
        </is>
      </c>
      <c r="I695" t="n">
        <v>2.4</v>
      </c>
      <c r="J695" t="n">
        <v>0</v>
      </c>
      <c r="K695" t="n">
        <v>0</v>
      </c>
      <c r="L695" t="n">
        <v>0</v>
      </c>
      <c r="M695" t="n">
        <v>0</v>
      </c>
      <c r="N695" t="n">
        <v>0</v>
      </c>
      <c r="O695" t="n">
        <v>0</v>
      </c>
      <c r="P695" t="n">
        <v>0</v>
      </c>
      <c r="Q695" t="n">
        <v>0</v>
      </c>
      <c r="R695" t="n">
        <v>0</v>
      </c>
      <c r="S695" t="n">
        <v>0</v>
      </c>
      <c r="T695" t="n">
        <v>0</v>
      </c>
      <c r="U695" s="2" t="inlineStr"/>
    </row>
    <row r="696" ht="15" customHeight="1">
      <c r="A696" t="inlineStr">
        <is>
          <t>A 18726-2026</t>
        </is>
      </c>
      <c r="B696" t="inlineStr">
        <is>
          <t>avverkningsanmälan</t>
        </is>
      </c>
      <c r="C696" t="inlineStr">
        <is>
          <t>Föryngringsavverkning</t>
        </is>
      </c>
      <c r="D696" s="1" t="n">
        <v>46128</v>
      </c>
      <c r="E696" s="1" t="n">
        <v>46222</v>
      </c>
      <c r="F696" t="inlineStr">
        <is>
          <t>GÄVLEBORGS LÄN</t>
        </is>
      </c>
      <c r="G696" t="inlineStr">
        <is>
          <t>OVANÅKER</t>
        </is>
      </c>
      <c r="I696" t="n">
        <v>0.5</v>
      </c>
      <c r="J696" t="n">
        <v>0</v>
      </c>
      <c r="K696" t="n">
        <v>0</v>
      </c>
      <c r="L696" t="n">
        <v>0</v>
      </c>
      <c r="M696" t="n">
        <v>0</v>
      </c>
      <c r="N696" t="n">
        <v>0</v>
      </c>
      <c r="O696" t="n">
        <v>0</v>
      </c>
      <c r="P696" t="n">
        <v>0</v>
      </c>
      <c r="Q696" t="n">
        <v>0</v>
      </c>
      <c r="R696" t="n">
        <v>0</v>
      </c>
      <c r="S696" t="n">
        <v>0</v>
      </c>
      <c r="T696" t="n">
        <v>0</v>
      </c>
      <c r="U696" s="2" t="inlineStr"/>
    </row>
    <row r="697" ht="15" customHeight="1">
      <c r="A697" t="inlineStr">
        <is>
          <t>A 18738-2026</t>
        </is>
      </c>
      <c r="B697" t="inlineStr">
        <is>
          <t>avverkningsanmälan</t>
        </is>
      </c>
      <c r="C697" t="inlineStr">
        <is>
          <t>Föryngringsavverkning</t>
        </is>
      </c>
      <c r="D697" s="1" t="n">
        <v>46128</v>
      </c>
      <c r="E697" s="1" t="n">
        <v>46222</v>
      </c>
      <c r="F697" t="inlineStr">
        <is>
          <t>GÄVLEBORGS LÄN</t>
        </is>
      </c>
      <c r="G697" t="inlineStr">
        <is>
          <t>OVANÅKER</t>
        </is>
      </c>
      <c r="I697" t="n">
        <v>1.3</v>
      </c>
      <c r="J697" t="n">
        <v>0</v>
      </c>
      <c r="K697" t="n">
        <v>0</v>
      </c>
      <c r="L697" t="n">
        <v>0</v>
      </c>
      <c r="M697" t="n">
        <v>0</v>
      </c>
      <c r="N697" t="n">
        <v>0</v>
      </c>
      <c r="O697" t="n">
        <v>0</v>
      </c>
      <c r="P697" t="n">
        <v>0</v>
      </c>
      <c r="Q697" t="n">
        <v>0</v>
      </c>
      <c r="R697" t="n">
        <v>0</v>
      </c>
      <c r="S697" t="n">
        <v>0</v>
      </c>
      <c r="T697" t="n">
        <v>0</v>
      </c>
      <c r="U697" s="2" t="inlineStr"/>
    </row>
    <row r="698" ht="15" customHeight="1">
      <c r="A698" t="inlineStr">
        <is>
          <t>A 18801-2026</t>
        </is>
      </c>
      <c r="B698" t="inlineStr">
        <is>
          <t>avverkningsanmälan</t>
        </is>
      </c>
      <c r="C698" t="inlineStr">
        <is>
          <t>Föryngringsavverkning</t>
        </is>
      </c>
      <c r="D698" s="1" t="n">
        <v>46128</v>
      </c>
      <c r="E698" s="1" t="n">
        <v>46222</v>
      </c>
      <c r="F698" t="inlineStr">
        <is>
          <t>GÄVLEBORGS LÄN</t>
        </is>
      </c>
      <c r="G698" t="inlineStr">
        <is>
          <t>OVANÅKER</t>
        </is>
      </c>
      <c r="I698" t="n">
        <v>0.5</v>
      </c>
      <c r="J698" t="n">
        <v>0</v>
      </c>
      <c r="K698" t="n">
        <v>0</v>
      </c>
      <c r="L698" t="n">
        <v>0</v>
      </c>
      <c r="M698" t="n">
        <v>0</v>
      </c>
      <c r="N698" t="n">
        <v>0</v>
      </c>
      <c r="O698" t="n">
        <v>0</v>
      </c>
      <c r="P698" t="n">
        <v>0</v>
      </c>
      <c r="Q698" t="n">
        <v>0</v>
      </c>
      <c r="R698" t="n">
        <v>0</v>
      </c>
      <c r="S698" t="n">
        <v>0</v>
      </c>
      <c r="T698" t="n">
        <v>0</v>
      </c>
      <c r="U698" s="2" t="inlineStr"/>
    </row>
    <row r="699" ht="15" customHeight="1">
      <c r="A699" t="inlineStr">
        <is>
          <t>A 11482-2025</t>
        </is>
      </c>
      <c r="B699" t="inlineStr">
        <is>
          <t>avverkningsanmälan</t>
        </is>
      </c>
      <c r="C699" t="inlineStr">
        <is>
          <t>Föryngringsavverkning</t>
        </is>
      </c>
      <c r="D699" s="1" t="n">
        <v>45726</v>
      </c>
      <c r="E699" s="1" t="n">
        <v>46222</v>
      </c>
      <c r="F699" t="inlineStr">
        <is>
          <t>GÄVLEBORGS LÄN</t>
        </is>
      </c>
      <c r="G699" t="inlineStr">
        <is>
          <t>OVANÅKER</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16212-2026</t>
        </is>
      </c>
      <c r="B700" t="inlineStr">
        <is>
          <t>avverkningsanmälan</t>
        </is>
      </c>
      <c r="C700" t="inlineStr">
        <is>
          <t>Föryngringsavverkning</t>
        </is>
      </c>
      <c r="D700" s="1" t="n">
        <v>46111</v>
      </c>
      <c r="E700" s="1" t="n">
        <v>46222</v>
      </c>
      <c r="F700" t="inlineStr">
        <is>
          <t>GÄVLEBORGS LÄN</t>
        </is>
      </c>
      <c r="G700" t="inlineStr">
        <is>
          <t>OVANÅKER</t>
        </is>
      </c>
      <c r="H700" t="inlineStr">
        <is>
          <t>Bergvik skog öst AB</t>
        </is>
      </c>
      <c r="I700" t="n">
        <v>4.7</v>
      </c>
      <c r="J700" t="n">
        <v>0</v>
      </c>
      <c r="K700" t="n">
        <v>0</v>
      </c>
      <c r="L700" t="n">
        <v>0</v>
      </c>
      <c r="M700" t="n">
        <v>0</v>
      </c>
      <c r="N700" t="n">
        <v>0</v>
      </c>
      <c r="O700" t="n">
        <v>0</v>
      </c>
      <c r="P700" t="n">
        <v>0</v>
      </c>
      <c r="Q700" t="n">
        <v>0</v>
      </c>
      <c r="R700" t="n">
        <v>0</v>
      </c>
      <c r="S700" t="n">
        <v>0</v>
      </c>
      <c r="T700" t="n">
        <v>0</v>
      </c>
      <c r="U700" s="2" t="inlineStr"/>
    </row>
    <row r="701" ht="15" customHeight="1">
      <c r="A701" t="inlineStr">
        <is>
          <t>A 15298-2026</t>
        </is>
      </c>
      <c r="B701" t="inlineStr">
        <is>
          <t>avverkningsanmälan</t>
        </is>
      </c>
      <c r="C701" t="inlineStr">
        <is>
          <t>Föryngringsavverkning</t>
        </is>
      </c>
      <c r="D701" s="1" t="n">
        <v>46105</v>
      </c>
      <c r="E701" s="1" t="n">
        <v>46222</v>
      </c>
      <c r="F701" t="inlineStr">
        <is>
          <t>GÄVLEBORGS LÄN</t>
        </is>
      </c>
      <c r="G701" t="inlineStr">
        <is>
          <t>OVANÅKER</t>
        </is>
      </c>
      <c r="H701" t="inlineStr">
        <is>
          <t>Bergvik skog öst AB</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16170-2026</t>
        </is>
      </c>
      <c r="B702" t="inlineStr">
        <is>
          <t>avverkningsanmälan</t>
        </is>
      </c>
      <c r="C702" t="inlineStr">
        <is>
          <t>Föryngringsavverkning</t>
        </is>
      </c>
      <c r="D702" s="1" t="n">
        <v>46111</v>
      </c>
      <c r="E702" s="1" t="n">
        <v>46222</v>
      </c>
      <c r="F702" t="inlineStr">
        <is>
          <t>GÄVLEBORGS LÄN</t>
        </is>
      </c>
      <c r="G702" t="inlineStr">
        <is>
          <t>OVANÅKER</t>
        </is>
      </c>
      <c r="H702" t="inlineStr">
        <is>
          <t>Bergvik skog öst AB</t>
        </is>
      </c>
      <c r="I702" t="n">
        <v>2.9</v>
      </c>
      <c r="J702" t="n">
        <v>0</v>
      </c>
      <c r="K702" t="n">
        <v>0</v>
      </c>
      <c r="L702" t="n">
        <v>0</v>
      </c>
      <c r="M702" t="n">
        <v>0</v>
      </c>
      <c r="N702" t="n">
        <v>0</v>
      </c>
      <c r="O702" t="n">
        <v>0</v>
      </c>
      <c r="P702" t="n">
        <v>0</v>
      </c>
      <c r="Q702" t="n">
        <v>0</v>
      </c>
      <c r="R702" t="n">
        <v>0</v>
      </c>
      <c r="S702" t="n">
        <v>0</v>
      </c>
      <c r="T702" t="n">
        <v>0</v>
      </c>
      <c r="U702" s="2" t="inlineStr"/>
    </row>
    <row r="703" ht="15" customHeight="1">
      <c r="A703" t="inlineStr">
        <is>
          <t>A 16179-2026</t>
        </is>
      </c>
      <c r="B703" t="inlineStr">
        <is>
          <t>avverkningsanmälan</t>
        </is>
      </c>
      <c r="C703" t="inlineStr">
        <is>
          <t>Föryngringsavverkning</t>
        </is>
      </c>
      <c r="D703" s="1" t="n">
        <v>46111</v>
      </c>
      <c r="E703" s="1" t="n">
        <v>46222</v>
      </c>
      <c r="F703" t="inlineStr">
        <is>
          <t>GÄVLEBORGS LÄN</t>
        </is>
      </c>
      <c r="G703" t="inlineStr">
        <is>
          <t>OVANÅKER</t>
        </is>
      </c>
      <c r="H703" t="inlineStr">
        <is>
          <t>Bergvik skog öst AB</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7227-2023</t>
        </is>
      </c>
      <c r="B704" t="inlineStr">
        <is>
          <t>avverkningsanmälan</t>
        </is>
      </c>
      <c r="C704" t="inlineStr">
        <is>
          <t>Föryngringsavverkning</t>
        </is>
      </c>
      <c r="D704" s="1" t="n">
        <v>44970</v>
      </c>
      <c r="E704" s="1" t="n">
        <v>46222</v>
      </c>
      <c r="F704" t="inlineStr">
        <is>
          <t>GÄVLEBORGS LÄN</t>
        </is>
      </c>
      <c r="G704" t="inlineStr">
        <is>
          <t>OVANÅKER</t>
        </is>
      </c>
      <c r="I704" t="n">
        <v>14.6</v>
      </c>
      <c r="J704" t="n">
        <v>0</v>
      </c>
      <c r="K704" t="n">
        <v>0</v>
      </c>
      <c r="L704" t="n">
        <v>0</v>
      </c>
      <c r="M704" t="n">
        <v>0</v>
      </c>
      <c r="N704" t="n">
        <v>0</v>
      </c>
      <c r="O704" t="n">
        <v>0</v>
      </c>
      <c r="P704" t="n">
        <v>0</v>
      </c>
      <c r="Q704" t="n">
        <v>0</v>
      </c>
      <c r="R704" t="n">
        <v>0</v>
      </c>
      <c r="S704" t="n">
        <v>0</v>
      </c>
      <c r="T704" t="n">
        <v>0</v>
      </c>
      <c r="U704" s="2" t="inlineStr"/>
    </row>
    <row r="705" ht="15" customHeight="1">
      <c r="A705" t="inlineStr">
        <is>
          <t>A 18964-2026</t>
        </is>
      </c>
      <c r="B705" t="inlineStr">
        <is>
          <t>avverkningsanmälan</t>
        </is>
      </c>
      <c r="C705" t="inlineStr">
        <is>
          <t>Föryngringsavverkning</t>
        </is>
      </c>
      <c r="D705" s="1" t="n">
        <v>46129</v>
      </c>
      <c r="E705" s="1" t="n">
        <v>46222</v>
      </c>
      <c r="F705" t="inlineStr">
        <is>
          <t>GÄVLEBORGS LÄN</t>
        </is>
      </c>
      <c r="G705" t="inlineStr">
        <is>
          <t>OVANÅKER</t>
        </is>
      </c>
      <c r="I705" t="n">
        <v>2.7</v>
      </c>
      <c r="J705" t="n">
        <v>0</v>
      </c>
      <c r="K705" t="n">
        <v>0</v>
      </c>
      <c r="L705" t="n">
        <v>0</v>
      </c>
      <c r="M705" t="n">
        <v>0</v>
      </c>
      <c r="N705" t="n">
        <v>0</v>
      </c>
      <c r="O705" t="n">
        <v>0</v>
      </c>
      <c r="P705" t="n">
        <v>0</v>
      </c>
      <c r="Q705" t="n">
        <v>0</v>
      </c>
      <c r="R705" t="n">
        <v>0</v>
      </c>
      <c r="S705" t="n">
        <v>0</v>
      </c>
      <c r="T705" t="n">
        <v>0</v>
      </c>
      <c r="U705" s="2" t="inlineStr"/>
    </row>
    <row r="706" ht="15" customHeight="1">
      <c r="A706" t="inlineStr">
        <is>
          <t>A 15027-2026</t>
        </is>
      </c>
      <c r="B706" t="inlineStr">
        <is>
          <t>avverkningsanmälan</t>
        </is>
      </c>
      <c r="C706" t="inlineStr">
        <is>
          <t>Föryngringsavverkning</t>
        </is>
      </c>
      <c r="D706" s="1" t="n">
        <v>46104</v>
      </c>
      <c r="E706" s="1" t="n">
        <v>46222</v>
      </c>
      <c r="F706" t="inlineStr">
        <is>
          <t>GÄVLEBORGS LÄN</t>
        </is>
      </c>
      <c r="G706" t="inlineStr">
        <is>
          <t>OVANÅKER</t>
        </is>
      </c>
      <c r="H706" t="inlineStr">
        <is>
          <t>Bergvik skog öst AB</t>
        </is>
      </c>
      <c r="I706" t="n">
        <v>1.3</v>
      </c>
      <c r="J706" t="n">
        <v>0</v>
      </c>
      <c r="K706" t="n">
        <v>0</v>
      </c>
      <c r="L706" t="n">
        <v>0</v>
      </c>
      <c r="M706" t="n">
        <v>0</v>
      </c>
      <c r="N706" t="n">
        <v>0</v>
      </c>
      <c r="O706" t="n">
        <v>0</v>
      </c>
      <c r="P706" t="n">
        <v>0</v>
      </c>
      <c r="Q706" t="n">
        <v>0</v>
      </c>
      <c r="R706" t="n">
        <v>0</v>
      </c>
      <c r="S706" t="n">
        <v>0</v>
      </c>
      <c r="T706" t="n">
        <v>0</v>
      </c>
      <c r="U706" s="2" t="inlineStr"/>
    </row>
    <row r="707" ht="15" customHeight="1">
      <c r="A707" t="inlineStr">
        <is>
          <t>A 16306-2026</t>
        </is>
      </c>
      <c r="B707" t="inlineStr">
        <is>
          <t>avverkningsanmälan</t>
        </is>
      </c>
      <c r="C707" t="inlineStr">
        <is>
          <t>Föryngringsavverkning</t>
        </is>
      </c>
      <c r="D707" s="1" t="n">
        <v>46111</v>
      </c>
      <c r="E707" s="1" t="n">
        <v>46222</v>
      </c>
      <c r="F707" t="inlineStr">
        <is>
          <t>GÄVLEBORGS LÄN</t>
        </is>
      </c>
      <c r="G707" t="inlineStr">
        <is>
          <t>OVANÅKER</t>
        </is>
      </c>
      <c r="H707" t="inlineStr">
        <is>
          <t>Bergvik skog öst AB</t>
        </is>
      </c>
      <c r="I707" t="n">
        <v>3.8</v>
      </c>
      <c r="J707" t="n">
        <v>0</v>
      </c>
      <c r="K707" t="n">
        <v>0</v>
      </c>
      <c r="L707" t="n">
        <v>0</v>
      </c>
      <c r="M707" t="n">
        <v>0</v>
      </c>
      <c r="N707" t="n">
        <v>0</v>
      </c>
      <c r="O707" t="n">
        <v>0</v>
      </c>
      <c r="P707" t="n">
        <v>0</v>
      </c>
      <c r="Q707" t="n">
        <v>0</v>
      </c>
      <c r="R707" t="n">
        <v>0</v>
      </c>
      <c r="S707" t="n">
        <v>0</v>
      </c>
      <c r="T707" t="n">
        <v>0</v>
      </c>
      <c r="U707" s="2" t="inlineStr"/>
    </row>
    <row r="708" ht="15" customHeight="1">
      <c r="A708" t="inlineStr">
        <is>
          <t>A 15472-2026</t>
        </is>
      </c>
      <c r="B708" t="inlineStr">
        <is>
          <t>avverkningsanmälan</t>
        </is>
      </c>
      <c r="C708" t="inlineStr">
        <is>
          <t>Föryngringsavverkning</t>
        </is>
      </c>
      <c r="D708" s="1" t="n">
        <v>46106</v>
      </c>
      <c r="E708" s="1" t="n">
        <v>46222</v>
      </c>
      <c r="F708" t="inlineStr">
        <is>
          <t>GÄVLEBORGS LÄN</t>
        </is>
      </c>
      <c r="G708" t="inlineStr">
        <is>
          <t>OVANÅKER</t>
        </is>
      </c>
      <c r="H708" t="inlineStr">
        <is>
          <t>Bergvik skog öst AB</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18734-2026</t>
        </is>
      </c>
      <c r="B709" t="inlineStr">
        <is>
          <t>avverkningsanmälan</t>
        </is>
      </c>
      <c r="C709" t="inlineStr">
        <is>
          <t>Föryngringsavverkning</t>
        </is>
      </c>
      <c r="D709" s="1" t="n">
        <v>46128</v>
      </c>
      <c r="E709" s="1" t="n">
        <v>46222</v>
      </c>
      <c r="F709" t="inlineStr">
        <is>
          <t>GÄVLEBORGS LÄN</t>
        </is>
      </c>
      <c r="G709" t="inlineStr">
        <is>
          <t>OVANÅKER</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18855-2026</t>
        </is>
      </c>
      <c r="B710" t="inlineStr">
        <is>
          <t>avverkningsanmälan</t>
        </is>
      </c>
      <c r="C710" t="inlineStr">
        <is>
          <t>Föryngringsavverkning</t>
        </is>
      </c>
      <c r="D710" s="1" t="n">
        <v>46129</v>
      </c>
      <c r="E710" s="1" t="n">
        <v>46222</v>
      </c>
      <c r="F710" t="inlineStr">
        <is>
          <t>GÄVLEBORGS LÄN</t>
        </is>
      </c>
      <c r="G710" t="inlineStr">
        <is>
          <t>OVANÅKER</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16180-2026</t>
        </is>
      </c>
      <c r="B711" t="inlineStr">
        <is>
          <t>avverkningsanmälan</t>
        </is>
      </c>
      <c r="C711" t="inlineStr">
        <is>
          <t>Föryngringsavverkning</t>
        </is>
      </c>
      <c r="D711" s="1" t="n">
        <v>46111</v>
      </c>
      <c r="E711" s="1" t="n">
        <v>46222</v>
      </c>
      <c r="F711" t="inlineStr">
        <is>
          <t>GÄVLEBORGS LÄN</t>
        </is>
      </c>
      <c r="G711" t="inlineStr">
        <is>
          <t>OVANÅKER</t>
        </is>
      </c>
      <c r="H711" t="inlineStr">
        <is>
          <t>Bergvik skog öst AB</t>
        </is>
      </c>
      <c r="I711" t="n">
        <v>0.8</v>
      </c>
      <c r="J711" t="n">
        <v>0</v>
      </c>
      <c r="K711" t="n">
        <v>0</v>
      </c>
      <c r="L711" t="n">
        <v>0</v>
      </c>
      <c r="M711" t="n">
        <v>0</v>
      </c>
      <c r="N711" t="n">
        <v>0</v>
      </c>
      <c r="O711" t="n">
        <v>0</v>
      </c>
      <c r="P711" t="n">
        <v>0</v>
      </c>
      <c r="Q711" t="n">
        <v>0</v>
      </c>
      <c r="R711" t="n">
        <v>0</v>
      </c>
      <c r="S711" t="n">
        <v>0</v>
      </c>
      <c r="T711" t="n">
        <v>0</v>
      </c>
      <c r="U711" s="2" t="inlineStr"/>
    </row>
    <row r="712" ht="15" customHeight="1">
      <c r="A712" t="inlineStr">
        <is>
          <t>A 16181-2026</t>
        </is>
      </c>
      <c r="B712" t="inlineStr">
        <is>
          <t>avverkningsanmälan</t>
        </is>
      </c>
      <c r="C712" t="inlineStr">
        <is>
          <t>Föryngringsavverkning</t>
        </is>
      </c>
      <c r="D712" s="1" t="n">
        <v>46111</v>
      </c>
      <c r="E712" s="1" t="n">
        <v>46222</v>
      </c>
      <c r="F712" t="inlineStr">
        <is>
          <t>GÄVLEBORGS LÄN</t>
        </is>
      </c>
      <c r="G712" t="inlineStr">
        <is>
          <t>OVANÅKER</t>
        </is>
      </c>
      <c r="H712" t="inlineStr">
        <is>
          <t>Bergvik skog öst AB</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18900-2026</t>
        </is>
      </c>
      <c r="B713" t="inlineStr">
        <is>
          <t>avverkningsanmälan</t>
        </is>
      </c>
      <c r="C713" t="inlineStr">
        <is>
          <t>Föryngringsavverkning</t>
        </is>
      </c>
      <c r="D713" s="1" t="n">
        <v>46129</v>
      </c>
      <c r="E713" s="1" t="n">
        <v>46222</v>
      </c>
      <c r="F713" t="inlineStr">
        <is>
          <t>GÄVLEBORGS LÄN</t>
        </is>
      </c>
      <c r="G713" t="inlineStr">
        <is>
          <t>OVANÅKER</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15295-2026</t>
        </is>
      </c>
      <c r="B714" t="inlineStr">
        <is>
          <t>avverkningsanmälan</t>
        </is>
      </c>
      <c r="C714" t="inlineStr">
        <is>
          <t>Föryngringsavverkning</t>
        </is>
      </c>
      <c r="D714" s="1" t="n">
        <v>46105</v>
      </c>
      <c r="E714" s="1" t="n">
        <v>46222</v>
      </c>
      <c r="F714" t="inlineStr">
        <is>
          <t>GÄVLEBORGS LÄN</t>
        </is>
      </c>
      <c r="G714" t="inlineStr">
        <is>
          <t>OVANÅKER</t>
        </is>
      </c>
      <c r="H714" t="inlineStr">
        <is>
          <t>Bergvik skog öst AB</t>
        </is>
      </c>
      <c r="I714" t="n">
        <v>5.1</v>
      </c>
      <c r="J714" t="n">
        <v>0</v>
      </c>
      <c r="K714" t="n">
        <v>0</v>
      </c>
      <c r="L714" t="n">
        <v>0</v>
      </c>
      <c r="M714" t="n">
        <v>0</v>
      </c>
      <c r="N714" t="n">
        <v>0</v>
      </c>
      <c r="O714" t="n">
        <v>0</v>
      </c>
      <c r="P714" t="n">
        <v>0</v>
      </c>
      <c r="Q714" t="n">
        <v>0</v>
      </c>
      <c r="R714" t="n">
        <v>0</v>
      </c>
      <c r="S714" t="n">
        <v>0</v>
      </c>
      <c r="T714" t="n">
        <v>0</v>
      </c>
      <c r="U714" s="2" t="inlineStr"/>
    </row>
    <row r="715" ht="15" customHeight="1">
      <c r="A715" t="inlineStr">
        <is>
          <t>A 16027-2026</t>
        </is>
      </c>
      <c r="B715" t="inlineStr">
        <is>
          <t>avverkningsanmälan</t>
        </is>
      </c>
      <c r="C715" t="inlineStr">
        <is>
          <t>Föryngringsavverkning</t>
        </is>
      </c>
      <c r="D715" s="1" t="n">
        <v>46108</v>
      </c>
      <c r="E715" s="1" t="n">
        <v>46222</v>
      </c>
      <c r="F715" t="inlineStr">
        <is>
          <t>GÄVLEBORGS LÄN</t>
        </is>
      </c>
      <c r="G715" t="inlineStr">
        <is>
          <t>OVANÅKER</t>
        </is>
      </c>
      <c r="H715" t="inlineStr">
        <is>
          <t>Bergvik skog öst AB</t>
        </is>
      </c>
      <c r="I715" t="n">
        <v>4.7</v>
      </c>
      <c r="J715" t="n">
        <v>0</v>
      </c>
      <c r="K715" t="n">
        <v>0</v>
      </c>
      <c r="L715" t="n">
        <v>0</v>
      </c>
      <c r="M715" t="n">
        <v>0</v>
      </c>
      <c r="N715" t="n">
        <v>0</v>
      </c>
      <c r="O715" t="n">
        <v>0</v>
      </c>
      <c r="P715" t="n">
        <v>0</v>
      </c>
      <c r="Q715" t="n">
        <v>0</v>
      </c>
      <c r="R715" t="n">
        <v>0</v>
      </c>
      <c r="S715" t="n">
        <v>0</v>
      </c>
      <c r="T715" t="n">
        <v>0</v>
      </c>
      <c r="U715" s="2" t="inlineStr"/>
    </row>
    <row r="716" ht="15" customHeight="1">
      <c r="A716" t="inlineStr">
        <is>
          <t>A 15521-2026</t>
        </is>
      </c>
      <c r="B716" t="inlineStr">
        <is>
          <t>avverkningsanmälan</t>
        </is>
      </c>
      <c r="C716" t="inlineStr">
        <is>
          <t>Föryngringsavverkning</t>
        </is>
      </c>
      <c r="D716" s="1" t="n">
        <v>46106</v>
      </c>
      <c r="E716" s="1" t="n">
        <v>46222</v>
      </c>
      <c r="F716" t="inlineStr">
        <is>
          <t>GÄVLEBORGS LÄN</t>
        </is>
      </c>
      <c r="G716" t="inlineStr">
        <is>
          <t>OVANÅKER</t>
        </is>
      </c>
      <c r="H716" t="inlineStr">
        <is>
          <t>Bergvik skog öst AB</t>
        </is>
      </c>
      <c r="I716" t="n">
        <v>0.8</v>
      </c>
      <c r="J716" t="n">
        <v>0</v>
      </c>
      <c r="K716" t="n">
        <v>0</v>
      </c>
      <c r="L716" t="n">
        <v>0</v>
      </c>
      <c r="M716" t="n">
        <v>0</v>
      </c>
      <c r="N716" t="n">
        <v>0</v>
      </c>
      <c r="O716" t="n">
        <v>0</v>
      </c>
      <c r="P716" t="n">
        <v>0</v>
      </c>
      <c r="Q716" t="n">
        <v>0</v>
      </c>
      <c r="R716" t="n">
        <v>0</v>
      </c>
      <c r="S716" t="n">
        <v>0</v>
      </c>
      <c r="T716" t="n">
        <v>0</v>
      </c>
      <c r="U716" s="2" t="inlineStr"/>
    </row>
    <row r="717" ht="15" customHeight="1">
      <c r="A717" t="inlineStr">
        <is>
          <t>A 19106-2026</t>
        </is>
      </c>
      <c r="B717" t="inlineStr">
        <is>
          <t>avverkningsanmälan</t>
        </is>
      </c>
      <c r="C717" t="inlineStr">
        <is>
          <t>Föryngringsavverkning</t>
        </is>
      </c>
      <c r="D717" s="1" t="n">
        <v>46132</v>
      </c>
      <c r="E717" s="1" t="n">
        <v>46222</v>
      </c>
      <c r="F717" t="inlineStr">
        <is>
          <t>GÄVLEBORGS LÄN</t>
        </is>
      </c>
      <c r="G717" t="inlineStr">
        <is>
          <t>OVANÅKER</t>
        </is>
      </c>
      <c r="H717" t="inlineStr">
        <is>
          <t>Kyrkan</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A 19116-2026</t>
        </is>
      </c>
      <c r="B718" t="inlineStr">
        <is>
          <t>avverkningsanmälan</t>
        </is>
      </c>
      <c r="C718" t="inlineStr">
        <is>
          <t>Föryngringsavverkning</t>
        </is>
      </c>
      <c r="D718" s="1" t="n">
        <v>46132</v>
      </c>
      <c r="E718" s="1" t="n">
        <v>46222</v>
      </c>
      <c r="F718" t="inlineStr">
        <is>
          <t>GÄVLEBORGS LÄN</t>
        </is>
      </c>
      <c r="G718" t="inlineStr">
        <is>
          <t>OVANÅKER</t>
        </is>
      </c>
      <c r="I718" t="n">
        <v>2.5</v>
      </c>
      <c r="J718" t="n">
        <v>0</v>
      </c>
      <c r="K718" t="n">
        <v>0</v>
      </c>
      <c r="L718" t="n">
        <v>0</v>
      </c>
      <c r="M718" t="n">
        <v>0</v>
      </c>
      <c r="N718" t="n">
        <v>0</v>
      </c>
      <c r="O718" t="n">
        <v>0</v>
      </c>
      <c r="P718" t="n">
        <v>0</v>
      </c>
      <c r="Q718" t="n">
        <v>0</v>
      </c>
      <c r="R718" t="n">
        <v>0</v>
      </c>
      <c r="S718" t="n">
        <v>0</v>
      </c>
      <c r="T718" t="n">
        <v>0</v>
      </c>
      <c r="U718" s="2" t="inlineStr"/>
    </row>
    <row r="719" ht="15" customHeight="1">
      <c r="A719" t="inlineStr">
        <is>
          <t>A 19161-2026</t>
        </is>
      </c>
      <c r="B719" t="inlineStr">
        <is>
          <t>avverkningsanmälan</t>
        </is>
      </c>
      <c r="C719" t="inlineStr">
        <is>
          <t>Föryngringsavverkning</t>
        </is>
      </c>
      <c r="D719" s="1" t="n">
        <v>46132</v>
      </c>
      <c r="E719" s="1" t="n">
        <v>46222</v>
      </c>
      <c r="F719" t="inlineStr">
        <is>
          <t>GÄVLEBORGS LÄN</t>
        </is>
      </c>
      <c r="G719" t="inlineStr">
        <is>
          <t>OVANÅKER</t>
        </is>
      </c>
      <c r="I719" t="n">
        <v>1.6</v>
      </c>
      <c r="J719" t="n">
        <v>0</v>
      </c>
      <c r="K719" t="n">
        <v>0</v>
      </c>
      <c r="L719" t="n">
        <v>0</v>
      </c>
      <c r="M719" t="n">
        <v>0</v>
      </c>
      <c r="N719" t="n">
        <v>0</v>
      </c>
      <c r="O719" t="n">
        <v>0</v>
      </c>
      <c r="P719" t="n">
        <v>0</v>
      </c>
      <c r="Q719" t="n">
        <v>0</v>
      </c>
      <c r="R719" t="n">
        <v>0</v>
      </c>
      <c r="S719" t="n">
        <v>0</v>
      </c>
      <c r="T719" t="n">
        <v>0</v>
      </c>
      <c r="U719" s="2" t="inlineStr"/>
    </row>
    <row r="720" ht="15" customHeight="1">
      <c r="A720" t="inlineStr">
        <is>
          <t>A 18769-2026</t>
        </is>
      </c>
      <c r="B720" t="inlineStr">
        <is>
          <t>avverkningsanmälan</t>
        </is>
      </c>
      <c r="C720" t="inlineStr">
        <is>
          <t>Föryngringsavverkning</t>
        </is>
      </c>
      <c r="D720" s="1" t="n">
        <v>46128</v>
      </c>
      <c r="E720" s="1" t="n">
        <v>46222</v>
      </c>
      <c r="F720" t="inlineStr">
        <is>
          <t>GÄVLEBORGS LÄN</t>
        </is>
      </c>
      <c r="G720" t="inlineStr">
        <is>
          <t>OVANÅKER</t>
        </is>
      </c>
      <c r="I720" t="n">
        <v>2.6</v>
      </c>
      <c r="J720" t="n">
        <v>0</v>
      </c>
      <c r="K720" t="n">
        <v>0</v>
      </c>
      <c r="L720" t="n">
        <v>0</v>
      </c>
      <c r="M720" t="n">
        <v>0</v>
      </c>
      <c r="N720" t="n">
        <v>0</v>
      </c>
      <c r="O720" t="n">
        <v>0</v>
      </c>
      <c r="P720" t="n">
        <v>0</v>
      </c>
      <c r="Q720" t="n">
        <v>0</v>
      </c>
      <c r="R720" t="n">
        <v>0</v>
      </c>
      <c r="S720" t="n">
        <v>0</v>
      </c>
      <c r="T720" t="n">
        <v>0</v>
      </c>
      <c r="U720" s="2" t="inlineStr"/>
    </row>
    <row r="721" ht="15" customHeight="1">
      <c r="A721" t="inlineStr">
        <is>
          <t>A 15457-2026</t>
        </is>
      </c>
      <c r="B721" t="inlineStr">
        <is>
          <t>avverkningsanmälan</t>
        </is>
      </c>
      <c r="C721" t="inlineStr">
        <is>
          <t>Föryngringsavverkning</t>
        </is>
      </c>
      <c r="D721" s="1" t="n">
        <v>46106</v>
      </c>
      <c r="E721" s="1" t="n">
        <v>46222</v>
      </c>
      <c r="F721" t="inlineStr">
        <is>
          <t>GÄVLEBORGS LÄN</t>
        </is>
      </c>
      <c r="G721" t="inlineStr">
        <is>
          <t>OVANÅKER</t>
        </is>
      </c>
      <c r="H721" t="inlineStr">
        <is>
          <t>Bergvik skog öst AB</t>
        </is>
      </c>
      <c r="I721" t="n">
        <v>5.9</v>
      </c>
      <c r="J721" t="n">
        <v>0</v>
      </c>
      <c r="K721" t="n">
        <v>0</v>
      </c>
      <c r="L721" t="n">
        <v>0</v>
      </c>
      <c r="M721" t="n">
        <v>0</v>
      </c>
      <c r="N721" t="n">
        <v>0</v>
      </c>
      <c r="O721" t="n">
        <v>0</v>
      </c>
      <c r="P721" t="n">
        <v>0</v>
      </c>
      <c r="Q721" t="n">
        <v>0</v>
      </c>
      <c r="R721" t="n">
        <v>0</v>
      </c>
      <c r="S721" t="n">
        <v>0</v>
      </c>
      <c r="T721" t="n">
        <v>0</v>
      </c>
      <c r="U721" s="2" t="inlineStr"/>
    </row>
    <row r="722" ht="15" customHeight="1">
      <c r="A722" t="inlineStr">
        <is>
          <t>A 15802-2026</t>
        </is>
      </c>
      <c r="B722" t="inlineStr">
        <is>
          <t>avverkningsanmälan</t>
        </is>
      </c>
      <c r="C722" t="inlineStr">
        <is>
          <t>Föryngringsavverkning</t>
        </is>
      </c>
      <c r="D722" s="1" t="n">
        <v>46107</v>
      </c>
      <c r="E722" s="1" t="n">
        <v>46222</v>
      </c>
      <c r="F722" t="inlineStr">
        <is>
          <t>GÄVLEBORGS LÄN</t>
        </is>
      </c>
      <c r="G722" t="inlineStr">
        <is>
          <t>OVANÅKER</t>
        </is>
      </c>
      <c r="H722" t="inlineStr">
        <is>
          <t>Bergvik skog öst AB</t>
        </is>
      </c>
      <c r="I722" t="n">
        <v>11.5</v>
      </c>
      <c r="J722" t="n">
        <v>0</v>
      </c>
      <c r="K722" t="n">
        <v>0</v>
      </c>
      <c r="L722" t="n">
        <v>0</v>
      </c>
      <c r="M722" t="n">
        <v>0</v>
      </c>
      <c r="N722" t="n">
        <v>0</v>
      </c>
      <c r="O722" t="n">
        <v>0</v>
      </c>
      <c r="P722" t="n">
        <v>0</v>
      </c>
      <c r="Q722" t="n">
        <v>0</v>
      </c>
      <c r="R722" t="n">
        <v>0</v>
      </c>
      <c r="S722" t="n">
        <v>0</v>
      </c>
      <c r="T722" t="n">
        <v>0</v>
      </c>
      <c r="U722" s="2" t="inlineStr"/>
    </row>
    <row r="723" ht="15" customHeight="1">
      <c r="A723" t="inlineStr">
        <is>
          <t>A 18973-2026</t>
        </is>
      </c>
      <c r="B723" t="inlineStr">
        <is>
          <t>avverkningsanmälan</t>
        </is>
      </c>
      <c r="C723" t="inlineStr">
        <is>
          <t>Föryngringsavverkning</t>
        </is>
      </c>
      <c r="D723" s="1" t="n">
        <v>46129</v>
      </c>
      <c r="E723" s="1" t="n">
        <v>46222</v>
      </c>
      <c r="F723" t="inlineStr">
        <is>
          <t>GÄVLEBORGS LÄN</t>
        </is>
      </c>
      <c r="G723" t="inlineStr">
        <is>
          <t>OVANÅKER</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18981-2026</t>
        </is>
      </c>
      <c r="B724" t="inlineStr">
        <is>
          <t>avverkningsanmälan</t>
        </is>
      </c>
      <c r="C724" t="inlineStr">
        <is>
          <t>Föryngringsavverkning</t>
        </is>
      </c>
      <c r="D724" s="1" t="n">
        <v>46129</v>
      </c>
      <c r="E724" s="1" t="n">
        <v>46222</v>
      </c>
      <c r="F724" t="inlineStr">
        <is>
          <t>GÄVLEBORGS LÄN</t>
        </is>
      </c>
      <c r="G724" t="inlineStr">
        <is>
          <t>OVANÅKER</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19248-2026</t>
        </is>
      </c>
      <c r="B725" t="inlineStr">
        <is>
          <t>avverkningsanmälan</t>
        </is>
      </c>
      <c r="C725" t="inlineStr">
        <is>
          <t>Föryngringsavverkning</t>
        </is>
      </c>
      <c r="D725" s="1" t="n">
        <v>46132</v>
      </c>
      <c r="E725" s="1" t="n">
        <v>46222</v>
      </c>
      <c r="F725" t="inlineStr">
        <is>
          <t>GÄVLEBORGS LÄN</t>
        </is>
      </c>
      <c r="G725" t="inlineStr">
        <is>
          <t>OVANÅKER</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18996-2026</t>
        </is>
      </c>
      <c r="B726" t="inlineStr">
        <is>
          <t>avverkningsanmälan</t>
        </is>
      </c>
      <c r="C726" t="inlineStr">
        <is>
          <t>Föryngringsavverkning</t>
        </is>
      </c>
      <c r="D726" s="1" t="n">
        <v>46129</v>
      </c>
      <c r="E726" s="1" t="n">
        <v>46222</v>
      </c>
      <c r="F726" t="inlineStr">
        <is>
          <t>GÄVLEBORGS LÄN</t>
        </is>
      </c>
      <c r="G726" t="inlineStr">
        <is>
          <t>OVANÅKER</t>
        </is>
      </c>
      <c r="I726" t="n">
        <v>8.300000000000001</v>
      </c>
      <c r="J726" t="n">
        <v>0</v>
      </c>
      <c r="K726" t="n">
        <v>0</v>
      </c>
      <c r="L726" t="n">
        <v>0</v>
      </c>
      <c r="M726" t="n">
        <v>0</v>
      </c>
      <c r="N726" t="n">
        <v>0</v>
      </c>
      <c r="O726" t="n">
        <v>0</v>
      </c>
      <c r="P726" t="n">
        <v>0</v>
      </c>
      <c r="Q726" t="n">
        <v>0</v>
      </c>
      <c r="R726" t="n">
        <v>0</v>
      </c>
      <c r="S726" t="n">
        <v>0</v>
      </c>
      <c r="T726" t="n">
        <v>0</v>
      </c>
      <c r="U726" s="2" t="inlineStr"/>
    </row>
    <row r="727" ht="15" customHeight="1">
      <c r="A727" t="inlineStr">
        <is>
          <t>A 18667-2026</t>
        </is>
      </c>
      <c r="B727" t="inlineStr">
        <is>
          <t>avverkningsanmälan</t>
        </is>
      </c>
      <c r="C727" t="inlineStr">
        <is>
          <t>Föryngringsavverkning</t>
        </is>
      </c>
      <c r="D727" s="1" t="n">
        <v>46128</v>
      </c>
      <c r="E727" s="1" t="n">
        <v>46222</v>
      </c>
      <c r="F727" t="inlineStr">
        <is>
          <t>GÄVLEBORGS LÄN</t>
        </is>
      </c>
      <c r="G727" t="inlineStr">
        <is>
          <t>OVANÅKER</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19206-2026</t>
        </is>
      </c>
      <c r="B728" t="inlineStr">
        <is>
          <t>avverkningsanmälan</t>
        </is>
      </c>
      <c r="C728" t="inlineStr">
        <is>
          <t>Föryngringsavverkning</t>
        </is>
      </c>
      <c r="D728" s="1" t="n">
        <v>46132</v>
      </c>
      <c r="E728" s="1" t="n">
        <v>46222</v>
      </c>
      <c r="F728" t="inlineStr">
        <is>
          <t>GÄVLEBORGS LÄN</t>
        </is>
      </c>
      <c r="G728" t="inlineStr">
        <is>
          <t>OVANÅKER</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19086-2026</t>
        </is>
      </c>
      <c r="B729" t="inlineStr">
        <is>
          <t>avverkningsanmälan</t>
        </is>
      </c>
      <c r="C729" t="inlineStr">
        <is>
          <t>Föryngringsavverkning</t>
        </is>
      </c>
      <c r="D729" s="1" t="n">
        <v>46132</v>
      </c>
      <c r="E729" s="1" t="n">
        <v>46222</v>
      </c>
      <c r="F729" t="inlineStr">
        <is>
          <t>GÄVLEBORGS LÄN</t>
        </is>
      </c>
      <c r="G729" t="inlineStr">
        <is>
          <t>OVANÅKER</t>
        </is>
      </c>
      <c r="I729" t="n">
        <v>3.2</v>
      </c>
      <c r="J729" t="n">
        <v>0</v>
      </c>
      <c r="K729" t="n">
        <v>0</v>
      </c>
      <c r="L729" t="n">
        <v>0</v>
      </c>
      <c r="M729" t="n">
        <v>0</v>
      </c>
      <c r="N729" t="n">
        <v>0</v>
      </c>
      <c r="O729" t="n">
        <v>0</v>
      </c>
      <c r="P729" t="n">
        <v>0</v>
      </c>
      <c r="Q729" t="n">
        <v>0</v>
      </c>
      <c r="R729" t="n">
        <v>0</v>
      </c>
      <c r="S729" t="n">
        <v>0</v>
      </c>
      <c r="T729" t="n">
        <v>0</v>
      </c>
      <c r="U729" s="2" t="inlineStr"/>
    </row>
    <row r="730" ht="15" customHeight="1">
      <c r="A730" t="inlineStr">
        <is>
          <t>A 38369-2024</t>
        </is>
      </c>
      <c r="B730" t="inlineStr">
        <is>
          <t>avverkningsanmälan</t>
        </is>
      </c>
      <c r="C730" t="inlineStr">
        <is>
          <t>Föryngringsavverkning</t>
        </is>
      </c>
      <c r="D730" s="1" t="n">
        <v>45545</v>
      </c>
      <c r="E730" s="1" t="n">
        <v>46222</v>
      </c>
      <c r="F730" t="inlineStr">
        <is>
          <t>GÄVLEBORGS LÄN</t>
        </is>
      </c>
      <c r="G730" t="inlineStr">
        <is>
          <t>OVANÅKER</t>
        </is>
      </c>
      <c r="I730" t="n">
        <v>1.5</v>
      </c>
      <c r="J730" t="n">
        <v>0</v>
      </c>
      <c r="K730" t="n">
        <v>0</v>
      </c>
      <c r="L730" t="n">
        <v>0</v>
      </c>
      <c r="M730" t="n">
        <v>0</v>
      </c>
      <c r="N730" t="n">
        <v>0</v>
      </c>
      <c r="O730" t="n">
        <v>0</v>
      </c>
      <c r="P730" t="n">
        <v>0</v>
      </c>
      <c r="Q730" t="n">
        <v>0</v>
      </c>
      <c r="R730" t="n">
        <v>0</v>
      </c>
      <c r="S730" t="n">
        <v>0</v>
      </c>
      <c r="T730" t="n">
        <v>0</v>
      </c>
      <c r="U730" s="2" t="inlineStr"/>
    </row>
    <row r="731" ht="15" customHeight="1">
      <c r="A731" t="inlineStr">
        <is>
          <t>A 19042-2026</t>
        </is>
      </c>
      <c r="B731" t="inlineStr">
        <is>
          <t>avverkningsanmälan</t>
        </is>
      </c>
      <c r="C731" t="inlineStr">
        <is>
          <t>Föryngringsavverkning</t>
        </is>
      </c>
      <c r="D731" s="1" t="n">
        <v>46132</v>
      </c>
      <c r="E731" s="1" t="n">
        <v>46222</v>
      </c>
      <c r="F731" t="inlineStr">
        <is>
          <t>GÄVLEBORGS LÄN</t>
        </is>
      </c>
      <c r="G731" t="inlineStr">
        <is>
          <t>OVANÅKER</t>
        </is>
      </c>
      <c r="H731" t="inlineStr">
        <is>
          <t>Kyrkan</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15443-2026</t>
        </is>
      </c>
      <c r="B732" t="inlineStr">
        <is>
          <t>avverkningsanmälan</t>
        </is>
      </c>
      <c r="C732" t="inlineStr">
        <is>
          <t>Föryngringsavverkning</t>
        </is>
      </c>
      <c r="D732" s="1" t="n">
        <v>46106</v>
      </c>
      <c r="E732" s="1" t="n">
        <v>46222</v>
      </c>
      <c r="F732" t="inlineStr">
        <is>
          <t>GÄVLEBORGS LÄN</t>
        </is>
      </c>
      <c r="G732" t="inlineStr">
        <is>
          <t>OVANÅKER</t>
        </is>
      </c>
      <c r="H732" t="inlineStr">
        <is>
          <t>Bergvik skog öst AB</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16202-2026</t>
        </is>
      </c>
      <c r="B733" t="inlineStr">
        <is>
          <t>avverkningsanmälan</t>
        </is>
      </c>
      <c r="C733" t="inlineStr">
        <is>
          <t>Föryngringsavverkning</t>
        </is>
      </c>
      <c r="D733" s="1" t="n">
        <v>46111</v>
      </c>
      <c r="E733" s="1" t="n">
        <v>46222</v>
      </c>
      <c r="F733" t="inlineStr">
        <is>
          <t>GÄVLEBORGS LÄN</t>
        </is>
      </c>
      <c r="G733" t="inlineStr">
        <is>
          <t>OVANÅKER</t>
        </is>
      </c>
      <c r="H733" t="inlineStr">
        <is>
          <t>Bergvik skog öst AB</t>
        </is>
      </c>
      <c r="I733" t="n">
        <v>3.1</v>
      </c>
      <c r="J733" t="n">
        <v>0</v>
      </c>
      <c r="K733" t="n">
        <v>0</v>
      </c>
      <c r="L733" t="n">
        <v>0</v>
      </c>
      <c r="M733" t="n">
        <v>0</v>
      </c>
      <c r="N733" t="n">
        <v>0</v>
      </c>
      <c r="O733" t="n">
        <v>0</v>
      </c>
      <c r="P733" t="n">
        <v>0</v>
      </c>
      <c r="Q733" t="n">
        <v>0</v>
      </c>
      <c r="R733" t="n">
        <v>0</v>
      </c>
      <c r="S733" t="n">
        <v>0</v>
      </c>
      <c r="T733" t="n">
        <v>0</v>
      </c>
      <c r="U733" s="2" t="inlineStr"/>
    </row>
    <row r="734" ht="15" customHeight="1">
      <c r="A734" t="inlineStr">
        <is>
          <t>A 16205-2026</t>
        </is>
      </c>
      <c r="B734" t="inlineStr">
        <is>
          <t>avverkningsanmälan</t>
        </is>
      </c>
      <c r="C734" t="inlineStr">
        <is>
          <t>Föryngringsavverkning</t>
        </is>
      </c>
      <c r="D734" s="1" t="n">
        <v>46111</v>
      </c>
      <c r="E734" s="1" t="n">
        <v>46222</v>
      </c>
      <c r="F734" t="inlineStr">
        <is>
          <t>GÄVLEBORGS LÄN</t>
        </is>
      </c>
      <c r="G734" t="inlineStr">
        <is>
          <t>OVANÅKER</t>
        </is>
      </c>
      <c r="H734" t="inlineStr">
        <is>
          <t>Bergvik skog öst AB</t>
        </is>
      </c>
      <c r="I734" t="n">
        <v>24.9</v>
      </c>
      <c r="J734" t="n">
        <v>0</v>
      </c>
      <c r="K734" t="n">
        <v>0</v>
      </c>
      <c r="L734" t="n">
        <v>0</v>
      </c>
      <c r="M734" t="n">
        <v>0</v>
      </c>
      <c r="N734" t="n">
        <v>0</v>
      </c>
      <c r="O734" t="n">
        <v>0</v>
      </c>
      <c r="P734" t="n">
        <v>0</v>
      </c>
      <c r="Q734" t="n">
        <v>0</v>
      </c>
      <c r="R734" t="n">
        <v>0</v>
      </c>
      <c r="S734" t="n">
        <v>0</v>
      </c>
      <c r="T734" t="n">
        <v>0</v>
      </c>
      <c r="U734" s="2" t="inlineStr"/>
    </row>
    <row r="735" ht="15" customHeight="1">
      <c r="A735" t="inlineStr">
        <is>
          <t>A 18773-2026</t>
        </is>
      </c>
      <c r="B735" t="inlineStr">
        <is>
          <t>avverkningsanmälan</t>
        </is>
      </c>
      <c r="C735" t="inlineStr">
        <is>
          <t>Föryngringsavverkning</t>
        </is>
      </c>
      <c r="D735" s="1" t="n">
        <v>46128</v>
      </c>
      <c r="E735" s="1" t="n">
        <v>46222</v>
      </c>
      <c r="F735" t="inlineStr">
        <is>
          <t>GÄVLEBORGS LÄN</t>
        </is>
      </c>
      <c r="G735" t="inlineStr">
        <is>
          <t>OVANÅKER</t>
        </is>
      </c>
      <c r="I735" t="n">
        <v>0.6</v>
      </c>
      <c r="J735" t="n">
        <v>0</v>
      </c>
      <c r="K735" t="n">
        <v>0</v>
      </c>
      <c r="L735" t="n">
        <v>0</v>
      </c>
      <c r="M735" t="n">
        <v>0</v>
      </c>
      <c r="N735" t="n">
        <v>0</v>
      </c>
      <c r="O735" t="n">
        <v>0</v>
      </c>
      <c r="P735" t="n">
        <v>0</v>
      </c>
      <c r="Q735" t="n">
        <v>0</v>
      </c>
      <c r="R735" t="n">
        <v>0</v>
      </c>
      <c r="S735" t="n">
        <v>0</v>
      </c>
      <c r="T735" t="n">
        <v>0</v>
      </c>
      <c r="U735" s="2" t="inlineStr"/>
    </row>
    <row r="736" ht="15" customHeight="1">
      <c r="A736" t="inlineStr">
        <is>
          <t>A 46000-2024</t>
        </is>
      </c>
      <c r="B736" t="inlineStr">
        <is>
          <t>avverkningsanmälan</t>
        </is>
      </c>
      <c r="C736" t="inlineStr">
        <is>
          <t>Föryngringsavverkning</t>
        </is>
      </c>
      <c r="D736" s="1" t="n">
        <v>45580</v>
      </c>
      <c r="E736" s="1" t="n">
        <v>46222</v>
      </c>
      <c r="F736" t="inlineStr">
        <is>
          <t>GÄVLEBORGS LÄN</t>
        </is>
      </c>
      <c r="G736" t="inlineStr">
        <is>
          <t>OVANÅKER</t>
        </is>
      </c>
      <c r="I736" t="n">
        <v>2.5</v>
      </c>
      <c r="J736" t="n">
        <v>0</v>
      </c>
      <c r="K736" t="n">
        <v>0</v>
      </c>
      <c r="L736" t="n">
        <v>0</v>
      </c>
      <c r="M736" t="n">
        <v>0</v>
      </c>
      <c r="N736" t="n">
        <v>0</v>
      </c>
      <c r="O736" t="n">
        <v>0</v>
      </c>
      <c r="P736" t="n">
        <v>0</v>
      </c>
      <c r="Q736" t="n">
        <v>0</v>
      </c>
      <c r="R736" t="n">
        <v>0</v>
      </c>
      <c r="S736" t="n">
        <v>0</v>
      </c>
      <c r="T736" t="n">
        <v>0</v>
      </c>
      <c r="U736" s="2" t="inlineStr"/>
    </row>
    <row r="737" ht="15" customHeight="1">
      <c r="A737" t="inlineStr">
        <is>
          <t>A 18156-2024</t>
        </is>
      </c>
      <c r="B737" t="inlineStr">
        <is>
          <t>avverkningsanmälan</t>
        </is>
      </c>
      <c r="C737" t="inlineStr">
        <is>
          <t>Föryngringsavverkning</t>
        </is>
      </c>
      <c r="D737" s="1" t="n">
        <v>45420</v>
      </c>
      <c r="E737" s="1" t="n">
        <v>46222</v>
      </c>
      <c r="F737" t="inlineStr">
        <is>
          <t>GÄVLEBORGS LÄN</t>
        </is>
      </c>
      <c r="G737" t="inlineStr">
        <is>
          <t>OVANÅKER</t>
        </is>
      </c>
      <c r="I737" t="n">
        <v>0.8</v>
      </c>
      <c r="J737" t="n">
        <v>0</v>
      </c>
      <c r="K737" t="n">
        <v>0</v>
      </c>
      <c r="L737" t="n">
        <v>0</v>
      </c>
      <c r="M737" t="n">
        <v>0</v>
      </c>
      <c r="N737" t="n">
        <v>0</v>
      </c>
      <c r="O737" t="n">
        <v>0</v>
      </c>
      <c r="P737" t="n">
        <v>0</v>
      </c>
      <c r="Q737" t="n">
        <v>0</v>
      </c>
      <c r="R737" t="n">
        <v>0</v>
      </c>
      <c r="S737" t="n">
        <v>0</v>
      </c>
      <c r="T737" t="n">
        <v>0</v>
      </c>
      <c r="U737" s="2" t="inlineStr"/>
    </row>
    <row r="738" ht="15" customHeight="1">
      <c r="A738" t="inlineStr">
        <is>
          <t>A 17019-2026</t>
        </is>
      </c>
      <c r="B738" t="inlineStr">
        <is>
          <t>avverkningsanmälan</t>
        </is>
      </c>
      <c r="C738" t="inlineStr">
        <is>
          <t>Föryngringsavverkning</t>
        </is>
      </c>
      <c r="D738" s="1" t="n">
        <v>46114</v>
      </c>
      <c r="E738" s="1" t="n">
        <v>46222</v>
      </c>
      <c r="F738" t="inlineStr">
        <is>
          <t>GÄVLEBORGS LÄN</t>
        </is>
      </c>
      <c r="G738" t="inlineStr">
        <is>
          <t>OVANÅKER</t>
        </is>
      </c>
      <c r="H738" t="inlineStr">
        <is>
          <t>Bergvik skog öst AB</t>
        </is>
      </c>
      <c r="I738" t="n">
        <v>11.1</v>
      </c>
      <c r="J738" t="n">
        <v>0</v>
      </c>
      <c r="K738" t="n">
        <v>0</v>
      </c>
      <c r="L738" t="n">
        <v>0</v>
      </c>
      <c r="M738" t="n">
        <v>0</v>
      </c>
      <c r="N738" t="n">
        <v>0</v>
      </c>
      <c r="O738" t="n">
        <v>0</v>
      </c>
      <c r="P738" t="n">
        <v>0</v>
      </c>
      <c r="Q738" t="n">
        <v>0</v>
      </c>
      <c r="R738" t="n">
        <v>0</v>
      </c>
      <c r="S738" t="n">
        <v>0</v>
      </c>
      <c r="T738" t="n">
        <v>0</v>
      </c>
      <c r="U738" s="2" t="inlineStr"/>
    </row>
    <row r="739" ht="15" customHeight="1">
      <c r="A739" t="inlineStr">
        <is>
          <t>A 17043-2026</t>
        </is>
      </c>
      <c r="B739" t="inlineStr">
        <is>
          <t>avverkningsanmälan</t>
        </is>
      </c>
      <c r="C739" t="inlineStr">
        <is>
          <t>Föryngringsavverkning</t>
        </is>
      </c>
      <c r="D739" s="1" t="n">
        <v>46114</v>
      </c>
      <c r="E739" s="1" t="n">
        <v>46222</v>
      </c>
      <c r="F739" t="inlineStr">
        <is>
          <t>GÄVLEBORGS LÄN</t>
        </is>
      </c>
      <c r="G739" t="inlineStr">
        <is>
          <t>OVANÅKER</t>
        </is>
      </c>
      <c r="H739" t="inlineStr">
        <is>
          <t>Bergvik skog öst AB</t>
        </is>
      </c>
      <c r="I739" t="n">
        <v>9</v>
      </c>
      <c r="J739" t="n">
        <v>0</v>
      </c>
      <c r="K739" t="n">
        <v>0</v>
      </c>
      <c r="L739" t="n">
        <v>0</v>
      </c>
      <c r="M739" t="n">
        <v>0</v>
      </c>
      <c r="N739" t="n">
        <v>0</v>
      </c>
      <c r="O739" t="n">
        <v>0</v>
      </c>
      <c r="P739" t="n">
        <v>0</v>
      </c>
      <c r="Q739" t="n">
        <v>0</v>
      </c>
      <c r="R739" t="n">
        <v>0</v>
      </c>
      <c r="S739" t="n">
        <v>0</v>
      </c>
      <c r="T739" t="n">
        <v>0</v>
      </c>
      <c r="U739" s="2" t="inlineStr"/>
    </row>
    <row r="740" ht="15" customHeight="1">
      <c r="A740" t="inlineStr">
        <is>
          <t>A 46036-2024</t>
        </is>
      </c>
      <c r="B740" t="inlineStr">
        <is>
          <t>avverkningsanmälan</t>
        </is>
      </c>
      <c r="C740" t="inlineStr">
        <is>
          <t>Föryngringsavverkning</t>
        </is>
      </c>
      <c r="D740" s="1" t="n">
        <v>45580</v>
      </c>
      <c r="E740" s="1" t="n">
        <v>46222</v>
      </c>
      <c r="F740" t="inlineStr">
        <is>
          <t>GÄVLEBORGS LÄN</t>
        </is>
      </c>
      <c r="G740" t="inlineStr">
        <is>
          <t>OVANÅKER</t>
        </is>
      </c>
      <c r="I740" t="n">
        <v>2.2</v>
      </c>
      <c r="J740" t="n">
        <v>0</v>
      </c>
      <c r="K740" t="n">
        <v>0</v>
      </c>
      <c r="L740" t="n">
        <v>0</v>
      </c>
      <c r="M740" t="n">
        <v>0</v>
      </c>
      <c r="N740" t="n">
        <v>0</v>
      </c>
      <c r="O740" t="n">
        <v>0</v>
      </c>
      <c r="P740" t="n">
        <v>0</v>
      </c>
      <c r="Q740" t="n">
        <v>0</v>
      </c>
      <c r="R740" t="n">
        <v>0</v>
      </c>
      <c r="S740" t="n">
        <v>0</v>
      </c>
      <c r="T740" t="n">
        <v>0</v>
      </c>
      <c r="U740" s="2" t="inlineStr"/>
    </row>
    <row r="741" ht="15" customHeight="1">
      <c r="A741" t="inlineStr">
        <is>
          <t>A 19695-2026</t>
        </is>
      </c>
      <c r="B741" t="inlineStr">
        <is>
          <t>avverkningsanmälan</t>
        </is>
      </c>
      <c r="C741" t="inlineStr">
        <is>
          <t>Föryngringsavverkning</t>
        </is>
      </c>
      <c r="D741" s="1" t="n">
        <v>46134</v>
      </c>
      <c r="E741" s="1" t="n">
        <v>46222</v>
      </c>
      <c r="F741" t="inlineStr">
        <is>
          <t>GÄVLEBORGS LÄN</t>
        </is>
      </c>
      <c r="G741" t="inlineStr">
        <is>
          <t>OVANÅKER</t>
        </is>
      </c>
      <c r="I741" t="n">
        <v>4.8</v>
      </c>
      <c r="J741" t="n">
        <v>0</v>
      </c>
      <c r="K741" t="n">
        <v>0</v>
      </c>
      <c r="L741" t="n">
        <v>0</v>
      </c>
      <c r="M741" t="n">
        <v>0</v>
      </c>
      <c r="N741" t="n">
        <v>0</v>
      </c>
      <c r="O741" t="n">
        <v>0</v>
      </c>
      <c r="P741" t="n">
        <v>0</v>
      </c>
      <c r="Q741" t="n">
        <v>0</v>
      </c>
      <c r="R741" t="n">
        <v>0</v>
      </c>
      <c r="S741" t="n">
        <v>0</v>
      </c>
      <c r="T741" t="n">
        <v>0</v>
      </c>
      <c r="U741" s="2" t="inlineStr"/>
    </row>
    <row r="742" ht="15" customHeight="1">
      <c r="A742" t="inlineStr">
        <is>
          <t>A 16951-2026</t>
        </is>
      </c>
      <c r="B742" t="inlineStr">
        <is>
          <t>avverkningsanmälan</t>
        </is>
      </c>
      <c r="C742" t="inlineStr">
        <is>
          <t>Föryngringsavverkning</t>
        </is>
      </c>
      <c r="D742" s="1" t="n">
        <v>46114</v>
      </c>
      <c r="E742" s="1" t="n">
        <v>46222</v>
      </c>
      <c r="F742" t="inlineStr">
        <is>
          <t>GÄVLEBORGS LÄN</t>
        </is>
      </c>
      <c r="G742" t="inlineStr">
        <is>
          <t>OVANÅKER</t>
        </is>
      </c>
      <c r="H742" t="inlineStr">
        <is>
          <t>Bergvik skog öst AB</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42067-2023</t>
        </is>
      </c>
      <c r="B743" t="inlineStr">
        <is>
          <t>avverkningsanmälan</t>
        </is>
      </c>
      <c r="C743" t="inlineStr">
        <is>
          <t>Föryngringsavverkning</t>
        </is>
      </c>
      <c r="D743" s="1" t="n">
        <v>45177</v>
      </c>
      <c r="E743" s="1" t="n">
        <v>46222</v>
      </c>
      <c r="F743" t="inlineStr">
        <is>
          <t>GÄVLEBORGS LÄN</t>
        </is>
      </c>
      <c r="G743" t="inlineStr">
        <is>
          <t>OVANÅKER</t>
        </is>
      </c>
      <c r="I743" t="n">
        <v>5.8</v>
      </c>
      <c r="J743" t="n">
        <v>0</v>
      </c>
      <c r="K743" t="n">
        <v>0</v>
      </c>
      <c r="L743" t="n">
        <v>0</v>
      </c>
      <c r="M743" t="n">
        <v>0</v>
      </c>
      <c r="N743" t="n">
        <v>0</v>
      </c>
      <c r="O743" t="n">
        <v>0</v>
      </c>
      <c r="P743" t="n">
        <v>0</v>
      </c>
      <c r="Q743" t="n">
        <v>0</v>
      </c>
      <c r="R743" t="n">
        <v>0</v>
      </c>
      <c r="S743" t="n">
        <v>0</v>
      </c>
      <c r="T743" t="n">
        <v>0</v>
      </c>
      <c r="U743" s="2" t="inlineStr"/>
    </row>
    <row r="744" ht="15" customHeight="1">
      <c r="A744" t="inlineStr">
        <is>
          <t>A 17665-2025</t>
        </is>
      </c>
      <c r="B744" t="inlineStr">
        <is>
          <t>avverkningsanmälan</t>
        </is>
      </c>
      <c r="C744" t="inlineStr">
        <is>
          <t>Föryngringsavverkning</t>
        </is>
      </c>
      <c r="D744" s="1" t="n">
        <v>45758</v>
      </c>
      <c r="E744" s="1" t="n">
        <v>46222</v>
      </c>
      <c r="F744" t="inlineStr">
        <is>
          <t>GÄVLEBORGS LÄN</t>
        </is>
      </c>
      <c r="G744" t="inlineStr">
        <is>
          <t>OVANÅKER</t>
        </is>
      </c>
      <c r="H744" t="inlineStr">
        <is>
          <t>Sveaskog</t>
        </is>
      </c>
      <c r="I744" t="n">
        <v>1.8</v>
      </c>
      <c r="J744" t="n">
        <v>0</v>
      </c>
      <c r="K744" t="n">
        <v>0</v>
      </c>
      <c r="L744" t="n">
        <v>0</v>
      </c>
      <c r="M744" t="n">
        <v>0</v>
      </c>
      <c r="N744" t="n">
        <v>0</v>
      </c>
      <c r="O744" t="n">
        <v>0</v>
      </c>
      <c r="P744" t="n">
        <v>0</v>
      </c>
      <c r="Q744" t="n">
        <v>0</v>
      </c>
      <c r="R744" t="n">
        <v>0</v>
      </c>
      <c r="S744" t="n">
        <v>0</v>
      </c>
      <c r="T744" t="n">
        <v>0</v>
      </c>
      <c r="U744" s="2" t="inlineStr"/>
    </row>
    <row r="745" ht="15" customHeight="1">
      <c r="A745" t="inlineStr">
        <is>
          <t>A 17668-2025</t>
        </is>
      </c>
      <c r="B745" t="inlineStr">
        <is>
          <t>avverkningsanmälan</t>
        </is>
      </c>
      <c r="C745" t="inlineStr">
        <is>
          <t>Föryngringsavverkning</t>
        </is>
      </c>
      <c r="D745" s="1" t="n">
        <v>45758</v>
      </c>
      <c r="E745" s="1" t="n">
        <v>46222</v>
      </c>
      <c r="F745" t="inlineStr">
        <is>
          <t>GÄVLEBORGS LÄN</t>
        </is>
      </c>
      <c r="G745" t="inlineStr">
        <is>
          <t>OVANÅKER</t>
        </is>
      </c>
      <c r="H745" t="inlineStr">
        <is>
          <t>Sveaskog</t>
        </is>
      </c>
      <c r="I745" t="n">
        <v>8.199999999999999</v>
      </c>
      <c r="J745" t="n">
        <v>0</v>
      </c>
      <c r="K745" t="n">
        <v>0</v>
      </c>
      <c r="L745" t="n">
        <v>0</v>
      </c>
      <c r="M745" t="n">
        <v>0</v>
      </c>
      <c r="N745" t="n">
        <v>0</v>
      </c>
      <c r="O745" t="n">
        <v>0</v>
      </c>
      <c r="P745" t="n">
        <v>0</v>
      </c>
      <c r="Q745" t="n">
        <v>0</v>
      </c>
      <c r="R745" t="n">
        <v>0</v>
      </c>
      <c r="S745" t="n">
        <v>0</v>
      </c>
      <c r="T745" t="n">
        <v>0</v>
      </c>
      <c r="U745" s="2" t="inlineStr"/>
    </row>
    <row r="746" ht="15" customHeight="1">
      <c r="A746" t="inlineStr">
        <is>
          <t>A 19693-2026</t>
        </is>
      </c>
      <c r="B746" t="inlineStr">
        <is>
          <t>avverkningsanmälan</t>
        </is>
      </c>
      <c r="C746" t="inlineStr">
        <is>
          <t>Föryngringsavverkning</t>
        </is>
      </c>
      <c r="D746" s="1" t="n">
        <v>46134</v>
      </c>
      <c r="E746" s="1" t="n">
        <v>46222</v>
      </c>
      <c r="F746" t="inlineStr">
        <is>
          <t>GÄVLEBORGS LÄN</t>
        </is>
      </c>
      <c r="G746" t="inlineStr">
        <is>
          <t>OVANÅKER</t>
        </is>
      </c>
      <c r="I746" t="n">
        <v>5.7</v>
      </c>
      <c r="J746" t="n">
        <v>0</v>
      </c>
      <c r="K746" t="n">
        <v>0</v>
      </c>
      <c r="L746" t="n">
        <v>0</v>
      </c>
      <c r="M746" t="n">
        <v>0</v>
      </c>
      <c r="N746" t="n">
        <v>0</v>
      </c>
      <c r="O746" t="n">
        <v>0</v>
      </c>
      <c r="P746" t="n">
        <v>0</v>
      </c>
      <c r="Q746" t="n">
        <v>0</v>
      </c>
      <c r="R746" t="n">
        <v>0</v>
      </c>
      <c r="S746" t="n">
        <v>0</v>
      </c>
      <c r="T746" t="n">
        <v>0</v>
      </c>
      <c r="U746" s="2" t="inlineStr"/>
    </row>
    <row r="747" ht="15" customHeight="1">
      <c r="A747" t="inlineStr">
        <is>
          <t>A 19620-2026</t>
        </is>
      </c>
      <c r="B747" t="inlineStr">
        <is>
          <t>avverkningsanmälan</t>
        </is>
      </c>
      <c r="C747" t="inlineStr">
        <is>
          <t>Föryngringsavverkning</t>
        </is>
      </c>
      <c r="D747" s="1" t="n">
        <v>46134</v>
      </c>
      <c r="E747" s="1" t="n">
        <v>46222</v>
      </c>
      <c r="F747" t="inlineStr">
        <is>
          <t>GÄVLEBORGS LÄN</t>
        </is>
      </c>
      <c r="G747" t="inlineStr">
        <is>
          <t>OVANÅKER</t>
        </is>
      </c>
      <c r="H747" t="inlineStr">
        <is>
          <t>Bergvik skog öst AB</t>
        </is>
      </c>
      <c r="I747" t="n">
        <v>0.5</v>
      </c>
      <c r="J747" t="n">
        <v>0</v>
      </c>
      <c r="K747" t="n">
        <v>0</v>
      </c>
      <c r="L747" t="n">
        <v>0</v>
      </c>
      <c r="M747" t="n">
        <v>0</v>
      </c>
      <c r="N747" t="n">
        <v>0</v>
      </c>
      <c r="O747" t="n">
        <v>0</v>
      </c>
      <c r="P747" t="n">
        <v>0</v>
      </c>
      <c r="Q747" t="n">
        <v>0</v>
      </c>
      <c r="R747" t="n">
        <v>0</v>
      </c>
      <c r="S747" t="n">
        <v>0</v>
      </c>
      <c r="T747" t="n">
        <v>0</v>
      </c>
      <c r="U747" s="2" t="inlineStr"/>
    </row>
    <row r="748" ht="15" customHeight="1">
      <c r="A748" t="inlineStr">
        <is>
          <t>A 16424-2025</t>
        </is>
      </c>
      <c r="B748" t="inlineStr">
        <is>
          <t>avverkningsanmälan</t>
        </is>
      </c>
      <c r="C748" t="inlineStr">
        <is>
          <t>Föryngringsavverkning</t>
        </is>
      </c>
      <c r="D748" s="1" t="n">
        <v>45751</v>
      </c>
      <c r="E748" s="1" t="n">
        <v>46222</v>
      </c>
      <c r="F748" t="inlineStr">
        <is>
          <t>GÄVLEBORGS LÄN</t>
        </is>
      </c>
      <c r="G748" t="inlineStr">
        <is>
          <t>OVANÅKER</t>
        </is>
      </c>
      <c r="H748" t="inlineStr">
        <is>
          <t>Bergvik skog öst AB</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19432-2026</t>
        </is>
      </c>
      <c r="B749" t="inlineStr">
        <is>
          <t>avverkningsanmälan</t>
        </is>
      </c>
      <c r="C749" t="inlineStr">
        <is>
          <t>Föryngringsavverkning</t>
        </is>
      </c>
      <c r="D749" s="1" t="n">
        <v>46133</v>
      </c>
      <c r="E749" s="1" t="n">
        <v>46222</v>
      </c>
      <c r="F749" t="inlineStr">
        <is>
          <t>GÄVLEBORGS LÄN</t>
        </is>
      </c>
      <c r="G749" t="inlineStr">
        <is>
          <t>OVANÅKER</t>
        </is>
      </c>
      <c r="I749" t="n">
        <v>1.6</v>
      </c>
      <c r="J749" t="n">
        <v>0</v>
      </c>
      <c r="K749" t="n">
        <v>0</v>
      </c>
      <c r="L749" t="n">
        <v>0</v>
      </c>
      <c r="M749" t="n">
        <v>0</v>
      </c>
      <c r="N749" t="n">
        <v>0</v>
      </c>
      <c r="O749" t="n">
        <v>0</v>
      </c>
      <c r="P749" t="n">
        <v>0</v>
      </c>
      <c r="Q749" t="n">
        <v>0</v>
      </c>
      <c r="R749" t="n">
        <v>0</v>
      </c>
      <c r="S749" t="n">
        <v>0</v>
      </c>
      <c r="T749" t="n">
        <v>0</v>
      </c>
      <c r="U749" s="2" t="inlineStr"/>
    </row>
    <row r="750" ht="15" customHeight="1">
      <c r="A750" t="inlineStr">
        <is>
          <t>A 16019-2024</t>
        </is>
      </c>
      <c r="B750" t="inlineStr">
        <is>
          <t>avverkningsanmälan</t>
        </is>
      </c>
      <c r="C750" t="inlineStr">
        <is>
          <t>Föryngringsavverkning</t>
        </is>
      </c>
      <c r="D750" s="1" t="n">
        <v>45405</v>
      </c>
      <c r="E750" s="1" t="n">
        <v>46222</v>
      </c>
      <c r="F750" t="inlineStr">
        <is>
          <t>GÄVLEBORGS LÄN</t>
        </is>
      </c>
      <c r="G750" t="inlineStr">
        <is>
          <t>OVANÅKER</t>
        </is>
      </c>
      <c r="I750" t="n">
        <v>3.6</v>
      </c>
      <c r="J750" t="n">
        <v>0</v>
      </c>
      <c r="K750" t="n">
        <v>0</v>
      </c>
      <c r="L750" t="n">
        <v>0</v>
      </c>
      <c r="M750" t="n">
        <v>0</v>
      </c>
      <c r="N750" t="n">
        <v>0</v>
      </c>
      <c r="O750" t="n">
        <v>0</v>
      </c>
      <c r="P750" t="n">
        <v>0</v>
      </c>
      <c r="Q750" t="n">
        <v>0</v>
      </c>
      <c r="R750" t="n">
        <v>0</v>
      </c>
      <c r="S750" t="n">
        <v>0</v>
      </c>
      <c r="T750" t="n">
        <v>0</v>
      </c>
      <c r="U750" s="2" t="inlineStr"/>
    </row>
    <row r="751" ht="15" customHeight="1">
      <c r="A751" t="inlineStr">
        <is>
          <t>A 22173-2024</t>
        </is>
      </c>
      <c r="B751" t="inlineStr">
        <is>
          <t>avverkningsanmälan</t>
        </is>
      </c>
      <c r="C751" t="inlineStr">
        <is>
          <t>Föryngringsavverkning</t>
        </is>
      </c>
      <c r="D751" s="1" t="n">
        <v>45446</v>
      </c>
      <c r="E751" s="1" t="n">
        <v>46222</v>
      </c>
      <c r="F751" t="inlineStr">
        <is>
          <t>GÄVLEBORGS LÄN</t>
        </is>
      </c>
      <c r="G751" t="inlineStr">
        <is>
          <t>OVANÅKER</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15503-2026</t>
        </is>
      </c>
      <c r="B752" t="inlineStr">
        <is>
          <t>avverkningsanmälan</t>
        </is>
      </c>
      <c r="C752" t="inlineStr">
        <is>
          <t>Föryngringsavverkning</t>
        </is>
      </c>
      <c r="D752" s="1" t="n">
        <v>46106</v>
      </c>
      <c r="E752" s="1" t="n">
        <v>46222</v>
      </c>
      <c r="F752" t="inlineStr">
        <is>
          <t>GÄVLEBORGS LÄN</t>
        </is>
      </c>
      <c r="G752" t="inlineStr">
        <is>
          <t>OVANÅKER</t>
        </is>
      </c>
      <c r="H752" t="inlineStr">
        <is>
          <t>Bergvik skog öst AB</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4472-2026</t>
        </is>
      </c>
      <c r="B753" t="inlineStr">
        <is>
          <t>avverkningsanmälan</t>
        </is>
      </c>
      <c r="C753" t="inlineStr">
        <is>
          <t>Föryngringsavverkning</t>
        </is>
      </c>
      <c r="D753" s="1" t="n">
        <v>46045</v>
      </c>
      <c r="E753" s="1" t="n">
        <v>46222</v>
      </c>
      <c r="F753" t="inlineStr">
        <is>
          <t>GÄVLEBORGS LÄN</t>
        </is>
      </c>
      <c r="G753" t="inlineStr">
        <is>
          <t>OVANÅKER</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10119-2025</t>
        </is>
      </c>
      <c r="B754" t="inlineStr">
        <is>
          <t>avverkningsanmälan</t>
        </is>
      </c>
      <c r="C754" t="inlineStr">
        <is>
          <t>Föryngringsavverkning</t>
        </is>
      </c>
      <c r="D754" s="1" t="n">
        <v>45719</v>
      </c>
      <c r="E754" s="1" t="n">
        <v>46222</v>
      </c>
      <c r="F754" t="inlineStr">
        <is>
          <t>GÄVLEBORGS LÄN</t>
        </is>
      </c>
      <c r="G754" t="inlineStr">
        <is>
          <t>OVANÅKER</t>
        </is>
      </c>
      <c r="I754" t="n">
        <v>2.8</v>
      </c>
      <c r="J754" t="n">
        <v>0</v>
      </c>
      <c r="K754" t="n">
        <v>0</v>
      </c>
      <c r="L754" t="n">
        <v>0</v>
      </c>
      <c r="M754" t="n">
        <v>0</v>
      </c>
      <c r="N754" t="n">
        <v>0</v>
      </c>
      <c r="O754" t="n">
        <v>0</v>
      </c>
      <c r="P754" t="n">
        <v>0</v>
      </c>
      <c r="Q754" t="n">
        <v>0</v>
      </c>
      <c r="R754" t="n">
        <v>0</v>
      </c>
      <c r="S754" t="n">
        <v>0</v>
      </c>
      <c r="T754" t="n">
        <v>0</v>
      </c>
      <c r="U754" s="2" t="inlineStr"/>
    </row>
    <row r="755" ht="15" customHeight="1">
      <c r="A755" t="inlineStr">
        <is>
          <t>A 18658-2026</t>
        </is>
      </c>
      <c r="B755" t="inlineStr">
        <is>
          <t>avverkningsanmälan</t>
        </is>
      </c>
      <c r="C755" t="inlineStr">
        <is>
          <t>Föryngringsavverkning</t>
        </is>
      </c>
      <c r="D755" s="1" t="n">
        <v>46128</v>
      </c>
      <c r="E755" s="1" t="n">
        <v>46222</v>
      </c>
      <c r="F755" t="inlineStr">
        <is>
          <t>GÄVLEBORGS LÄN</t>
        </is>
      </c>
      <c r="G755" t="inlineStr">
        <is>
          <t>OVANÅKER</t>
        </is>
      </c>
      <c r="H755" t="inlineStr">
        <is>
          <t>Bergvik skog väst AB</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8125-2026</t>
        </is>
      </c>
      <c r="B756" t="inlineStr">
        <is>
          <t>avverkningsanmälan</t>
        </is>
      </c>
      <c r="C756" t="inlineStr">
        <is>
          <t>Föryngringsavverkning</t>
        </is>
      </c>
      <c r="D756" s="1" t="n">
        <v>46064</v>
      </c>
      <c r="E756" s="1" t="n">
        <v>46222</v>
      </c>
      <c r="F756" t="inlineStr">
        <is>
          <t>GÄVLEBORGS LÄN</t>
        </is>
      </c>
      <c r="G756" t="inlineStr">
        <is>
          <t>OVANÅKER</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10797-2026</t>
        </is>
      </c>
      <c r="B757" t="inlineStr">
        <is>
          <t>avverkningsanmälan</t>
        </is>
      </c>
      <c r="C757" t="inlineStr">
        <is>
          <t>Föryngringsavverkning</t>
        </is>
      </c>
      <c r="D757" s="1" t="n">
        <v>46078</v>
      </c>
      <c r="E757" s="1" t="n">
        <v>46222</v>
      </c>
      <c r="F757" t="inlineStr">
        <is>
          <t>GÄVLEBORGS LÄN</t>
        </is>
      </c>
      <c r="G757" t="inlineStr">
        <is>
          <t>OVANÅKER</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49486-2025</t>
        </is>
      </c>
      <c r="B758" t="inlineStr">
        <is>
          <t>avverkningsanmälan</t>
        </is>
      </c>
      <c r="C758" t="inlineStr">
        <is>
          <t>Föryngringsavverkning</t>
        </is>
      </c>
      <c r="D758" s="1" t="n">
        <v>45939</v>
      </c>
      <c r="E758" s="1" t="n">
        <v>46222</v>
      </c>
      <c r="F758" t="inlineStr">
        <is>
          <t>GÄVLEBORGS LÄN</t>
        </is>
      </c>
      <c r="G758" t="inlineStr">
        <is>
          <t>OVANÅKER</t>
        </is>
      </c>
      <c r="I758" t="n">
        <v>3.8</v>
      </c>
      <c r="J758" t="n">
        <v>0</v>
      </c>
      <c r="K758" t="n">
        <v>0</v>
      </c>
      <c r="L758" t="n">
        <v>0</v>
      </c>
      <c r="M758" t="n">
        <v>0</v>
      </c>
      <c r="N758" t="n">
        <v>0</v>
      </c>
      <c r="O758" t="n">
        <v>0</v>
      </c>
      <c r="P758" t="n">
        <v>0</v>
      </c>
      <c r="Q758" t="n">
        <v>0</v>
      </c>
      <c r="R758" t="n">
        <v>0</v>
      </c>
      <c r="S758" t="n">
        <v>0</v>
      </c>
      <c r="T758" t="n">
        <v>0</v>
      </c>
      <c r="U758" s="2" t="inlineStr"/>
    </row>
    <row r="759" ht="15" customHeight="1">
      <c r="A759" t="inlineStr">
        <is>
          <t>A 19867-2026</t>
        </is>
      </c>
      <c r="B759" t="inlineStr">
        <is>
          <t>avverkningsanmälan</t>
        </is>
      </c>
      <c r="C759" t="inlineStr">
        <is>
          <t>Föryngringsavverkning</t>
        </is>
      </c>
      <c r="D759" s="1" t="n">
        <v>46135</v>
      </c>
      <c r="E759" s="1" t="n">
        <v>46222</v>
      </c>
      <c r="F759" t="inlineStr">
        <is>
          <t>GÄVLEBORGS LÄN</t>
        </is>
      </c>
      <c r="G759" t="inlineStr">
        <is>
          <t>OVANÅKER</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20004-2026</t>
        </is>
      </c>
      <c r="B760" t="inlineStr">
        <is>
          <t>avverkningsanmälan</t>
        </is>
      </c>
      <c r="C760" t="inlineStr">
        <is>
          <t>Föryngringsavverkning</t>
        </is>
      </c>
      <c r="D760" s="1" t="n">
        <v>46136</v>
      </c>
      <c r="E760" s="1" t="n">
        <v>46222</v>
      </c>
      <c r="F760" t="inlineStr">
        <is>
          <t>GÄVLEBORGS LÄN</t>
        </is>
      </c>
      <c r="G760" t="inlineStr">
        <is>
          <t>OVANÅKER</t>
        </is>
      </c>
      <c r="I760" t="n">
        <v>2.2</v>
      </c>
      <c r="J760" t="n">
        <v>0</v>
      </c>
      <c r="K760" t="n">
        <v>0</v>
      </c>
      <c r="L760" t="n">
        <v>0</v>
      </c>
      <c r="M760" t="n">
        <v>0</v>
      </c>
      <c r="N760" t="n">
        <v>0</v>
      </c>
      <c r="O760" t="n">
        <v>0</v>
      </c>
      <c r="P760" t="n">
        <v>0</v>
      </c>
      <c r="Q760" t="n">
        <v>0</v>
      </c>
      <c r="R760" t="n">
        <v>0</v>
      </c>
      <c r="S760" t="n">
        <v>0</v>
      </c>
      <c r="T760" t="n">
        <v>0</v>
      </c>
      <c r="U760" s="2" t="inlineStr"/>
    </row>
    <row r="761" ht="15" customHeight="1">
      <c r="A761" t="inlineStr">
        <is>
          <t>A 4197-2026</t>
        </is>
      </c>
      <c r="B761" t="inlineStr">
        <is>
          <t>avverkningsanmälan</t>
        </is>
      </c>
      <c r="C761" t="inlineStr">
        <is>
          <t>Föryngringsavverkning</t>
        </is>
      </c>
      <c r="D761" s="1" t="n">
        <v>46044</v>
      </c>
      <c r="E761" s="1" t="n">
        <v>46222</v>
      </c>
      <c r="F761" t="inlineStr">
        <is>
          <t>GÄVLEBORGS LÄN</t>
        </is>
      </c>
      <c r="G761" t="inlineStr">
        <is>
          <t>OVANÅKER</t>
        </is>
      </c>
      <c r="I761" t="n">
        <v>9.1</v>
      </c>
      <c r="J761" t="n">
        <v>0</v>
      </c>
      <c r="K761" t="n">
        <v>0</v>
      </c>
      <c r="L761" t="n">
        <v>0</v>
      </c>
      <c r="M761" t="n">
        <v>0</v>
      </c>
      <c r="N761" t="n">
        <v>0</v>
      </c>
      <c r="O761" t="n">
        <v>0</v>
      </c>
      <c r="P761" t="n">
        <v>0</v>
      </c>
      <c r="Q761" t="n">
        <v>0</v>
      </c>
      <c r="R761" t="n">
        <v>0</v>
      </c>
      <c r="S761" t="n">
        <v>0</v>
      </c>
      <c r="T761" t="n">
        <v>0</v>
      </c>
      <c r="U761" s="2" t="inlineStr"/>
    </row>
    <row r="762" ht="15" customHeight="1">
      <c r="A762" t="inlineStr">
        <is>
          <t>A 20007-2026</t>
        </is>
      </c>
      <c r="B762" t="inlineStr">
        <is>
          <t>avverkningsanmälan</t>
        </is>
      </c>
      <c r="C762" t="inlineStr">
        <is>
          <t>Föryngringsavverkning</t>
        </is>
      </c>
      <c r="D762" s="1" t="n">
        <v>46136</v>
      </c>
      <c r="E762" s="1" t="n">
        <v>46222</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10530-2026</t>
        </is>
      </c>
      <c r="B763" t="inlineStr">
        <is>
          <t>avverkningsanmälan</t>
        </is>
      </c>
      <c r="C763" t="inlineStr">
        <is>
          <t>Föryngringsavverkning</t>
        </is>
      </c>
      <c r="D763" s="1" t="n">
        <v>46077</v>
      </c>
      <c r="E763" s="1" t="n">
        <v>46222</v>
      </c>
      <c r="F763" t="inlineStr">
        <is>
          <t>GÄVLEBORGS LÄN</t>
        </is>
      </c>
      <c r="G763" t="inlineStr">
        <is>
          <t>OVANÅKER</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55427-2024</t>
        </is>
      </c>
      <c r="B764" t="inlineStr">
        <is>
          <t>avverkningsanmälan</t>
        </is>
      </c>
      <c r="C764" t="inlineStr">
        <is>
          <t>Föryngringsavverkning</t>
        </is>
      </c>
      <c r="D764" s="1" t="n">
        <v>45622</v>
      </c>
      <c r="E764" s="1" t="n">
        <v>46222</v>
      </c>
      <c r="F764" t="inlineStr">
        <is>
          <t>GÄVLEBORGS LÄN</t>
        </is>
      </c>
      <c r="G764" t="inlineStr">
        <is>
          <t>OVANÅKER</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19856-2026</t>
        </is>
      </c>
      <c r="B765" t="inlineStr">
        <is>
          <t>avverkningsanmälan</t>
        </is>
      </c>
      <c r="C765" t="inlineStr">
        <is>
          <t>Föryngringsavverkning</t>
        </is>
      </c>
      <c r="D765" s="1" t="n">
        <v>46135</v>
      </c>
      <c r="E765" s="1" t="n">
        <v>46222</v>
      </c>
      <c r="F765" t="inlineStr">
        <is>
          <t>GÄVLEBORGS LÄN</t>
        </is>
      </c>
      <c r="G765" t="inlineStr">
        <is>
          <t>OVANÅKER</t>
        </is>
      </c>
      <c r="I765" t="n">
        <v>5</v>
      </c>
      <c r="J765" t="n">
        <v>0</v>
      </c>
      <c r="K765" t="n">
        <v>0</v>
      </c>
      <c r="L765" t="n">
        <v>0</v>
      </c>
      <c r="M765" t="n">
        <v>0</v>
      </c>
      <c r="N765" t="n">
        <v>0</v>
      </c>
      <c r="O765" t="n">
        <v>0</v>
      </c>
      <c r="P765" t="n">
        <v>0</v>
      </c>
      <c r="Q765" t="n">
        <v>0</v>
      </c>
      <c r="R765" t="n">
        <v>0</v>
      </c>
      <c r="S765" t="n">
        <v>0</v>
      </c>
      <c r="T765" t="n">
        <v>0</v>
      </c>
      <c r="U765" s="2" t="inlineStr"/>
    </row>
    <row r="766" ht="15" customHeight="1">
      <c r="A766" t="inlineStr">
        <is>
          <t>A 17685-2026</t>
        </is>
      </c>
      <c r="B766" t="inlineStr">
        <is>
          <t>avverkningsanmälan</t>
        </is>
      </c>
      <c r="C766" t="inlineStr">
        <is>
          <t>Föryngringsavverkning</t>
        </is>
      </c>
      <c r="D766" s="1" t="n">
        <v>46121</v>
      </c>
      <c r="E766" s="1" t="n">
        <v>46222</v>
      </c>
      <c r="F766" t="inlineStr">
        <is>
          <t>GÄVLEBORGS LÄN</t>
        </is>
      </c>
      <c r="G766" t="inlineStr">
        <is>
          <t>OVANÅKER</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10107-2025</t>
        </is>
      </c>
      <c r="B767" t="inlineStr">
        <is>
          <t>avverkningsanmälan</t>
        </is>
      </c>
      <c r="C767" t="inlineStr">
        <is>
          <t>Föryngringsavverkning</t>
        </is>
      </c>
      <c r="D767" s="1" t="n">
        <v>45719</v>
      </c>
      <c r="E767" s="1" t="n">
        <v>46222</v>
      </c>
      <c r="F767" t="inlineStr">
        <is>
          <t>GÄVLEBORGS LÄN</t>
        </is>
      </c>
      <c r="G767" t="inlineStr">
        <is>
          <t>OVANÅKER</t>
        </is>
      </c>
      <c r="H767" t="inlineStr">
        <is>
          <t>Bergvik skog väst AB</t>
        </is>
      </c>
      <c r="I767" t="n">
        <v>1.7</v>
      </c>
      <c r="J767" t="n">
        <v>0</v>
      </c>
      <c r="K767" t="n">
        <v>0</v>
      </c>
      <c r="L767" t="n">
        <v>0</v>
      </c>
      <c r="M767" t="n">
        <v>0</v>
      </c>
      <c r="N767" t="n">
        <v>0</v>
      </c>
      <c r="O767" t="n">
        <v>0</v>
      </c>
      <c r="P767" t="n">
        <v>0</v>
      </c>
      <c r="Q767" t="n">
        <v>0</v>
      </c>
      <c r="R767" t="n">
        <v>0</v>
      </c>
      <c r="S767" t="n">
        <v>0</v>
      </c>
      <c r="T767" t="n">
        <v>0</v>
      </c>
      <c r="U767" s="2" t="inlineStr"/>
    </row>
    <row r="768" ht="15" customHeight="1">
      <c r="A768" t="inlineStr">
        <is>
          <t>A 19778-2026</t>
        </is>
      </c>
      <c r="B768" t="inlineStr">
        <is>
          <t>avverkningsanmälan</t>
        </is>
      </c>
      <c r="C768" t="inlineStr">
        <is>
          <t>Föryngringsavverkning</t>
        </is>
      </c>
      <c r="D768" s="1" t="n">
        <v>46135</v>
      </c>
      <c r="E768" s="1" t="n">
        <v>46222</v>
      </c>
      <c r="F768" t="inlineStr">
        <is>
          <t>GÄVLEBORGS LÄN</t>
        </is>
      </c>
      <c r="G768" t="inlineStr">
        <is>
          <t>OVANÅKER</t>
        </is>
      </c>
      <c r="H768" t="inlineStr">
        <is>
          <t>Bergvik skog väst AB</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10532-2026</t>
        </is>
      </c>
      <c r="B769" t="inlineStr">
        <is>
          <t>avverkningsanmälan</t>
        </is>
      </c>
      <c r="C769" t="inlineStr">
        <is>
          <t>Föryngringsavverkning</t>
        </is>
      </c>
      <c r="D769" s="1" t="n">
        <v>46077</v>
      </c>
      <c r="E769" s="1" t="n">
        <v>46222</v>
      </c>
      <c r="F769" t="inlineStr">
        <is>
          <t>GÄVLEBORGS LÄN</t>
        </is>
      </c>
      <c r="G769" t="inlineStr">
        <is>
          <t>OVANÅKER</t>
        </is>
      </c>
      <c r="I769" t="n">
        <v>13.6</v>
      </c>
      <c r="J769" t="n">
        <v>0</v>
      </c>
      <c r="K769" t="n">
        <v>0</v>
      </c>
      <c r="L769" t="n">
        <v>0</v>
      </c>
      <c r="M769" t="n">
        <v>0</v>
      </c>
      <c r="N769" t="n">
        <v>0</v>
      </c>
      <c r="O769" t="n">
        <v>0</v>
      </c>
      <c r="P769" t="n">
        <v>0</v>
      </c>
      <c r="Q769" t="n">
        <v>0</v>
      </c>
      <c r="R769" t="n">
        <v>0</v>
      </c>
      <c r="S769" t="n">
        <v>0</v>
      </c>
      <c r="T769" t="n">
        <v>0</v>
      </c>
      <c r="U769" s="2" t="inlineStr"/>
    </row>
    <row r="770" ht="15" customHeight="1">
      <c r="A770" t="inlineStr">
        <is>
          <t>A 15539-2026</t>
        </is>
      </c>
      <c r="B770" t="inlineStr">
        <is>
          <t>avverkningsanmälan</t>
        </is>
      </c>
      <c r="C770" t="inlineStr">
        <is>
          <t>Föryngringsavverkning</t>
        </is>
      </c>
      <c r="D770" s="1" t="n">
        <v>46106</v>
      </c>
      <c r="E770" s="1" t="n">
        <v>46222</v>
      </c>
      <c r="F770" t="inlineStr">
        <is>
          <t>GÄVLEBORGS LÄN</t>
        </is>
      </c>
      <c r="G770" t="inlineStr">
        <is>
          <t>OVANÅKER</t>
        </is>
      </c>
      <c r="H770" t="inlineStr">
        <is>
          <t>Bergvik skog öst AB</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36316-2023</t>
        </is>
      </c>
      <c r="B771" t="inlineStr">
        <is>
          <t>avverkningsanmälan</t>
        </is>
      </c>
      <c r="C771" t="inlineStr">
        <is>
          <t>Föryngringsavverkning</t>
        </is>
      </c>
      <c r="D771" s="1" t="n">
        <v>45152</v>
      </c>
      <c r="E771" s="1" t="n">
        <v>46222</v>
      </c>
      <c r="F771" t="inlineStr">
        <is>
          <t>GÄVLEBORGS LÄN</t>
        </is>
      </c>
      <c r="G771" t="inlineStr">
        <is>
          <t>OVANÅKER</t>
        </is>
      </c>
      <c r="I771" t="n">
        <v>2.2</v>
      </c>
      <c r="J771" t="n">
        <v>0</v>
      </c>
      <c r="K771" t="n">
        <v>0</v>
      </c>
      <c r="L771" t="n">
        <v>0</v>
      </c>
      <c r="M771" t="n">
        <v>0</v>
      </c>
      <c r="N771" t="n">
        <v>0</v>
      </c>
      <c r="O771" t="n">
        <v>0</v>
      </c>
      <c r="P771" t="n">
        <v>0</v>
      </c>
      <c r="Q771" t="n">
        <v>0</v>
      </c>
      <c r="R771" t="n">
        <v>0</v>
      </c>
      <c r="S771" t="n">
        <v>0</v>
      </c>
      <c r="T771" t="n">
        <v>0</v>
      </c>
      <c r="U771" s="2" t="inlineStr"/>
    </row>
    <row r="772" ht="15" customHeight="1">
      <c r="A772" t="inlineStr">
        <is>
          <t>A 19868-2026</t>
        </is>
      </c>
      <c r="B772" t="inlineStr">
        <is>
          <t>avverkningsanmälan</t>
        </is>
      </c>
      <c r="C772" t="inlineStr">
        <is>
          <t>Föryngringsavverkning</t>
        </is>
      </c>
      <c r="D772" s="1" t="n">
        <v>46135</v>
      </c>
      <c r="E772" s="1" t="n">
        <v>46222</v>
      </c>
      <c r="F772" t="inlineStr">
        <is>
          <t>GÄVLEBORGS LÄN</t>
        </is>
      </c>
      <c r="G772" t="inlineStr">
        <is>
          <t>OVANÅKER</t>
        </is>
      </c>
      <c r="I772" t="n">
        <v>2</v>
      </c>
      <c r="J772" t="n">
        <v>0</v>
      </c>
      <c r="K772" t="n">
        <v>0</v>
      </c>
      <c r="L772" t="n">
        <v>0</v>
      </c>
      <c r="M772" t="n">
        <v>0</v>
      </c>
      <c r="N772" t="n">
        <v>0</v>
      </c>
      <c r="O772" t="n">
        <v>0</v>
      </c>
      <c r="P772" t="n">
        <v>0</v>
      </c>
      <c r="Q772" t="n">
        <v>0</v>
      </c>
      <c r="R772" t="n">
        <v>0</v>
      </c>
      <c r="S772" t="n">
        <v>0</v>
      </c>
      <c r="T772" t="n">
        <v>0</v>
      </c>
      <c r="U772" s="2" t="inlineStr"/>
    </row>
    <row r="773" ht="15" customHeight="1">
      <c r="A773" t="inlineStr">
        <is>
          <t>A 10762-2025</t>
        </is>
      </c>
      <c r="B773" t="inlineStr">
        <is>
          <t>avverkningsanmälan</t>
        </is>
      </c>
      <c r="C773" t="inlineStr">
        <is>
          <t>Föryngringsavverkning</t>
        </is>
      </c>
      <c r="D773" s="1" t="n">
        <v>45722</v>
      </c>
      <c r="E773" s="1" t="n">
        <v>46222</v>
      </c>
      <c r="F773" t="inlineStr">
        <is>
          <t>GÄVLEBORGS LÄN</t>
        </is>
      </c>
      <c r="G773" t="inlineStr">
        <is>
          <t>OVANÅKER</t>
        </is>
      </c>
      <c r="I773" t="n">
        <v>0.4</v>
      </c>
      <c r="J773" t="n">
        <v>0</v>
      </c>
      <c r="K773" t="n">
        <v>0</v>
      </c>
      <c r="L773" t="n">
        <v>0</v>
      </c>
      <c r="M773" t="n">
        <v>0</v>
      </c>
      <c r="N773" t="n">
        <v>0</v>
      </c>
      <c r="O773" t="n">
        <v>0</v>
      </c>
      <c r="P773" t="n">
        <v>0</v>
      </c>
      <c r="Q773" t="n">
        <v>0</v>
      </c>
      <c r="R773" t="n">
        <v>0</v>
      </c>
      <c r="S773" t="n">
        <v>0</v>
      </c>
      <c r="T773" t="n">
        <v>0</v>
      </c>
      <c r="U773" s="2" t="inlineStr"/>
    </row>
    <row r="774" ht="15" customHeight="1">
      <c r="A774" t="inlineStr">
        <is>
          <t>A 16204-2025</t>
        </is>
      </c>
      <c r="B774" t="inlineStr">
        <is>
          <t>avverkningsanmälan</t>
        </is>
      </c>
      <c r="C774" t="inlineStr">
        <is>
          <t>Föryngringsavverkning</t>
        </is>
      </c>
      <c r="D774" s="1" t="n">
        <v>45750</v>
      </c>
      <c r="E774" s="1" t="n">
        <v>46222</v>
      </c>
      <c r="F774" t="inlineStr">
        <is>
          <t>GÄVLEBORGS LÄN</t>
        </is>
      </c>
      <c r="G774" t="inlineStr">
        <is>
          <t>OVANÅKER</t>
        </is>
      </c>
      <c r="I774" t="n">
        <v>16.7</v>
      </c>
      <c r="J774" t="n">
        <v>0</v>
      </c>
      <c r="K774" t="n">
        <v>0</v>
      </c>
      <c r="L774" t="n">
        <v>0</v>
      </c>
      <c r="M774" t="n">
        <v>0</v>
      </c>
      <c r="N774" t="n">
        <v>0</v>
      </c>
      <c r="O774" t="n">
        <v>0</v>
      </c>
      <c r="P774" t="n">
        <v>0</v>
      </c>
      <c r="Q774" t="n">
        <v>0</v>
      </c>
      <c r="R774" t="n">
        <v>0</v>
      </c>
      <c r="S774" t="n">
        <v>0</v>
      </c>
      <c r="T774" t="n">
        <v>0</v>
      </c>
      <c r="U774" s="2" t="inlineStr"/>
    </row>
    <row r="775" ht="15" customHeight="1">
      <c r="A775" t="inlineStr">
        <is>
          <t>A 2738-2026</t>
        </is>
      </c>
      <c r="B775" t="inlineStr">
        <is>
          <t>avverkningsanmälan</t>
        </is>
      </c>
      <c r="C775" t="inlineStr">
        <is>
          <t>Föryngringsavverkning</t>
        </is>
      </c>
      <c r="D775" s="1" t="n">
        <v>46038</v>
      </c>
      <c r="E775" s="1" t="n">
        <v>46222</v>
      </c>
      <c r="F775" t="inlineStr">
        <is>
          <t>GÄVLEBORGS LÄN</t>
        </is>
      </c>
      <c r="G775" t="inlineStr">
        <is>
          <t>OVANÅKER</t>
        </is>
      </c>
      <c r="I775" t="n">
        <v>1.7</v>
      </c>
      <c r="J775" t="n">
        <v>0</v>
      </c>
      <c r="K775" t="n">
        <v>0</v>
      </c>
      <c r="L775" t="n">
        <v>0</v>
      </c>
      <c r="M775" t="n">
        <v>0</v>
      </c>
      <c r="N775" t="n">
        <v>0</v>
      </c>
      <c r="O775" t="n">
        <v>0</v>
      </c>
      <c r="P775" t="n">
        <v>0</v>
      </c>
      <c r="Q775" t="n">
        <v>0</v>
      </c>
      <c r="R775" t="n">
        <v>0</v>
      </c>
      <c r="S775" t="n">
        <v>0</v>
      </c>
      <c r="T775" t="n">
        <v>0</v>
      </c>
      <c r="U775" s="2" t="inlineStr"/>
    </row>
    <row r="776" ht="15" customHeight="1">
      <c r="A776" t="inlineStr">
        <is>
          <t>A 1619-2026</t>
        </is>
      </c>
      <c r="B776" t="inlineStr">
        <is>
          <t>avverkningsanmälan</t>
        </is>
      </c>
      <c r="C776" t="inlineStr">
        <is>
          <t>Föryngringsavverkning</t>
        </is>
      </c>
      <c r="D776" s="1" t="n">
        <v>46034</v>
      </c>
      <c r="E776" s="1" t="n">
        <v>46222</v>
      </c>
      <c r="F776" t="inlineStr">
        <is>
          <t>GÄVLEBORGS LÄN</t>
        </is>
      </c>
      <c r="G776" t="inlineStr">
        <is>
          <t>OVANÅKER</t>
        </is>
      </c>
      <c r="I776" t="n">
        <v>2.7</v>
      </c>
      <c r="J776" t="n">
        <v>0</v>
      </c>
      <c r="K776" t="n">
        <v>0</v>
      </c>
      <c r="L776" t="n">
        <v>0</v>
      </c>
      <c r="M776" t="n">
        <v>0</v>
      </c>
      <c r="N776" t="n">
        <v>0</v>
      </c>
      <c r="O776" t="n">
        <v>0</v>
      </c>
      <c r="P776" t="n">
        <v>0</v>
      </c>
      <c r="Q776" t="n">
        <v>0</v>
      </c>
      <c r="R776" t="n">
        <v>0</v>
      </c>
      <c r="S776" t="n">
        <v>0</v>
      </c>
      <c r="T776" t="n">
        <v>0</v>
      </c>
      <c r="U776" s="2" t="inlineStr"/>
    </row>
    <row r="777" ht="15" customHeight="1">
      <c r="A777" t="inlineStr">
        <is>
          <t>A 25965-2025</t>
        </is>
      </c>
      <c r="B777" t="inlineStr">
        <is>
          <t>avverkningsanmälan</t>
        </is>
      </c>
      <c r="C777" t="inlineStr">
        <is>
          <t>Föryngringsavverkning</t>
        </is>
      </c>
      <c r="D777" s="1" t="n">
        <v>45804</v>
      </c>
      <c r="E777" s="1" t="n">
        <v>46222</v>
      </c>
      <c r="F777" t="inlineStr">
        <is>
          <t>GÄVLEBORGS LÄN</t>
        </is>
      </c>
      <c r="G777" t="inlineStr">
        <is>
          <t>OVANÅKER</t>
        </is>
      </c>
      <c r="I777" t="n">
        <v>1.4</v>
      </c>
      <c r="J777" t="n">
        <v>0</v>
      </c>
      <c r="K777" t="n">
        <v>0</v>
      </c>
      <c r="L777" t="n">
        <v>0</v>
      </c>
      <c r="M777" t="n">
        <v>0</v>
      </c>
      <c r="N777" t="n">
        <v>0</v>
      </c>
      <c r="O777" t="n">
        <v>0</v>
      </c>
      <c r="P777" t="n">
        <v>0</v>
      </c>
      <c r="Q777" t="n">
        <v>0</v>
      </c>
      <c r="R777" t="n">
        <v>0</v>
      </c>
      <c r="S777" t="n">
        <v>0</v>
      </c>
      <c r="T777" t="n">
        <v>0</v>
      </c>
      <c r="U777" s="2" t="inlineStr"/>
    </row>
    <row r="778" ht="15" customHeight="1">
      <c r="A778" t="inlineStr">
        <is>
          <t>A 14222-2026</t>
        </is>
      </c>
      <c r="B778" t="inlineStr">
        <is>
          <t>avverkningsanmälan</t>
        </is>
      </c>
      <c r="C778" t="inlineStr">
        <is>
          <t>Föryngringsavverkning</t>
        </is>
      </c>
      <c r="D778" s="1" t="n">
        <v>46099</v>
      </c>
      <c r="E778" s="1" t="n">
        <v>46222</v>
      </c>
      <c r="F778" t="inlineStr">
        <is>
          <t>GÄVLEBORGS LÄN</t>
        </is>
      </c>
      <c r="G778" t="inlineStr">
        <is>
          <t>OVANÅKER</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2053-2026</t>
        </is>
      </c>
      <c r="B779" t="inlineStr">
        <is>
          <t>avverkningsanmälan</t>
        </is>
      </c>
      <c r="C779" t="inlineStr">
        <is>
          <t>Föryngringsavverkning</t>
        </is>
      </c>
      <c r="D779" s="1" t="n">
        <v>46031</v>
      </c>
      <c r="E779" s="1" t="n">
        <v>46222</v>
      </c>
      <c r="F779" t="inlineStr">
        <is>
          <t>GÄVLEBORGS LÄN</t>
        </is>
      </c>
      <c r="G779" t="inlineStr">
        <is>
          <t>OVANÅKER</t>
        </is>
      </c>
      <c r="I779" t="n">
        <v>6.1</v>
      </c>
      <c r="J779" t="n">
        <v>0</v>
      </c>
      <c r="K779" t="n">
        <v>0</v>
      </c>
      <c r="L779" t="n">
        <v>0</v>
      </c>
      <c r="M779" t="n">
        <v>0</v>
      </c>
      <c r="N779" t="n">
        <v>0</v>
      </c>
      <c r="O779" t="n">
        <v>0</v>
      </c>
      <c r="P779" t="n">
        <v>0</v>
      </c>
      <c r="Q779" t="n">
        <v>0</v>
      </c>
      <c r="R779" t="n">
        <v>0</v>
      </c>
      <c r="S779" t="n">
        <v>0</v>
      </c>
      <c r="T779" t="n">
        <v>0</v>
      </c>
      <c r="U779" s="2" t="inlineStr"/>
    </row>
    <row r="780" ht="15" customHeight="1">
      <c r="A780" t="inlineStr">
        <is>
          <t>A 2081-2026</t>
        </is>
      </c>
      <c r="B780" t="inlineStr">
        <is>
          <t>avverkningsanmälan</t>
        </is>
      </c>
      <c r="C780" t="inlineStr">
        <is>
          <t>Föryngringsavverkning</t>
        </is>
      </c>
      <c r="D780" s="1" t="n">
        <v>46036</v>
      </c>
      <c r="E780" s="1" t="n">
        <v>46222</v>
      </c>
      <c r="F780" t="inlineStr">
        <is>
          <t>GÄVLEBORGS LÄN</t>
        </is>
      </c>
      <c r="G780" t="inlineStr">
        <is>
          <t>OVANÅKER</t>
        </is>
      </c>
      <c r="I780" t="n">
        <v>3</v>
      </c>
      <c r="J780" t="n">
        <v>0</v>
      </c>
      <c r="K780" t="n">
        <v>0</v>
      </c>
      <c r="L780" t="n">
        <v>0</v>
      </c>
      <c r="M780" t="n">
        <v>0</v>
      </c>
      <c r="N780" t="n">
        <v>0</v>
      </c>
      <c r="O780" t="n">
        <v>0</v>
      </c>
      <c r="P780" t="n">
        <v>0</v>
      </c>
      <c r="Q780" t="n">
        <v>0</v>
      </c>
      <c r="R780" t="n">
        <v>0</v>
      </c>
      <c r="S780" t="n">
        <v>0</v>
      </c>
      <c r="T780" t="n">
        <v>0</v>
      </c>
      <c r="U780" s="2" t="inlineStr"/>
    </row>
    <row r="781" ht="15" customHeight="1">
      <c r="A781" t="inlineStr">
        <is>
          <t>A 5823-2026</t>
        </is>
      </c>
      <c r="B781" t="inlineStr">
        <is>
          <t>avverkningsanmälan</t>
        </is>
      </c>
      <c r="C781" t="inlineStr">
        <is>
          <t>Föryngringsavverkning</t>
        </is>
      </c>
      <c r="D781" s="1" t="n">
        <v>46052</v>
      </c>
      <c r="E781" s="1" t="n">
        <v>46222</v>
      </c>
      <c r="F781" t="inlineStr">
        <is>
          <t>GÄVLEBORGS LÄN</t>
        </is>
      </c>
      <c r="G781" t="inlineStr">
        <is>
          <t>OVANÅKER</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A 13059-2026</t>
        </is>
      </c>
      <c r="B782" t="inlineStr">
        <is>
          <t>avverkningsanmälan</t>
        </is>
      </c>
      <c r="C782" t="inlineStr">
        <is>
          <t>Föryngringsavverkning</t>
        </is>
      </c>
      <c r="D782" s="1" t="n">
        <v>46093</v>
      </c>
      <c r="E782" s="1" t="n">
        <v>46222</v>
      </c>
      <c r="F782" t="inlineStr">
        <is>
          <t>GÄVLEBORGS LÄN</t>
        </is>
      </c>
      <c r="G782" t="inlineStr">
        <is>
          <t>OVANÅKER</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6766-2022</t>
        </is>
      </c>
      <c r="B783" t="inlineStr">
        <is>
          <t>avverkningsanmälan</t>
        </is>
      </c>
      <c r="C783" t="inlineStr">
        <is>
          <t>Föryngringsavverkning</t>
        </is>
      </c>
      <c r="D783" s="1" t="n">
        <v>44602</v>
      </c>
      <c r="E783" s="1" t="n">
        <v>46222</v>
      </c>
      <c r="F783" t="inlineStr">
        <is>
          <t>GÄVLEBORGS LÄN</t>
        </is>
      </c>
      <c r="G783" t="inlineStr">
        <is>
          <t>OVANÅKER</t>
        </is>
      </c>
      <c r="I783" t="n">
        <v>0.9</v>
      </c>
      <c r="J783" t="n">
        <v>0</v>
      </c>
      <c r="K783" t="n">
        <v>0</v>
      </c>
      <c r="L783" t="n">
        <v>0</v>
      </c>
      <c r="M783" t="n">
        <v>0</v>
      </c>
      <c r="N783" t="n">
        <v>0</v>
      </c>
      <c r="O783" t="n">
        <v>0</v>
      </c>
      <c r="P783" t="n">
        <v>0</v>
      </c>
      <c r="Q783" t="n">
        <v>0</v>
      </c>
      <c r="R783" t="n">
        <v>0</v>
      </c>
      <c r="S783" t="n">
        <v>0</v>
      </c>
      <c r="T783" t="n">
        <v>0</v>
      </c>
      <c r="U783" s="2" t="inlineStr"/>
    </row>
    <row r="784" ht="15" customHeight="1">
      <c r="A784" t="inlineStr">
        <is>
          <t>A 31052-2024</t>
        </is>
      </c>
      <c r="B784" t="inlineStr">
        <is>
          <t>avverkningsanmälan</t>
        </is>
      </c>
      <c r="C784" t="inlineStr">
        <is>
          <t>Föryngringsavverkning</t>
        </is>
      </c>
      <c r="D784" s="1" t="n">
        <v>45502</v>
      </c>
      <c r="E784" s="1" t="n">
        <v>46222</v>
      </c>
      <c r="F784" t="inlineStr">
        <is>
          <t>GÄVLEBORGS LÄN</t>
        </is>
      </c>
      <c r="G784" t="inlineStr">
        <is>
          <t>OVANÅKER</t>
        </is>
      </c>
      <c r="H784" t="inlineStr">
        <is>
          <t>Bergvik skog väst AB</t>
        </is>
      </c>
      <c r="I784" t="n">
        <v>2.9</v>
      </c>
      <c r="J784" t="n">
        <v>0</v>
      </c>
      <c r="K784" t="n">
        <v>0</v>
      </c>
      <c r="L784" t="n">
        <v>0</v>
      </c>
      <c r="M784" t="n">
        <v>0</v>
      </c>
      <c r="N784" t="n">
        <v>0</v>
      </c>
      <c r="O784" t="n">
        <v>0</v>
      </c>
      <c r="P784" t="n">
        <v>0</v>
      </c>
      <c r="Q784" t="n">
        <v>0</v>
      </c>
      <c r="R784" t="n">
        <v>0</v>
      </c>
      <c r="S784" t="n">
        <v>0</v>
      </c>
      <c r="T784" t="n">
        <v>0</v>
      </c>
      <c r="U784" s="2" t="inlineStr"/>
    </row>
    <row r="785" ht="15" customHeight="1">
      <c r="A785" t="inlineStr">
        <is>
          <t>A 8289-2026</t>
        </is>
      </c>
      <c r="B785" t="inlineStr">
        <is>
          <t>avverkningsanmälan</t>
        </is>
      </c>
      <c r="C785" t="inlineStr">
        <is>
          <t>Föryngringsavverkning</t>
        </is>
      </c>
      <c r="D785" s="1" t="n">
        <v>46064</v>
      </c>
      <c r="E785" s="1" t="n">
        <v>46222</v>
      </c>
      <c r="F785" t="inlineStr">
        <is>
          <t>GÄVLEBORGS LÄN</t>
        </is>
      </c>
      <c r="G785" t="inlineStr">
        <is>
          <t>OVANÅKER</t>
        </is>
      </c>
      <c r="I785" t="n">
        <v>2</v>
      </c>
      <c r="J785" t="n">
        <v>0</v>
      </c>
      <c r="K785" t="n">
        <v>0</v>
      </c>
      <c r="L785" t="n">
        <v>0</v>
      </c>
      <c r="M785" t="n">
        <v>0</v>
      </c>
      <c r="N785" t="n">
        <v>0</v>
      </c>
      <c r="O785" t="n">
        <v>0</v>
      </c>
      <c r="P785" t="n">
        <v>0</v>
      </c>
      <c r="Q785" t="n">
        <v>0</v>
      </c>
      <c r="R785" t="n">
        <v>0</v>
      </c>
      <c r="S785" t="n">
        <v>0</v>
      </c>
      <c r="T785" t="n">
        <v>0</v>
      </c>
      <c r="U785" s="2" t="inlineStr"/>
    </row>
    <row r="786" ht="15" customHeight="1">
      <c r="A786" t="inlineStr">
        <is>
          <t>A 31084-2024</t>
        </is>
      </c>
      <c r="B786" t="inlineStr">
        <is>
          <t>avverkningsanmälan</t>
        </is>
      </c>
      <c r="C786" t="inlineStr">
        <is>
          <t>Föryngringsavverkning</t>
        </is>
      </c>
      <c r="D786" s="1" t="n">
        <v>45502</v>
      </c>
      <c r="E786" s="1" t="n">
        <v>46222</v>
      </c>
      <c r="F786" t="inlineStr">
        <is>
          <t>GÄVLEBORGS LÄN</t>
        </is>
      </c>
      <c r="G786" t="inlineStr">
        <is>
          <t>OVANÅKER</t>
        </is>
      </c>
      <c r="H786" t="inlineStr">
        <is>
          <t>Bergvik skog öst AB</t>
        </is>
      </c>
      <c r="I786" t="n">
        <v>6.7</v>
      </c>
      <c r="J786" t="n">
        <v>0</v>
      </c>
      <c r="K786" t="n">
        <v>0</v>
      </c>
      <c r="L786" t="n">
        <v>0</v>
      </c>
      <c r="M786" t="n">
        <v>0</v>
      </c>
      <c r="N786" t="n">
        <v>0</v>
      </c>
      <c r="O786" t="n">
        <v>0</v>
      </c>
      <c r="P786" t="n">
        <v>0</v>
      </c>
      <c r="Q786" t="n">
        <v>0</v>
      </c>
      <c r="R786" t="n">
        <v>0</v>
      </c>
      <c r="S786" t="n">
        <v>0</v>
      </c>
      <c r="T786" t="n">
        <v>0</v>
      </c>
      <c r="U786" s="2" t="inlineStr"/>
    </row>
    <row r="787" ht="15" customHeight="1">
      <c r="A787" t="inlineStr">
        <is>
          <t>A 3416-2026</t>
        </is>
      </c>
      <c r="B787" t="inlineStr">
        <is>
          <t>avverkningsanmälan</t>
        </is>
      </c>
      <c r="C787" t="inlineStr">
        <is>
          <t>Föryngringsavverkning</t>
        </is>
      </c>
      <c r="D787" s="1" t="n">
        <v>46042</v>
      </c>
      <c r="E787" s="1" t="n">
        <v>46222</v>
      </c>
      <c r="F787" t="inlineStr">
        <is>
          <t>GÄVLEBORGS LÄN</t>
        </is>
      </c>
      <c r="G787" t="inlineStr">
        <is>
          <t>OVANÅKER</t>
        </is>
      </c>
      <c r="H787" t="inlineStr">
        <is>
          <t>Bergvik skog väst AB</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A 20337-2026</t>
        </is>
      </c>
      <c r="B788" t="inlineStr">
        <is>
          <t>avverkningsanmälan</t>
        </is>
      </c>
      <c r="C788" t="inlineStr">
        <is>
          <t>Föryngringsavverkning</t>
        </is>
      </c>
      <c r="D788" s="1" t="n">
        <v>46139</v>
      </c>
      <c r="E788" s="1" t="n">
        <v>46222</v>
      </c>
      <c r="F788" t="inlineStr">
        <is>
          <t>GÄVLEBORGS LÄN</t>
        </is>
      </c>
      <c r="G788" t="inlineStr">
        <is>
          <t>OVANÅKER</t>
        </is>
      </c>
      <c r="H788" t="inlineStr">
        <is>
          <t>Bergvik skog väst AB</t>
        </is>
      </c>
      <c r="I788" t="n">
        <v>1.1</v>
      </c>
      <c r="J788" t="n">
        <v>0</v>
      </c>
      <c r="K788" t="n">
        <v>0</v>
      </c>
      <c r="L788" t="n">
        <v>0</v>
      </c>
      <c r="M788" t="n">
        <v>0</v>
      </c>
      <c r="N788" t="n">
        <v>0</v>
      </c>
      <c r="O788" t="n">
        <v>0</v>
      </c>
      <c r="P788" t="n">
        <v>0</v>
      </c>
      <c r="Q788" t="n">
        <v>0</v>
      </c>
      <c r="R788" t="n">
        <v>0</v>
      </c>
      <c r="S788" t="n">
        <v>0</v>
      </c>
      <c r="T788" t="n">
        <v>0</v>
      </c>
      <c r="U788" s="2" t="inlineStr"/>
    </row>
    <row r="789" ht="15" customHeight="1">
      <c r="A789" t="inlineStr">
        <is>
          <t>A 17806-2026</t>
        </is>
      </c>
      <c r="B789" t="inlineStr">
        <is>
          <t>avverkningsanmälan</t>
        </is>
      </c>
      <c r="C789" t="inlineStr">
        <is>
          <t>Föryngringsavverkning</t>
        </is>
      </c>
      <c r="D789" s="1" t="n">
        <v>46122</v>
      </c>
      <c r="E789" s="1" t="n">
        <v>46222</v>
      </c>
      <c r="F789" t="inlineStr">
        <is>
          <t>GÄVLEBORGS LÄN</t>
        </is>
      </c>
      <c r="G789" t="inlineStr">
        <is>
          <t>OVANÅKER</t>
        </is>
      </c>
      <c r="H789" t="inlineStr">
        <is>
          <t>Bergvik skog öst AB</t>
        </is>
      </c>
      <c r="I789" t="n">
        <v>1.5</v>
      </c>
      <c r="J789" t="n">
        <v>0</v>
      </c>
      <c r="K789" t="n">
        <v>0</v>
      </c>
      <c r="L789" t="n">
        <v>0</v>
      </c>
      <c r="M789" t="n">
        <v>0</v>
      </c>
      <c r="N789" t="n">
        <v>0</v>
      </c>
      <c r="O789" t="n">
        <v>0</v>
      </c>
      <c r="P789" t="n">
        <v>0</v>
      </c>
      <c r="Q789" t="n">
        <v>0</v>
      </c>
      <c r="R789" t="n">
        <v>0</v>
      </c>
      <c r="S789" t="n">
        <v>0</v>
      </c>
      <c r="T789" t="n">
        <v>0</v>
      </c>
      <c r="U789" s="2" t="inlineStr"/>
    </row>
    <row r="790" ht="15" customHeight="1">
      <c r="A790" t="inlineStr">
        <is>
          <t>A 5580-2026</t>
        </is>
      </c>
      <c r="B790" t="inlineStr">
        <is>
          <t>avverkningsanmälan</t>
        </is>
      </c>
      <c r="C790" t="inlineStr">
        <is>
          <t>Föryngringsavverkning</t>
        </is>
      </c>
      <c r="D790" s="1" t="n">
        <v>46051</v>
      </c>
      <c r="E790" s="1" t="n">
        <v>46222</v>
      </c>
      <c r="F790" t="inlineStr">
        <is>
          <t>GÄVLEBORGS LÄN</t>
        </is>
      </c>
      <c r="G790" t="inlineStr">
        <is>
          <t>OVANÅKER</t>
        </is>
      </c>
      <c r="I790" t="n">
        <v>2.4</v>
      </c>
      <c r="J790" t="n">
        <v>0</v>
      </c>
      <c r="K790" t="n">
        <v>0</v>
      </c>
      <c r="L790" t="n">
        <v>0</v>
      </c>
      <c r="M790" t="n">
        <v>0</v>
      </c>
      <c r="N790" t="n">
        <v>0</v>
      </c>
      <c r="O790" t="n">
        <v>0</v>
      </c>
      <c r="P790" t="n">
        <v>0</v>
      </c>
      <c r="Q790" t="n">
        <v>0</v>
      </c>
      <c r="R790" t="n">
        <v>0</v>
      </c>
      <c r="S790" t="n">
        <v>0</v>
      </c>
      <c r="T790" t="n">
        <v>0</v>
      </c>
      <c r="U790" s="2" t="inlineStr"/>
    </row>
    <row r="791" ht="15" customHeight="1">
      <c r="A791" t="inlineStr">
        <is>
          <t>A 10765-2026</t>
        </is>
      </c>
      <c r="B791" t="inlineStr">
        <is>
          <t>avverkningsanmälan</t>
        </is>
      </c>
      <c r="C791" t="inlineStr">
        <is>
          <t>Föryngringsavverkning</t>
        </is>
      </c>
      <c r="D791" s="1" t="n">
        <v>46078</v>
      </c>
      <c r="E791" s="1" t="n">
        <v>46222</v>
      </c>
      <c r="F791" t="inlineStr">
        <is>
          <t>GÄVLEBORGS LÄN</t>
        </is>
      </c>
      <c r="G791" t="inlineStr">
        <is>
          <t>OVANÅKER</t>
        </is>
      </c>
      <c r="H791" t="inlineStr">
        <is>
          <t>Bergvik skog väst AB</t>
        </is>
      </c>
      <c r="I791" t="n">
        <v>0.9</v>
      </c>
      <c r="J791" t="n">
        <v>0</v>
      </c>
      <c r="K791" t="n">
        <v>0</v>
      </c>
      <c r="L791" t="n">
        <v>0</v>
      </c>
      <c r="M791" t="n">
        <v>0</v>
      </c>
      <c r="N791" t="n">
        <v>0</v>
      </c>
      <c r="O791" t="n">
        <v>0</v>
      </c>
      <c r="P791" t="n">
        <v>0</v>
      </c>
      <c r="Q791" t="n">
        <v>0</v>
      </c>
      <c r="R791" t="n">
        <v>0</v>
      </c>
      <c r="S791" t="n">
        <v>0</v>
      </c>
      <c r="T791" t="n">
        <v>0</v>
      </c>
      <c r="U791" s="2" t="inlineStr"/>
    </row>
    <row r="792" ht="15" customHeight="1">
      <c r="A792" t="inlineStr">
        <is>
          <t>A 39384-2023</t>
        </is>
      </c>
      <c r="B792" t="inlineStr">
        <is>
          <t>avverkningsanmälan</t>
        </is>
      </c>
      <c r="C792" t="inlineStr">
        <is>
          <t>Föryngringsavverkning</t>
        </is>
      </c>
      <c r="D792" s="1" t="n">
        <v>45166</v>
      </c>
      <c r="E792" s="1" t="n">
        <v>46222</v>
      </c>
      <c r="F792" t="inlineStr">
        <is>
          <t>GÄVLEBORGS LÄN</t>
        </is>
      </c>
      <c r="G792" t="inlineStr">
        <is>
          <t>OVANÅKER</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19547-2024</t>
        </is>
      </c>
      <c r="B793" t="inlineStr">
        <is>
          <t>avverkningsanmälan</t>
        </is>
      </c>
      <c r="C793" t="inlineStr">
        <is>
          <t>Föryngringsavverkning</t>
        </is>
      </c>
      <c r="D793" s="1" t="n">
        <v>45429</v>
      </c>
      <c r="E793" s="1" t="n">
        <v>46222</v>
      </c>
      <c r="F793" t="inlineStr">
        <is>
          <t>GÄVLEBORGS LÄN</t>
        </is>
      </c>
      <c r="G793" t="inlineStr">
        <is>
          <t>OVANÅKER</t>
        </is>
      </c>
      <c r="I793" t="n">
        <v>11.9</v>
      </c>
      <c r="J793" t="n">
        <v>0</v>
      </c>
      <c r="K793" t="n">
        <v>0</v>
      </c>
      <c r="L793" t="n">
        <v>0</v>
      </c>
      <c r="M793" t="n">
        <v>0</v>
      </c>
      <c r="N793" t="n">
        <v>0</v>
      </c>
      <c r="O793" t="n">
        <v>0</v>
      </c>
      <c r="P793" t="n">
        <v>0</v>
      </c>
      <c r="Q793" t="n">
        <v>0</v>
      </c>
      <c r="R793" t="n">
        <v>0</v>
      </c>
      <c r="S793" t="n">
        <v>0</v>
      </c>
      <c r="T793" t="n">
        <v>0</v>
      </c>
      <c r="U793" s="2" t="inlineStr"/>
    </row>
    <row r="794" ht="15" customHeight="1">
      <c r="A794" t="inlineStr">
        <is>
          <t>A 54273-2024</t>
        </is>
      </c>
      <c r="B794" t="inlineStr">
        <is>
          <t>avverkningsanmälan</t>
        </is>
      </c>
      <c r="C794" t="inlineStr">
        <is>
          <t>Föryngringsavverkning</t>
        </is>
      </c>
      <c r="D794" s="1" t="n">
        <v>45616</v>
      </c>
      <c r="E794" s="1" t="n">
        <v>46222</v>
      </c>
      <c r="F794" t="inlineStr">
        <is>
          <t>GÄVLEBORGS LÄN</t>
        </is>
      </c>
      <c r="G794" t="inlineStr">
        <is>
          <t>OVANÅKER</t>
        </is>
      </c>
      <c r="I794" t="n">
        <v>1.7</v>
      </c>
      <c r="J794" t="n">
        <v>0</v>
      </c>
      <c r="K794" t="n">
        <v>0</v>
      </c>
      <c r="L794" t="n">
        <v>0</v>
      </c>
      <c r="M794" t="n">
        <v>0</v>
      </c>
      <c r="N794" t="n">
        <v>0</v>
      </c>
      <c r="O794" t="n">
        <v>0</v>
      </c>
      <c r="P794" t="n">
        <v>0</v>
      </c>
      <c r="Q794" t="n">
        <v>0</v>
      </c>
      <c r="R794" t="n">
        <v>0</v>
      </c>
      <c r="S794" t="n">
        <v>0</v>
      </c>
      <c r="T794" t="n">
        <v>0</v>
      </c>
      <c r="U794" s="2" t="inlineStr"/>
    </row>
    <row r="795" ht="15" customHeight="1">
      <c r="A795" t="inlineStr">
        <is>
          <t>A 5389-2026</t>
        </is>
      </c>
      <c r="B795" t="inlineStr">
        <is>
          <t>avverkningsanmälan</t>
        </is>
      </c>
      <c r="C795" t="inlineStr">
        <is>
          <t>Föryngringsavverkning</t>
        </is>
      </c>
      <c r="D795" s="1" t="n">
        <v>46050</v>
      </c>
      <c r="E795" s="1" t="n">
        <v>46222</v>
      </c>
      <c r="F795" t="inlineStr">
        <is>
          <t>GÄVLEBORGS LÄN</t>
        </is>
      </c>
      <c r="G795" t="inlineStr">
        <is>
          <t>OVANÅKER</t>
        </is>
      </c>
      <c r="I795" t="n">
        <v>12.4</v>
      </c>
      <c r="J795" t="n">
        <v>0</v>
      </c>
      <c r="K795" t="n">
        <v>0</v>
      </c>
      <c r="L795" t="n">
        <v>0</v>
      </c>
      <c r="M795" t="n">
        <v>0</v>
      </c>
      <c r="N795" t="n">
        <v>0</v>
      </c>
      <c r="O795" t="n">
        <v>0</v>
      </c>
      <c r="P795" t="n">
        <v>0</v>
      </c>
      <c r="Q795" t="n">
        <v>0</v>
      </c>
      <c r="R795" t="n">
        <v>0</v>
      </c>
      <c r="S795" t="n">
        <v>0</v>
      </c>
      <c r="T795" t="n">
        <v>0</v>
      </c>
      <c r="U795" s="2" t="inlineStr"/>
    </row>
    <row r="796" ht="15" customHeight="1">
      <c r="A796" t="inlineStr">
        <is>
          <t>A 3166-2026</t>
        </is>
      </c>
      <c r="B796" t="inlineStr">
        <is>
          <t>avverkningsanmälan</t>
        </is>
      </c>
      <c r="C796" t="inlineStr">
        <is>
          <t>Föryngringsavverkning</t>
        </is>
      </c>
      <c r="D796" s="1" t="n">
        <v>46041</v>
      </c>
      <c r="E796" s="1" t="n">
        <v>46222</v>
      </c>
      <c r="F796" t="inlineStr">
        <is>
          <t>GÄVLEBORGS LÄN</t>
        </is>
      </c>
      <c r="G796" t="inlineStr">
        <is>
          <t>OVANÅKER</t>
        </is>
      </c>
      <c r="I796" t="n">
        <v>3.8</v>
      </c>
      <c r="J796" t="n">
        <v>0</v>
      </c>
      <c r="K796" t="n">
        <v>0</v>
      </c>
      <c r="L796" t="n">
        <v>0</v>
      </c>
      <c r="M796" t="n">
        <v>0</v>
      </c>
      <c r="N796" t="n">
        <v>0</v>
      </c>
      <c r="O796" t="n">
        <v>0</v>
      </c>
      <c r="P796" t="n">
        <v>0</v>
      </c>
      <c r="Q796" t="n">
        <v>0</v>
      </c>
      <c r="R796" t="n">
        <v>0</v>
      </c>
      <c r="S796" t="n">
        <v>0</v>
      </c>
      <c r="T796" t="n">
        <v>0</v>
      </c>
      <c r="U796" s="2" t="inlineStr"/>
    </row>
    <row r="797" ht="15" customHeight="1">
      <c r="A797" t="inlineStr">
        <is>
          <t>A 3989-2025</t>
        </is>
      </c>
      <c r="B797" t="inlineStr">
        <is>
          <t>avverkningsanmälan</t>
        </is>
      </c>
      <c r="C797" t="inlineStr">
        <is>
          <t>Föryngringsavverkning</t>
        </is>
      </c>
      <c r="D797" s="1" t="n">
        <v>45684</v>
      </c>
      <c r="E797" s="1" t="n">
        <v>46222</v>
      </c>
      <c r="F797" t="inlineStr">
        <is>
          <t>GÄVLEBORGS LÄN</t>
        </is>
      </c>
      <c r="G797" t="inlineStr">
        <is>
          <t>OVANÅKER</t>
        </is>
      </c>
      <c r="I797" t="n">
        <v>2.3</v>
      </c>
      <c r="J797" t="n">
        <v>0</v>
      </c>
      <c r="K797" t="n">
        <v>0</v>
      </c>
      <c r="L797" t="n">
        <v>0</v>
      </c>
      <c r="M797" t="n">
        <v>0</v>
      </c>
      <c r="N797" t="n">
        <v>0</v>
      </c>
      <c r="O797" t="n">
        <v>0</v>
      </c>
      <c r="P797" t="n">
        <v>0</v>
      </c>
      <c r="Q797" t="n">
        <v>0</v>
      </c>
      <c r="R797" t="n">
        <v>0</v>
      </c>
      <c r="S797" t="n">
        <v>0</v>
      </c>
      <c r="T797" t="n">
        <v>0</v>
      </c>
      <c r="U797" s="2" t="inlineStr"/>
    </row>
    <row r="798" ht="15" customHeight="1">
      <c r="A798" t="inlineStr">
        <is>
          <t>A 15720-2026</t>
        </is>
      </c>
      <c r="B798" t="inlineStr">
        <is>
          <t>avverkningsanmälan</t>
        </is>
      </c>
      <c r="C798" t="inlineStr">
        <is>
          <t>Föryngringsavverkning</t>
        </is>
      </c>
      <c r="D798" s="1" t="n">
        <v>46107</v>
      </c>
      <c r="E798" s="1" t="n">
        <v>46222</v>
      </c>
      <c r="F798" t="inlineStr">
        <is>
          <t>GÄVLEBORGS LÄN</t>
        </is>
      </c>
      <c r="G798" t="inlineStr">
        <is>
          <t>OVANÅKER</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11699-2026</t>
        </is>
      </c>
      <c r="B799" t="inlineStr">
        <is>
          <t>avverkningsanmälan</t>
        </is>
      </c>
      <c r="C799" t="inlineStr">
        <is>
          <t>Föryngringsavverkning</t>
        </is>
      </c>
      <c r="D799" s="1" t="n">
        <v>46084</v>
      </c>
      <c r="E799" s="1" t="n">
        <v>46222</v>
      </c>
      <c r="F799" t="inlineStr">
        <is>
          <t>GÄVLEBORGS LÄN</t>
        </is>
      </c>
      <c r="G799" t="inlineStr">
        <is>
          <t>OVANÅKER</t>
        </is>
      </c>
      <c r="H799" t="inlineStr">
        <is>
          <t>Bergvik skog väst AB</t>
        </is>
      </c>
      <c r="I799" t="n">
        <v>2.2</v>
      </c>
      <c r="J799" t="n">
        <v>0</v>
      </c>
      <c r="K799" t="n">
        <v>0</v>
      </c>
      <c r="L799" t="n">
        <v>0</v>
      </c>
      <c r="M799" t="n">
        <v>0</v>
      </c>
      <c r="N799" t="n">
        <v>0</v>
      </c>
      <c r="O799" t="n">
        <v>0</v>
      </c>
      <c r="P799" t="n">
        <v>0</v>
      </c>
      <c r="Q799" t="n">
        <v>0</v>
      </c>
      <c r="R799" t="n">
        <v>0</v>
      </c>
      <c r="S799" t="n">
        <v>0</v>
      </c>
      <c r="T799" t="n">
        <v>0</v>
      </c>
      <c r="U799" s="2" t="inlineStr"/>
    </row>
    <row r="800" ht="15" customHeight="1">
      <c r="A800" t="inlineStr">
        <is>
          <t>A 9017-2026</t>
        </is>
      </c>
      <c r="B800" t="inlineStr">
        <is>
          <t>avverkningsanmälan</t>
        </is>
      </c>
      <c r="C800" t="inlineStr">
        <is>
          <t>Föryngringsavverkning</t>
        </is>
      </c>
      <c r="D800" s="1" t="n">
        <v>46069</v>
      </c>
      <c r="E800" s="1" t="n">
        <v>46222</v>
      </c>
      <c r="F800" t="inlineStr">
        <is>
          <t>GÄVLEBORGS LÄN</t>
        </is>
      </c>
      <c r="G800" t="inlineStr">
        <is>
          <t>OVANÅKER</t>
        </is>
      </c>
      <c r="I800" t="n">
        <v>1.2</v>
      </c>
      <c r="J800" t="n">
        <v>0</v>
      </c>
      <c r="K800" t="n">
        <v>0</v>
      </c>
      <c r="L800" t="n">
        <v>0</v>
      </c>
      <c r="M800" t="n">
        <v>0</v>
      </c>
      <c r="N800" t="n">
        <v>0</v>
      </c>
      <c r="O800" t="n">
        <v>0</v>
      </c>
      <c r="P800" t="n">
        <v>0</v>
      </c>
      <c r="Q800" t="n">
        <v>0</v>
      </c>
      <c r="R800" t="n">
        <v>0</v>
      </c>
      <c r="S800" t="n">
        <v>0</v>
      </c>
      <c r="T800" t="n">
        <v>0</v>
      </c>
      <c r="U800" s="2" t="inlineStr"/>
    </row>
    <row r="801" ht="15" customHeight="1">
      <c r="A801" t="inlineStr">
        <is>
          <t>A 20328-2026</t>
        </is>
      </c>
      <c r="B801" t="inlineStr">
        <is>
          <t>avverkningsanmälan</t>
        </is>
      </c>
      <c r="C801" t="inlineStr">
        <is>
          <t>Föryngringsavverkning</t>
        </is>
      </c>
      <c r="D801" s="1" t="n">
        <v>46139</v>
      </c>
      <c r="E801" s="1" t="n">
        <v>46222</v>
      </c>
      <c r="F801" t="inlineStr">
        <is>
          <t>GÄVLEBORGS LÄN</t>
        </is>
      </c>
      <c r="G801" t="inlineStr">
        <is>
          <t>OVANÅKER</t>
        </is>
      </c>
      <c r="H801" t="inlineStr">
        <is>
          <t>Bergvik skog väst AB</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9209-2026</t>
        </is>
      </c>
      <c r="B802" t="inlineStr">
        <is>
          <t>avverkningsanmälan</t>
        </is>
      </c>
      <c r="C802" t="inlineStr">
        <is>
          <t>Föryngringsavverkning</t>
        </is>
      </c>
      <c r="D802" s="1" t="n">
        <v>46070</v>
      </c>
      <c r="E802" s="1" t="n">
        <v>46222</v>
      </c>
      <c r="F802" t="inlineStr">
        <is>
          <t>GÄVLEBORGS LÄN</t>
        </is>
      </c>
      <c r="G802" t="inlineStr">
        <is>
          <t>OVANÅKER</t>
        </is>
      </c>
      <c r="I802" t="n">
        <v>1.6</v>
      </c>
      <c r="J802" t="n">
        <v>0</v>
      </c>
      <c r="K802" t="n">
        <v>0</v>
      </c>
      <c r="L802" t="n">
        <v>0</v>
      </c>
      <c r="M802" t="n">
        <v>0</v>
      </c>
      <c r="N802" t="n">
        <v>0</v>
      </c>
      <c r="O802" t="n">
        <v>0</v>
      </c>
      <c r="P802" t="n">
        <v>0</v>
      </c>
      <c r="Q802" t="n">
        <v>0</v>
      </c>
      <c r="R802" t="n">
        <v>0</v>
      </c>
      <c r="S802" t="n">
        <v>0</v>
      </c>
      <c r="T802" t="n">
        <v>0</v>
      </c>
      <c r="U802" s="2" t="inlineStr"/>
    </row>
    <row r="803" ht="15" customHeight="1">
      <c r="A803" t="inlineStr">
        <is>
          <t>A 25345-2024</t>
        </is>
      </c>
      <c r="B803" t="inlineStr">
        <is>
          <t>avverkningsanmälan</t>
        </is>
      </c>
      <c r="C803" t="inlineStr">
        <is>
          <t>Föryngringsavverkning</t>
        </is>
      </c>
      <c r="D803" s="1" t="n">
        <v>45462</v>
      </c>
      <c r="E803" s="1" t="n">
        <v>46222</v>
      </c>
      <c r="F803" t="inlineStr">
        <is>
          <t>GÄVLEBORGS LÄN</t>
        </is>
      </c>
      <c r="G803" t="inlineStr">
        <is>
          <t>OVANÅKER</t>
        </is>
      </c>
      <c r="I803" t="n">
        <v>2.1</v>
      </c>
      <c r="J803" t="n">
        <v>0</v>
      </c>
      <c r="K803" t="n">
        <v>0</v>
      </c>
      <c r="L803" t="n">
        <v>0</v>
      </c>
      <c r="M803" t="n">
        <v>0</v>
      </c>
      <c r="N803" t="n">
        <v>0</v>
      </c>
      <c r="O803" t="n">
        <v>0</v>
      </c>
      <c r="P803" t="n">
        <v>0</v>
      </c>
      <c r="Q803" t="n">
        <v>0</v>
      </c>
      <c r="R803" t="n">
        <v>0</v>
      </c>
      <c r="S803" t="n">
        <v>0</v>
      </c>
      <c r="T803" t="n">
        <v>0</v>
      </c>
      <c r="U803" s="2" t="inlineStr"/>
    </row>
    <row r="804" ht="15" customHeight="1">
      <c r="A804" t="inlineStr">
        <is>
          <t>A 61487-2024</t>
        </is>
      </c>
      <c r="B804" t="inlineStr">
        <is>
          <t>avverkningsanmälan</t>
        </is>
      </c>
      <c r="C804" t="inlineStr">
        <is>
          <t>Föryngringsavverkning</t>
        </is>
      </c>
      <c r="D804" s="1" t="n">
        <v>45646</v>
      </c>
      <c r="E804" s="1" t="n">
        <v>46222</v>
      </c>
      <c r="F804" t="inlineStr">
        <is>
          <t>GÄVLEBORGS LÄN</t>
        </is>
      </c>
      <c r="G804" t="inlineStr">
        <is>
          <t>OVANÅKER</t>
        </is>
      </c>
      <c r="I804" t="n">
        <v>0.2</v>
      </c>
      <c r="J804" t="n">
        <v>0</v>
      </c>
      <c r="K804" t="n">
        <v>0</v>
      </c>
      <c r="L804" t="n">
        <v>0</v>
      </c>
      <c r="M804" t="n">
        <v>0</v>
      </c>
      <c r="N804" t="n">
        <v>0</v>
      </c>
      <c r="O804" t="n">
        <v>0</v>
      </c>
      <c r="P804" t="n">
        <v>0</v>
      </c>
      <c r="Q804" t="n">
        <v>0</v>
      </c>
      <c r="R804" t="n">
        <v>0</v>
      </c>
      <c r="S804" t="n">
        <v>0</v>
      </c>
      <c r="T804" t="n">
        <v>0</v>
      </c>
      <c r="U804" s="2" t="inlineStr"/>
    </row>
    <row r="805" ht="15" customHeight="1">
      <c r="A805" t="inlineStr">
        <is>
          <t>A 20346-2026</t>
        </is>
      </c>
      <c r="B805" t="inlineStr">
        <is>
          <t>avverkningsanmälan</t>
        </is>
      </c>
      <c r="C805" t="inlineStr">
        <is>
          <t>Föryngringsavverkning</t>
        </is>
      </c>
      <c r="D805" s="1" t="n">
        <v>46139</v>
      </c>
      <c r="E805" s="1" t="n">
        <v>46222</v>
      </c>
      <c r="F805" t="inlineStr">
        <is>
          <t>GÄVLEBORGS LÄN</t>
        </is>
      </c>
      <c r="G805" t="inlineStr">
        <is>
          <t>OVANÅKER</t>
        </is>
      </c>
      <c r="I805" t="n">
        <v>4</v>
      </c>
      <c r="J805" t="n">
        <v>0</v>
      </c>
      <c r="K805" t="n">
        <v>0</v>
      </c>
      <c r="L805" t="n">
        <v>0</v>
      </c>
      <c r="M805" t="n">
        <v>0</v>
      </c>
      <c r="N805" t="n">
        <v>0</v>
      </c>
      <c r="O805" t="n">
        <v>0</v>
      </c>
      <c r="P805" t="n">
        <v>0</v>
      </c>
      <c r="Q805" t="n">
        <v>0</v>
      </c>
      <c r="R805" t="n">
        <v>0</v>
      </c>
      <c r="S805" t="n">
        <v>0</v>
      </c>
      <c r="T805" t="n">
        <v>0</v>
      </c>
      <c r="U805" s="2" t="inlineStr"/>
    </row>
    <row r="806" ht="15" customHeight="1">
      <c r="A806" t="inlineStr">
        <is>
          <t>A 17757-2026</t>
        </is>
      </c>
      <c r="B806" t="inlineStr">
        <is>
          <t>avverkningsanmälan</t>
        </is>
      </c>
      <c r="C806" t="inlineStr">
        <is>
          <t>Föryngringsavverkning</t>
        </is>
      </c>
      <c r="D806" s="1" t="n">
        <v>46122</v>
      </c>
      <c r="E806" s="1" t="n">
        <v>46222</v>
      </c>
      <c r="F806" t="inlineStr">
        <is>
          <t>GÄVLEBORGS LÄN</t>
        </is>
      </c>
      <c r="G806" t="inlineStr">
        <is>
          <t>OVANÅKER</t>
        </is>
      </c>
      <c r="H806" t="inlineStr">
        <is>
          <t>Bergvik skog öst AB</t>
        </is>
      </c>
      <c r="I806" t="n">
        <v>4.5</v>
      </c>
      <c r="J806" t="n">
        <v>0</v>
      </c>
      <c r="K806" t="n">
        <v>0</v>
      </c>
      <c r="L806" t="n">
        <v>0</v>
      </c>
      <c r="M806" t="n">
        <v>0</v>
      </c>
      <c r="N806" t="n">
        <v>0</v>
      </c>
      <c r="O806" t="n">
        <v>0</v>
      </c>
      <c r="P806" t="n">
        <v>0</v>
      </c>
      <c r="Q806" t="n">
        <v>0</v>
      </c>
      <c r="R806" t="n">
        <v>0</v>
      </c>
      <c r="S806" t="n">
        <v>0</v>
      </c>
      <c r="T806" t="n">
        <v>0</v>
      </c>
      <c r="U806" s="2" t="inlineStr"/>
    </row>
    <row r="807" ht="15" customHeight="1">
      <c r="A807" t="inlineStr">
        <is>
          <t>A 17813-2026</t>
        </is>
      </c>
      <c r="B807" t="inlineStr">
        <is>
          <t>avverkningsanmälan</t>
        </is>
      </c>
      <c r="C807" t="inlineStr">
        <is>
          <t>Föryngringsavverkning</t>
        </is>
      </c>
      <c r="D807" s="1" t="n">
        <v>46122</v>
      </c>
      <c r="E807" s="1" t="n">
        <v>46222</v>
      </c>
      <c r="F807" t="inlineStr">
        <is>
          <t>GÄVLEBORGS LÄN</t>
        </is>
      </c>
      <c r="G807" t="inlineStr">
        <is>
          <t>OVANÅKER</t>
        </is>
      </c>
      <c r="H807" t="inlineStr">
        <is>
          <t>Bergvik skog öst AB</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20345-2026</t>
        </is>
      </c>
      <c r="B808" t="inlineStr">
        <is>
          <t>avverkningsanmälan</t>
        </is>
      </c>
      <c r="C808" t="inlineStr">
        <is>
          <t>Föryngringsavverkning</t>
        </is>
      </c>
      <c r="D808" s="1" t="n">
        <v>46139</v>
      </c>
      <c r="E808" s="1" t="n">
        <v>46222</v>
      </c>
      <c r="F808" t="inlineStr">
        <is>
          <t>GÄVLEBORGS LÄN</t>
        </is>
      </c>
      <c r="G808" t="inlineStr">
        <is>
          <t>OVANÅKER</t>
        </is>
      </c>
      <c r="H808" t="inlineStr">
        <is>
          <t>Bergvik skog väst AB</t>
        </is>
      </c>
      <c r="I808" t="n">
        <v>2.6</v>
      </c>
      <c r="J808" t="n">
        <v>0</v>
      </c>
      <c r="K808" t="n">
        <v>0</v>
      </c>
      <c r="L808" t="n">
        <v>0</v>
      </c>
      <c r="M808" t="n">
        <v>0</v>
      </c>
      <c r="N808" t="n">
        <v>0</v>
      </c>
      <c r="O808" t="n">
        <v>0</v>
      </c>
      <c r="P808" t="n">
        <v>0</v>
      </c>
      <c r="Q808" t="n">
        <v>0</v>
      </c>
      <c r="R808" t="n">
        <v>0</v>
      </c>
      <c r="S808" t="n">
        <v>0</v>
      </c>
      <c r="T808" t="n">
        <v>0</v>
      </c>
      <c r="U808" s="2" t="inlineStr"/>
    </row>
    <row r="809" ht="15" customHeight="1">
      <c r="A809" t="inlineStr">
        <is>
          <t>A 12129-2022</t>
        </is>
      </c>
      <c r="B809" t="inlineStr">
        <is>
          <t>avverkningsanmälan</t>
        </is>
      </c>
      <c r="C809" t="inlineStr">
        <is>
          <t>Föryngringsavverkning</t>
        </is>
      </c>
      <c r="D809" s="1" t="n">
        <v>44636</v>
      </c>
      <c r="E809" s="1" t="n">
        <v>46222</v>
      </c>
      <c r="F809" t="inlineStr">
        <is>
          <t>GÄVLEBORGS LÄN</t>
        </is>
      </c>
      <c r="G809" t="inlineStr">
        <is>
          <t>OVANÅKER</t>
        </is>
      </c>
      <c r="I809" t="n">
        <v>0.5</v>
      </c>
      <c r="J809" t="n">
        <v>0</v>
      </c>
      <c r="K809" t="n">
        <v>0</v>
      </c>
      <c r="L809" t="n">
        <v>0</v>
      </c>
      <c r="M809" t="n">
        <v>0</v>
      </c>
      <c r="N809" t="n">
        <v>0</v>
      </c>
      <c r="O809" t="n">
        <v>0</v>
      </c>
      <c r="P809" t="n">
        <v>0</v>
      </c>
      <c r="Q809" t="n">
        <v>0</v>
      </c>
      <c r="R809" t="n">
        <v>0</v>
      </c>
      <c r="S809" t="n">
        <v>0</v>
      </c>
      <c r="T809" t="n">
        <v>0</v>
      </c>
      <c r="U809" s="2" t="inlineStr"/>
    </row>
    <row r="810" ht="15" customHeight="1">
      <c r="A810" t="inlineStr">
        <is>
          <t>A 43299-2023</t>
        </is>
      </c>
      <c r="B810" t="inlineStr">
        <is>
          <t>avverkningsanmälan</t>
        </is>
      </c>
      <c r="C810" t="inlineStr">
        <is>
          <t>Föryngringsavverkning</t>
        </is>
      </c>
      <c r="D810" s="1" t="n">
        <v>45183</v>
      </c>
      <c r="E810" s="1" t="n">
        <v>46222</v>
      </c>
      <c r="F810" t="inlineStr">
        <is>
          <t>GÄVLEBORGS LÄN</t>
        </is>
      </c>
      <c r="G810" t="inlineStr">
        <is>
          <t>OVANÅKER</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20427-2026</t>
        </is>
      </c>
      <c r="B811" t="inlineStr">
        <is>
          <t>avverkningsanmälan</t>
        </is>
      </c>
      <c r="C811" t="inlineStr">
        <is>
          <t>Föryngringsavverkning</t>
        </is>
      </c>
      <c r="D811" s="1" t="n">
        <v>46140</v>
      </c>
      <c r="E811" s="1" t="n">
        <v>46222</v>
      </c>
      <c r="F811" t="inlineStr">
        <is>
          <t>GÄVLEBORGS LÄN</t>
        </is>
      </c>
      <c r="G811" t="inlineStr">
        <is>
          <t>OVANÅKER</t>
        </is>
      </c>
      <c r="H811" t="inlineStr">
        <is>
          <t>Bergvik skog väst AB</t>
        </is>
      </c>
      <c r="I811" t="n">
        <v>1.3</v>
      </c>
      <c r="J811" t="n">
        <v>0</v>
      </c>
      <c r="K811" t="n">
        <v>0</v>
      </c>
      <c r="L811" t="n">
        <v>0</v>
      </c>
      <c r="M811" t="n">
        <v>0</v>
      </c>
      <c r="N811" t="n">
        <v>0</v>
      </c>
      <c r="O811" t="n">
        <v>0</v>
      </c>
      <c r="P811" t="n">
        <v>0</v>
      </c>
      <c r="Q811" t="n">
        <v>0</v>
      </c>
      <c r="R811" t="n">
        <v>0</v>
      </c>
      <c r="S811" t="n">
        <v>0</v>
      </c>
      <c r="T811" t="n">
        <v>0</v>
      </c>
      <c r="U811" s="2" t="inlineStr"/>
      <c r="X811">
        <f>HYPERLINK("https://klasma.github.io/Logging_2121/knärot/A 20427-2026 karta knärot.png", "A 20427-2026")</f>
        <v/>
      </c>
      <c r="Y811">
        <f>HYPERLINK("https://klasma.github.io/Logging_2121/klagomål/A 20427-2026 FSC-klagomål.docx", "A 20427-2026")</f>
        <v/>
      </c>
      <c r="Z811">
        <f>HYPERLINK("https://klasma.github.io/Logging_2121/klagomålsmail/A 20427-2026 FSC-klagomål mail.docx", "A 20427-2026")</f>
        <v/>
      </c>
      <c r="AA811">
        <f>HYPERLINK("https://klasma.github.io/Logging_2121/tillsyn/A 20427-2026 tillsynsbegäran.docx", "A 20427-2026")</f>
        <v/>
      </c>
      <c r="AB811">
        <f>HYPERLINK("https://klasma.github.io/Logging_2121/tillsynsmail/A 20427-2026 tillsynsbegäran mail.docx", "A 20427-2026")</f>
        <v/>
      </c>
    </row>
    <row r="812" ht="15" customHeight="1">
      <c r="A812" t="inlineStr">
        <is>
          <t>A 10783-2026</t>
        </is>
      </c>
      <c r="B812" t="inlineStr">
        <is>
          <t>avverkningsanmälan</t>
        </is>
      </c>
      <c r="C812" t="inlineStr">
        <is>
          <t>Föryngringsavverkning</t>
        </is>
      </c>
      <c r="D812" s="1" t="n">
        <v>46078</v>
      </c>
      <c r="E812" s="1" t="n">
        <v>46222</v>
      </c>
      <c r="F812" t="inlineStr">
        <is>
          <t>GÄVLEBORGS LÄN</t>
        </is>
      </c>
      <c r="G812" t="inlineStr">
        <is>
          <t>OVANÅKER</t>
        </is>
      </c>
      <c r="I812" t="n">
        <v>5</v>
      </c>
      <c r="J812" t="n">
        <v>0</v>
      </c>
      <c r="K812" t="n">
        <v>0</v>
      </c>
      <c r="L812" t="n">
        <v>0</v>
      </c>
      <c r="M812" t="n">
        <v>0</v>
      </c>
      <c r="N812" t="n">
        <v>0</v>
      </c>
      <c r="O812" t="n">
        <v>0</v>
      </c>
      <c r="P812" t="n">
        <v>0</v>
      </c>
      <c r="Q812" t="n">
        <v>0</v>
      </c>
      <c r="R812" t="n">
        <v>0</v>
      </c>
      <c r="S812" t="n">
        <v>0</v>
      </c>
      <c r="T812" t="n">
        <v>0</v>
      </c>
      <c r="U812" s="2" t="inlineStr"/>
    </row>
    <row r="813" ht="15" customHeight="1">
      <c r="A813" t="inlineStr">
        <is>
          <t>A 16393-2025</t>
        </is>
      </c>
      <c r="B813" t="inlineStr">
        <is>
          <t>avverkningsanmälan</t>
        </is>
      </c>
      <c r="C813" t="inlineStr">
        <is>
          <t>Föryngringsavverkning</t>
        </is>
      </c>
      <c r="D813" s="1" t="n">
        <v>45751</v>
      </c>
      <c r="E813" s="1" t="n">
        <v>46222</v>
      </c>
      <c r="F813" t="inlineStr">
        <is>
          <t>GÄVLEBORGS LÄN</t>
        </is>
      </c>
      <c r="G813" t="inlineStr">
        <is>
          <t>OVANÅKER</t>
        </is>
      </c>
      <c r="H813" t="inlineStr">
        <is>
          <t>Bergvik skog öst AB</t>
        </is>
      </c>
      <c r="I813" t="n">
        <v>1</v>
      </c>
      <c r="J813" t="n">
        <v>0</v>
      </c>
      <c r="K813" t="n">
        <v>0</v>
      </c>
      <c r="L813" t="n">
        <v>0</v>
      </c>
      <c r="M813" t="n">
        <v>0</v>
      </c>
      <c r="N813" t="n">
        <v>0</v>
      </c>
      <c r="O813" t="n">
        <v>0</v>
      </c>
      <c r="P813" t="n">
        <v>0</v>
      </c>
      <c r="Q813" t="n">
        <v>0</v>
      </c>
      <c r="R813" t="n">
        <v>0</v>
      </c>
      <c r="S813" t="n">
        <v>0</v>
      </c>
      <c r="T813" t="n">
        <v>0</v>
      </c>
      <c r="U813" s="2" t="inlineStr"/>
    </row>
    <row r="814" ht="15" customHeight="1">
      <c r="A814" t="inlineStr">
        <is>
          <t>A 7901-2026</t>
        </is>
      </c>
      <c r="B814" t="inlineStr">
        <is>
          <t>avverkningsanmälan</t>
        </is>
      </c>
      <c r="C814" t="inlineStr">
        <is>
          <t>Föryngringsavverkning</t>
        </is>
      </c>
      <c r="D814" s="1" t="n">
        <v>46063</v>
      </c>
      <c r="E814" s="1" t="n">
        <v>46222</v>
      </c>
      <c r="F814" t="inlineStr">
        <is>
          <t>GÄVLEBORGS LÄN</t>
        </is>
      </c>
      <c r="G814" t="inlineStr">
        <is>
          <t>OVANÅKER</t>
        </is>
      </c>
      <c r="I814" t="n">
        <v>4.7</v>
      </c>
      <c r="J814" t="n">
        <v>0</v>
      </c>
      <c r="K814" t="n">
        <v>0</v>
      </c>
      <c r="L814" t="n">
        <v>0</v>
      </c>
      <c r="M814" t="n">
        <v>0</v>
      </c>
      <c r="N814" t="n">
        <v>0</v>
      </c>
      <c r="O814" t="n">
        <v>0</v>
      </c>
      <c r="P814" t="n">
        <v>0</v>
      </c>
      <c r="Q814" t="n">
        <v>0</v>
      </c>
      <c r="R814" t="n">
        <v>0</v>
      </c>
      <c r="S814" t="n">
        <v>0</v>
      </c>
      <c r="T814" t="n">
        <v>0</v>
      </c>
      <c r="U814" s="2" t="inlineStr"/>
    </row>
    <row r="815" ht="15" customHeight="1">
      <c r="A815" t="inlineStr">
        <is>
          <t>A 8894-2026</t>
        </is>
      </c>
      <c r="B815" t="inlineStr">
        <is>
          <t>avverkningsanmälan</t>
        </is>
      </c>
      <c r="C815" t="inlineStr">
        <is>
          <t>Föryngringsavverkning</t>
        </is>
      </c>
      <c r="D815" s="1" t="n">
        <v>46068</v>
      </c>
      <c r="E815" s="1" t="n">
        <v>46222</v>
      </c>
      <c r="F815" t="inlineStr">
        <is>
          <t>GÄVLEBORGS LÄN</t>
        </is>
      </c>
      <c r="G815" t="inlineStr">
        <is>
          <t>OVANÅKER</t>
        </is>
      </c>
      <c r="I815" t="n">
        <v>3.9</v>
      </c>
      <c r="J815" t="n">
        <v>0</v>
      </c>
      <c r="K815" t="n">
        <v>0</v>
      </c>
      <c r="L815" t="n">
        <v>0</v>
      </c>
      <c r="M815" t="n">
        <v>0</v>
      </c>
      <c r="N815" t="n">
        <v>0</v>
      </c>
      <c r="O815" t="n">
        <v>0</v>
      </c>
      <c r="P815" t="n">
        <v>0</v>
      </c>
      <c r="Q815" t="n">
        <v>0</v>
      </c>
      <c r="R815" t="n">
        <v>0</v>
      </c>
      <c r="S815" t="n">
        <v>0</v>
      </c>
      <c r="T815" t="n">
        <v>0</v>
      </c>
      <c r="U815" s="2" t="inlineStr"/>
    </row>
    <row r="816" ht="15" customHeight="1">
      <c r="A816" t="inlineStr">
        <is>
          <t>A 39850-2023</t>
        </is>
      </c>
      <c r="B816" t="inlineStr">
        <is>
          <t>avverkningsanmälan</t>
        </is>
      </c>
      <c r="C816" t="inlineStr">
        <is>
          <t>Föryngringsavverkning</t>
        </is>
      </c>
      <c r="D816" s="1" t="n">
        <v>45168</v>
      </c>
      <c r="E816" s="1" t="n">
        <v>46222</v>
      </c>
      <c r="F816" t="inlineStr">
        <is>
          <t>GÄVLEBORGS LÄN</t>
        </is>
      </c>
      <c r="G816" t="inlineStr">
        <is>
          <t>OVANÅKER</t>
        </is>
      </c>
      <c r="I816" t="n">
        <v>1.5</v>
      </c>
      <c r="J816" t="n">
        <v>0</v>
      </c>
      <c r="K816" t="n">
        <v>0</v>
      </c>
      <c r="L816" t="n">
        <v>0</v>
      </c>
      <c r="M816" t="n">
        <v>0</v>
      </c>
      <c r="N816" t="n">
        <v>0</v>
      </c>
      <c r="O816" t="n">
        <v>0</v>
      </c>
      <c r="P816" t="n">
        <v>0</v>
      </c>
      <c r="Q816" t="n">
        <v>0</v>
      </c>
      <c r="R816" t="n">
        <v>0</v>
      </c>
      <c r="S816" t="n">
        <v>0</v>
      </c>
      <c r="T816" t="n">
        <v>0</v>
      </c>
      <c r="U816" s="2" t="inlineStr"/>
    </row>
    <row r="817" ht="15" customHeight="1">
      <c r="A817" t="inlineStr">
        <is>
          <t>A 24056-2024</t>
        </is>
      </c>
      <c r="B817" t="inlineStr">
        <is>
          <t>avverkningsanmälan</t>
        </is>
      </c>
      <c r="C817" t="inlineStr">
        <is>
          <t>Föryngringsavverkning</t>
        </is>
      </c>
      <c r="D817" s="1" t="n">
        <v>45456</v>
      </c>
      <c r="E817" s="1" t="n">
        <v>46222</v>
      </c>
      <c r="F817" t="inlineStr">
        <is>
          <t>GÄVLEBORGS LÄN</t>
        </is>
      </c>
      <c r="G817" t="inlineStr">
        <is>
          <t>OVANÅKER</t>
        </is>
      </c>
      <c r="H817" t="inlineStr">
        <is>
          <t>Bergvik skog väst AB</t>
        </is>
      </c>
      <c r="I817" t="n">
        <v>2.5</v>
      </c>
      <c r="J817" t="n">
        <v>0</v>
      </c>
      <c r="K817" t="n">
        <v>0</v>
      </c>
      <c r="L817" t="n">
        <v>0</v>
      </c>
      <c r="M817" t="n">
        <v>0</v>
      </c>
      <c r="N817" t="n">
        <v>0</v>
      </c>
      <c r="O817" t="n">
        <v>0</v>
      </c>
      <c r="P817" t="n">
        <v>0</v>
      </c>
      <c r="Q817" t="n">
        <v>0</v>
      </c>
      <c r="R817" t="n">
        <v>0</v>
      </c>
      <c r="S817" t="n">
        <v>0</v>
      </c>
      <c r="T817" t="n">
        <v>0</v>
      </c>
      <c r="U817" s="2" t="inlineStr"/>
    </row>
    <row r="818" ht="15" customHeight="1">
      <c r="A818" t="inlineStr">
        <is>
          <t>A 2605-2026</t>
        </is>
      </c>
      <c r="B818" t="inlineStr">
        <is>
          <t>avverkningsanmälan</t>
        </is>
      </c>
      <c r="C818" t="inlineStr">
        <is>
          <t>Föryngringsavverkning</t>
        </is>
      </c>
      <c r="D818" s="1" t="n">
        <v>46037</v>
      </c>
      <c r="E818" s="1" t="n">
        <v>46222</v>
      </c>
      <c r="F818" t="inlineStr">
        <is>
          <t>GÄVLEBORGS LÄN</t>
        </is>
      </c>
      <c r="G818" t="inlineStr">
        <is>
          <t>OVANÅKER</t>
        </is>
      </c>
      <c r="I818" t="n">
        <v>8.4</v>
      </c>
      <c r="J818" t="n">
        <v>0</v>
      </c>
      <c r="K818" t="n">
        <v>0</v>
      </c>
      <c r="L818" t="n">
        <v>0</v>
      </c>
      <c r="M818" t="n">
        <v>0</v>
      </c>
      <c r="N818" t="n">
        <v>0</v>
      </c>
      <c r="O818" t="n">
        <v>0</v>
      </c>
      <c r="P818" t="n">
        <v>0</v>
      </c>
      <c r="Q818" t="n">
        <v>0</v>
      </c>
      <c r="R818" t="n">
        <v>0</v>
      </c>
      <c r="S818" t="n">
        <v>0</v>
      </c>
      <c r="T818" t="n">
        <v>0</v>
      </c>
      <c r="U818" s="2" t="inlineStr"/>
    </row>
    <row r="819" ht="15" customHeight="1">
      <c r="A819" t="inlineStr">
        <is>
          <t>A 24074-2024</t>
        </is>
      </c>
      <c r="B819" t="inlineStr">
        <is>
          <t>avverkningsanmälan</t>
        </is>
      </c>
      <c r="C819" t="inlineStr">
        <is>
          <t>Föryngringsavverkning</t>
        </is>
      </c>
      <c r="D819" s="1" t="n">
        <v>45456</v>
      </c>
      <c r="E819" s="1" t="n">
        <v>46222</v>
      </c>
      <c r="F819" t="inlineStr">
        <is>
          <t>GÄVLEBORGS LÄN</t>
        </is>
      </c>
      <c r="G819" t="inlineStr">
        <is>
          <t>OVANÅKER</t>
        </is>
      </c>
      <c r="I819" t="n">
        <v>1.1</v>
      </c>
      <c r="J819" t="n">
        <v>0</v>
      </c>
      <c r="K819" t="n">
        <v>0</v>
      </c>
      <c r="L819" t="n">
        <v>0</v>
      </c>
      <c r="M819" t="n">
        <v>0</v>
      </c>
      <c r="N819" t="n">
        <v>0</v>
      </c>
      <c r="O819" t="n">
        <v>0</v>
      </c>
      <c r="P819" t="n">
        <v>0</v>
      </c>
      <c r="Q819" t="n">
        <v>0</v>
      </c>
      <c r="R819" t="n">
        <v>0</v>
      </c>
      <c r="S819" t="n">
        <v>0</v>
      </c>
      <c r="T819" t="n">
        <v>0</v>
      </c>
      <c r="U819" s="2" t="inlineStr"/>
    </row>
    <row r="820" ht="15" customHeight="1">
      <c r="A820" t="inlineStr">
        <is>
          <t>A 2334-2026</t>
        </is>
      </c>
      <c r="B820" t="inlineStr">
        <is>
          <t>avverkningsanmälan</t>
        </is>
      </c>
      <c r="C820" t="inlineStr">
        <is>
          <t>Föryngringsavverkning</t>
        </is>
      </c>
      <c r="D820" s="1" t="n">
        <v>46036</v>
      </c>
      <c r="E820" s="1" t="n">
        <v>46222</v>
      </c>
      <c r="F820" t="inlineStr">
        <is>
          <t>GÄVLEBORGS LÄN</t>
        </is>
      </c>
      <c r="G820" t="inlineStr">
        <is>
          <t>OVANÅKER</t>
        </is>
      </c>
      <c r="I820" t="n">
        <v>2</v>
      </c>
      <c r="J820" t="n">
        <v>0</v>
      </c>
      <c r="K820" t="n">
        <v>0</v>
      </c>
      <c r="L820" t="n">
        <v>0</v>
      </c>
      <c r="M820" t="n">
        <v>0</v>
      </c>
      <c r="N820" t="n">
        <v>0</v>
      </c>
      <c r="O820" t="n">
        <v>0</v>
      </c>
      <c r="P820" t="n">
        <v>0</v>
      </c>
      <c r="Q820" t="n">
        <v>0</v>
      </c>
      <c r="R820" t="n">
        <v>0</v>
      </c>
      <c r="S820" t="n">
        <v>0</v>
      </c>
      <c r="T820" t="n">
        <v>0</v>
      </c>
      <c r="U820" s="2" t="inlineStr"/>
    </row>
    <row r="821" ht="15" customHeight="1">
      <c r="A821" t="inlineStr">
        <is>
          <t>A 2591-2026</t>
        </is>
      </c>
      <c r="B821" t="inlineStr">
        <is>
          <t>avverkningsanmälan</t>
        </is>
      </c>
      <c r="C821" t="inlineStr">
        <is>
          <t>Föryngringsavverkning</t>
        </is>
      </c>
      <c r="D821" s="1" t="n">
        <v>46037</v>
      </c>
      <c r="E821" s="1" t="n">
        <v>46222</v>
      </c>
      <c r="F821" t="inlineStr">
        <is>
          <t>GÄVLEBORGS LÄN</t>
        </is>
      </c>
      <c r="G821" t="inlineStr">
        <is>
          <t>OVANÅKER</t>
        </is>
      </c>
      <c r="I821" t="n">
        <v>6.9</v>
      </c>
      <c r="J821" t="n">
        <v>0</v>
      </c>
      <c r="K821" t="n">
        <v>0</v>
      </c>
      <c r="L821" t="n">
        <v>0</v>
      </c>
      <c r="M821" t="n">
        <v>0</v>
      </c>
      <c r="N821" t="n">
        <v>0</v>
      </c>
      <c r="O821" t="n">
        <v>0</v>
      </c>
      <c r="P821" t="n">
        <v>0</v>
      </c>
      <c r="Q821" t="n">
        <v>0</v>
      </c>
      <c r="R821" t="n">
        <v>0</v>
      </c>
      <c r="S821" t="n">
        <v>0</v>
      </c>
      <c r="T821" t="n">
        <v>0</v>
      </c>
      <c r="U821" s="2" t="inlineStr"/>
    </row>
    <row r="822" ht="15" customHeight="1">
      <c r="A822" t="inlineStr">
        <is>
          <t>A 2646-2026</t>
        </is>
      </c>
      <c r="B822" t="inlineStr">
        <is>
          <t>avverkningsanmälan</t>
        </is>
      </c>
      <c r="C822" t="inlineStr">
        <is>
          <t>Föryngringsavverkning</t>
        </is>
      </c>
      <c r="D822" s="1" t="n">
        <v>46037</v>
      </c>
      <c r="E822" s="1" t="n">
        <v>46222</v>
      </c>
      <c r="F822" t="inlineStr">
        <is>
          <t>GÄVLEBORGS LÄN</t>
        </is>
      </c>
      <c r="G822" t="inlineStr">
        <is>
          <t>OVANÅKER</t>
        </is>
      </c>
      <c r="I822" t="n">
        <v>8.6</v>
      </c>
      <c r="J822" t="n">
        <v>0</v>
      </c>
      <c r="K822" t="n">
        <v>0</v>
      </c>
      <c r="L822" t="n">
        <v>0</v>
      </c>
      <c r="M822" t="n">
        <v>0</v>
      </c>
      <c r="N822" t="n">
        <v>0</v>
      </c>
      <c r="O822" t="n">
        <v>0</v>
      </c>
      <c r="P822" t="n">
        <v>0</v>
      </c>
      <c r="Q822" t="n">
        <v>0</v>
      </c>
      <c r="R822" t="n">
        <v>0</v>
      </c>
      <c r="S822" t="n">
        <v>0</v>
      </c>
      <c r="T822" t="n">
        <v>0</v>
      </c>
      <c r="U822" s="2" t="inlineStr"/>
    </row>
    <row r="823" ht="15" customHeight="1">
      <c r="A823" t="inlineStr">
        <is>
          <t>A 9721-2026</t>
        </is>
      </c>
      <c r="B823" t="inlineStr">
        <is>
          <t>avverkningsanmälan</t>
        </is>
      </c>
      <c r="C823" t="inlineStr">
        <is>
          <t>Föryngringsavverkning</t>
        </is>
      </c>
      <c r="D823" s="1" t="n">
        <v>46072</v>
      </c>
      <c r="E823" s="1" t="n">
        <v>46222</v>
      </c>
      <c r="F823" t="inlineStr">
        <is>
          <t>GÄVLEBORGS LÄN</t>
        </is>
      </c>
      <c r="G823" t="inlineStr">
        <is>
          <t>OVANÅKER</t>
        </is>
      </c>
      <c r="I823" t="n">
        <v>5</v>
      </c>
      <c r="J823" t="n">
        <v>0</v>
      </c>
      <c r="K823" t="n">
        <v>0</v>
      </c>
      <c r="L823" t="n">
        <v>0</v>
      </c>
      <c r="M823" t="n">
        <v>0</v>
      </c>
      <c r="N823" t="n">
        <v>0</v>
      </c>
      <c r="O823" t="n">
        <v>0</v>
      </c>
      <c r="P823" t="n">
        <v>0</v>
      </c>
      <c r="Q823" t="n">
        <v>0</v>
      </c>
      <c r="R823" t="n">
        <v>0</v>
      </c>
      <c r="S823" t="n">
        <v>0</v>
      </c>
      <c r="T823" t="n">
        <v>0</v>
      </c>
      <c r="U823" s="2" t="inlineStr"/>
    </row>
    <row r="824" ht="15" customHeight="1">
      <c r="A824" t="inlineStr">
        <is>
          <t>A 48298-2023</t>
        </is>
      </c>
      <c r="B824" t="inlineStr">
        <is>
          <t>avverkningsanmälan</t>
        </is>
      </c>
      <c r="C824" t="inlineStr">
        <is>
          <t>Föryngringsavverkning</t>
        </is>
      </c>
      <c r="D824" s="1" t="n">
        <v>45205</v>
      </c>
      <c r="E824" s="1" t="n">
        <v>46222</v>
      </c>
      <c r="F824" t="inlineStr">
        <is>
          <t>GÄVLEBORGS LÄN</t>
        </is>
      </c>
      <c r="G824" t="inlineStr">
        <is>
          <t>OVANÅKER</t>
        </is>
      </c>
      <c r="I824" t="n">
        <v>0.3</v>
      </c>
      <c r="J824" t="n">
        <v>0</v>
      </c>
      <c r="K824" t="n">
        <v>0</v>
      </c>
      <c r="L824" t="n">
        <v>0</v>
      </c>
      <c r="M824" t="n">
        <v>0</v>
      </c>
      <c r="N824" t="n">
        <v>0</v>
      </c>
      <c r="O824" t="n">
        <v>0</v>
      </c>
      <c r="P824" t="n">
        <v>0</v>
      </c>
      <c r="Q824" t="n">
        <v>0</v>
      </c>
      <c r="R824" t="n">
        <v>0</v>
      </c>
      <c r="S824" t="n">
        <v>0</v>
      </c>
      <c r="T824" t="n">
        <v>0</v>
      </c>
      <c r="U824" s="2" t="inlineStr"/>
    </row>
    <row r="825" ht="15" customHeight="1">
      <c r="A825" t="inlineStr">
        <is>
          <t>A 41545-2024</t>
        </is>
      </c>
      <c r="B825" t="inlineStr">
        <is>
          <t>avverkningsanmälan</t>
        </is>
      </c>
      <c r="C825" t="inlineStr">
        <is>
          <t>Föryngringsavverkning</t>
        </is>
      </c>
      <c r="D825" s="1" t="n">
        <v>45560</v>
      </c>
      <c r="E825" s="1" t="n">
        <v>46222</v>
      </c>
      <c r="F825" t="inlineStr">
        <is>
          <t>GÄVLEBORGS LÄN</t>
        </is>
      </c>
      <c r="G825" t="inlineStr">
        <is>
          <t>OVANÅKER</t>
        </is>
      </c>
      <c r="I825" t="n">
        <v>0.4</v>
      </c>
      <c r="J825" t="n">
        <v>0</v>
      </c>
      <c r="K825" t="n">
        <v>0</v>
      </c>
      <c r="L825" t="n">
        <v>0</v>
      </c>
      <c r="M825" t="n">
        <v>0</v>
      </c>
      <c r="N825" t="n">
        <v>0</v>
      </c>
      <c r="O825" t="n">
        <v>0</v>
      </c>
      <c r="P825" t="n">
        <v>0</v>
      </c>
      <c r="Q825" t="n">
        <v>0</v>
      </c>
      <c r="R825" t="n">
        <v>0</v>
      </c>
      <c r="S825" t="n">
        <v>0</v>
      </c>
      <c r="T825" t="n">
        <v>0</v>
      </c>
      <c r="U825" s="2" t="inlineStr"/>
    </row>
    <row r="826" ht="15" customHeight="1">
      <c r="A826" t="inlineStr">
        <is>
          <t>A 10715-2026</t>
        </is>
      </c>
      <c r="B826" t="inlineStr">
        <is>
          <t>avverkningsanmälan</t>
        </is>
      </c>
      <c r="C826" t="inlineStr">
        <is>
          <t>Föryngringsavverkning</t>
        </is>
      </c>
      <c r="D826" s="1" t="n">
        <v>46078</v>
      </c>
      <c r="E826" s="1" t="n">
        <v>46222</v>
      </c>
      <c r="F826" t="inlineStr">
        <is>
          <t>GÄVLEBORGS LÄN</t>
        </is>
      </c>
      <c r="G826" t="inlineStr">
        <is>
          <t>OVANÅKER</t>
        </is>
      </c>
      <c r="H826" t="inlineStr">
        <is>
          <t>Bergvik skog väst AB</t>
        </is>
      </c>
      <c r="I826" t="n">
        <v>1</v>
      </c>
      <c r="J826" t="n">
        <v>0</v>
      </c>
      <c r="K826" t="n">
        <v>0</v>
      </c>
      <c r="L826" t="n">
        <v>0</v>
      </c>
      <c r="M826" t="n">
        <v>0</v>
      </c>
      <c r="N826" t="n">
        <v>0</v>
      </c>
      <c r="O826" t="n">
        <v>0</v>
      </c>
      <c r="P826" t="n">
        <v>0</v>
      </c>
      <c r="Q826" t="n">
        <v>0</v>
      </c>
      <c r="R826" t="n">
        <v>0</v>
      </c>
      <c r="S826" t="n">
        <v>0</v>
      </c>
      <c r="T826" t="n">
        <v>0</v>
      </c>
      <c r="U826" s="2" t="inlineStr"/>
    </row>
    <row r="827" ht="15" customHeight="1">
      <c r="A827" t="inlineStr">
        <is>
          <t>A 7604-2026</t>
        </is>
      </c>
      <c r="B827" t="inlineStr">
        <is>
          <t>avverkningsanmälan</t>
        </is>
      </c>
      <c r="C827" t="inlineStr">
        <is>
          <t>Föryngringsavverkning</t>
        </is>
      </c>
      <c r="D827" s="1" t="n">
        <v>46062</v>
      </c>
      <c r="E827" s="1" t="n">
        <v>46222</v>
      </c>
      <c r="F827" t="inlineStr">
        <is>
          <t>GÄVLEBORGS LÄN</t>
        </is>
      </c>
      <c r="G827" t="inlineStr">
        <is>
          <t>OVANÅKER</t>
        </is>
      </c>
      <c r="I827" t="n">
        <v>1.9</v>
      </c>
      <c r="J827" t="n">
        <v>0</v>
      </c>
      <c r="K827" t="n">
        <v>0</v>
      </c>
      <c r="L827" t="n">
        <v>0</v>
      </c>
      <c r="M827" t="n">
        <v>0</v>
      </c>
      <c r="N827" t="n">
        <v>0</v>
      </c>
      <c r="O827" t="n">
        <v>0</v>
      </c>
      <c r="P827" t="n">
        <v>0</v>
      </c>
      <c r="Q827" t="n">
        <v>0</v>
      </c>
      <c r="R827" t="n">
        <v>0</v>
      </c>
      <c r="S827" t="n">
        <v>0</v>
      </c>
      <c r="T827" t="n">
        <v>0</v>
      </c>
      <c r="U827" s="2" t="inlineStr"/>
    </row>
    <row r="828" ht="15" customHeight="1">
      <c r="A828" t="inlineStr">
        <is>
          <t>A 1147-2026</t>
        </is>
      </c>
      <c r="B828" t="inlineStr">
        <is>
          <t>avverkningsanmälan</t>
        </is>
      </c>
      <c r="C828" t="inlineStr">
        <is>
          <t>Föryngringsavverkning</t>
        </is>
      </c>
      <c r="D828" s="1" t="n">
        <v>46030</v>
      </c>
      <c r="E828" s="1" t="n">
        <v>46222</v>
      </c>
      <c r="F828" t="inlineStr">
        <is>
          <t>GÄVLEBORGS LÄN</t>
        </is>
      </c>
      <c r="G828" t="inlineStr">
        <is>
          <t>OVANÅKER</t>
        </is>
      </c>
      <c r="I828" t="n">
        <v>6.3</v>
      </c>
      <c r="J828" t="n">
        <v>0</v>
      </c>
      <c r="K828" t="n">
        <v>0</v>
      </c>
      <c r="L828" t="n">
        <v>0</v>
      </c>
      <c r="M828" t="n">
        <v>0</v>
      </c>
      <c r="N828" t="n">
        <v>0</v>
      </c>
      <c r="O828" t="n">
        <v>0</v>
      </c>
      <c r="P828" t="n">
        <v>0</v>
      </c>
      <c r="Q828" t="n">
        <v>0</v>
      </c>
      <c r="R828" t="n">
        <v>0</v>
      </c>
      <c r="S828" t="n">
        <v>0</v>
      </c>
      <c r="T828" t="n">
        <v>0</v>
      </c>
      <c r="U828" s="2" t="inlineStr"/>
    </row>
    <row r="829" ht="15" customHeight="1">
      <c r="A829" t="inlineStr">
        <is>
          <t>A 9-2026</t>
        </is>
      </c>
      <c r="B829" t="inlineStr">
        <is>
          <t>avverkningsanmälan</t>
        </is>
      </c>
      <c r="C829" t="inlineStr">
        <is>
          <t>Föryngringsavverkning</t>
        </is>
      </c>
      <c r="D829" s="1" t="n">
        <v>46023</v>
      </c>
      <c r="E829" s="1" t="n">
        <v>46222</v>
      </c>
      <c r="F829" t="inlineStr">
        <is>
          <t>GÄVLEBORGS LÄN</t>
        </is>
      </c>
      <c r="G829" t="inlineStr">
        <is>
          <t>OVANÅKER</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20420-2026</t>
        </is>
      </c>
      <c r="B830" t="inlineStr">
        <is>
          <t>avverkningsanmälan</t>
        </is>
      </c>
      <c r="C830" t="inlineStr">
        <is>
          <t>Föryngringsavverkning</t>
        </is>
      </c>
      <c r="D830" s="1" t="n">
        <v>46140</v>
      </c>
      <c r="E830" s="1" t="n">
        <v>46222</v>
      </c>
      <c r="F830" t="inlineStr">
        <is>
          <t>GÄVLEBORGS LÄN</t>
        </is>
      </c>
      <c r="G830" t="inlineStr">
        <is>
          <t>OVANÅKER</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56127-2023</t>
        </is>
      </c>
      <c r="B831" t="inlineStr">
        <is>
          <t>avverkningsanmälan</t>
        </is>
      </c>
      <c r="C831" t="inlineStr">
        <is>
          <t>Föryngringsavverkning</t>
        </is>
      </c>
      <c r="D831" s="1" t="n">
        <v>45240</v>
      </c>
      <c r="E831" s="1" t="n">
        <v>46222</v>
      </c>
      <c r="F831" t="inlineStr">
        <is>
          <t>GÄVLEBORGS LÄN</t>
        </is>
      </c>
      <c r="G831" t="inlineStr">
        <is>
          <t>OVANÅKER</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8742-2026</t>
        </is>
      </c>
      <c r="B832" t="inlineStr">
        <is>
          <t>avverkningsanmälan</t>
        </is>
      </c>
      <c r="C832" t="inlineStr">
        <is>
          <t>Föryngringsavverkning</t>
        </is>
      </c>
      <c r="D832" s="1" t="n">
        <v>46066</v>
      </c>
      <c r="E832" s="1" t="n">
        <v>46222</v>
      </c>
      <c r="F832" t="inlineStr">
        <is>
          <t>GÄVLEBORGS LÄN</t>
        </is>
      </c>
      <c r="G832" t="inlineStr">
        <is>
          <t>OVANÅKER</t>
        </is>
      </c>
      <c r="I832" t="n">
        <v>1.3</v>
      </c>
      <c r="J832" t="n">
        <v>0</v>
      </c>
      <c r="K832" t="n">
        <v>0</v>
      </c>
      <c r="L832" t="n">
        <v>0</v>
      </c>
      <c r="M832" t="n">
        <v>0</v>
      </c>
      <c r="N832" t="n">
        <v>0</v>
      </c>
      <c r="O832" t="n">
        <v>0</v>
      </c>
      <c r="P832" t="n">
        <v>0</v>
      </c>
      <c r="Q832" t="n">
        <v>0</v>
      </c>
      <c r="R832" t="n">
        <v>0</v>
      </c>
      <c r="S832" t="n">
        <v>0</v>
      </c>
      <c r="T832" t="n">
        <v>0</v>
      </c>
      <c r="U832" s="2" t="inlineStr"/>
    </row>
    <row r="833" ht="15" customHeight="1">
      <c r="A833" t="inlineStr">
        <is>
          <t>A 3115-2025</t>
        </is>
      </c>
      <c r="B833" t="inlineStr">
        <is>
          <t>avverkningsanmälan</t>
        </is>
      </c>
      <c r="C833" t="inlineStr">
        <is>
          <t>Föryngringsavverkning</t>
        </is>
      </c>
      <c r="D833" s="1" t="n">
        <v>45678</v>
      </c>
      <c r="E833" s="1" t="n">
        <v>46222</v>
      </c>
      <c r="F833" t="inlineStr">
        <is>
          <t>GÄVLEBORGS LÄN</t>
        </is>
      </c>
      <c r="G833" t="inlineStr">
        <is>
          <t>OVANÅKER</t>
        </is>
      </c>
      <c r="I833" t="n">
        <v>6.2</v>
      </c>
      <c r="J833" t="n">
        <v>0</v>
      </c>
      <c r="K833" t="n">
        <v>0</v>
      </c>
      <c r="L833" t="n">
        <v>0</v>
      </c>
      <c r="M833" t="n">
        <v>0</v>
      </c>
      <c r="N833" t="n">
        <v>0</v>
      </c>
      <c r="O833" t="n">
        <v>0</v>
      </c>
      <c r="P833" t="n">
        <v>0</v>
      </c>
      <c r="Q833" t="n">
        <v>0</v>
      </c>
      <c r="R833" t="n">
        <v>0</v>
      </c>
      <c r="S833" t="n">
        <v>0</v>
      </c>
      <c r="T833" t="n">
        <v>0</v>
      </c>
      <c r="U833" s="2" t="inlineStr"/>
    </row>
    <row r="834" ht="15" customHeight="1">
      <c r="A834" t="inlineStr">
        <is>
          <t>A 30695-2024</t>
        </is>
      </c>
      <c r="B834" t="inlineStr">
        <is>
          <t>avverkningsanmälan</t>
        </is>
      </c>
      <c r="C834" t="inlineStr">
        <is>
          <t>Föryngringsavverkning</t>
        </is>
      </c>
      <c r="D834" s="1" t="n">
        <v>45496</v>
      </c>
      <c r="E834" s="1" t="n">
        <v>46222</v>
      </c>
      <c r="F834" t="inlineStr">
        <is>
          <t>GÄVLEBORGS LÄN</t>
        </is>
      </c>
      <c r="G834" t="inlineStr">
        <is>
          <t>OVANÅKER</t>
        </is>
      </c>
      <c r="H834" t="inlineStr">
        <is>
          <t>Bergvik skog väst AB</t>
        </is>
      </c>
      <c r="I834" t="n">
        <v>8.1</v>
      </c>
      <c r="J834" t="n">
        <v>0</v>
      </c>
      <c r="K834" t="n">
        <v>0</v>
      </c>
      <c r="L834" t="n">
        <v>0</v>
      </c>
      <c r="M834" t="n">
        <v>0</v>
      </c>
      <c r="N834" t="n">
        <v>0</v>
      </c>
      <c r="O834" t="n">
        <v>0</v>
      </c>
      <c r="P834" t="n">
        <v>0</v>
      </c>
      <c r="Q834" t="n">
        <v>0</v>
      </c>
      <c r="R834" t="n">
        <v>0</v>
      </c>
      <c r="S834" t="n">
        <v>0</v>
      </c>
      <c r="T834" t="n">
        <v>0</v>
      </c>
      <c r="U834" s="2" t="inlineStr"/>
    </row>
    <row r="835" ht="15" customHeight="1">
      <c r="A835" t="inlineStr">
        <is>
          <t>A 20309-2026</t>
        </is>
      </c>
      <c r="B835" t="inlineStr">
        <is>
          <t>avverkningsanmälan</t>
        </is>
      </c>
      <c r="C835" t="inlineStr">
        <is>
          <t>Föryngringsavverkning</t>
        </is>
      </c>
      <c r="D835" s="1" t="n">
        <v>46139</v>
      </c>
      <c r="E835" s="1" t="n">
        <v>46222</v>
      </c>
      <c r="F835" t="inlineStr">
        <is>
          <t>GÄVLEBORGS LÄN</t>
        </is>
      </c>
      <c r="G835" t="inlineStr">
        <is>
          <t>OVANÅKER</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20320-2026</t>
        </is>
      </c>
      <c r="B836" t="inlineStr">
        <is>
          <t>avverkningsanmälan</t>
        </is>
      </c>
      <c r="C836" t="inlineStr">
        <is>
          <t>Föryngringsavverkning</t>
        </is>
      </c>
      <c r="D836" s="1" t="n">
        <v>46139</v>
      </c>
      <c r="E836" s="1" t="n">
        <v>46222</v>
      </c>
      <c r="F836" t="inlineStr">
        <is>
          <t>GÄVLEBORGS LÄN</t>
        </is>
      </c>
      <c r="G836" t="inlineStr">
        <is>
          <t>OVANÅKER</t>
        </is>
      </c>
      <c r="I836" t="n">
        <v>1.8</v>
      </c>
      <c r="J836" t="n">
        <v>0</v>
      </c>
      <c r="K836" t="n">
        <v>0</v>
      </c>
      <c r="L836" t="n">
        <v>0</v>
      </c>
      <c r="M836" t="n">
        <v>0</v>
      </c>
      <c r="N836" t="n">
        <v>0</v>
      </c>
      <c r="O836" t="n">
        <v>0</v>
      </c>
      <c r="P836" t="n">
        <v>0</v>
      </c>
      <c r="Q836" t="n">
        <v>0</v>
      </c>
      <c r="R836" t="n">
        <v>0</v>
      </c>
      <c r="S836" t="n">
        <v>0</v>
      </c>
      <c r="T836" t="n">
        <v>0</v>
      </c>
      <c r="U836" s="2" t="inlineStr"/>
    </row>
    <row r="837" ht="15" customHeight="1">
      <c r="A837" t="inlineStr">
        <is>
          <t>A 784-2026</t>
        </is>
      </c>
      <c r="B837" t="inlineStr">
        <is>
          <t>avverkningsanmälan</t>
        </is>
      </c>
      <c r="C837" t="inlineStr">
        <is>
          <t>Föryngringsavverkning</t>
        </is>
      </c>
      <c r="D837" s="1" t="n">
        <v>46029</v>
      </c>
      <c r="E837" s="1" t="n">
        <v>46222</v>
      </c>
      <c r="F837" t="inlineStr">
        <is>
          <t>GÄVLEBORGS LÄN</t>
        </is>
      </c>
      <c r="G837" t="inlineStr">
        <is>
          <t>OVANÅKER</t>
        </is>
      </c>
      <c r="I837" t="n">
        <v>34.7</v>
      </c>
      <c r="J837" t="n">
        <v>0</v>
      </c>
      <c r="K837" t="n">
        <v>0</v>
      </c>
      <c r="L837" t="n">
        <v>0</v>
      </c>
      <c r="M837" t="n">
        <v>0</v>
      </c>
      <c r="N837" t="n">
        <v>0</v>
      </c>
      <c r="O837" t="n">
        <v>0</v>
      </c>
      <c r="P837" t="n">
        <v>0</v>
      </c>
      <c r="Q837" t="n">
        <v>0</v>
      </c>
      <c r="R837" t="n">
        <v>0</v>
      </c>
      <c r="S837" t="n">
        <v>0</v>
      </c>
      <c r="T837" t="n">
        <v>0</v>
      </c>
      <c r="U837" s="2" t="inlineStr"/>
    </row>
    <row r="838" ht="15" customHeight="1">
      <c r="A838" t="inlineStr">
        <is>
          <t>A 2891-2026</t>
        </is>
      </c>
      <c r="B838" t="inlineStr">
        <is>
          <t>avverkningsanmälan</t>
        </is>
      </c>
      <c r="C838" t="inlineStr">
        <is>
          <t>Föryngringsavverkning</t>
        </is>
      </c>
      <c r="D838" s="1" t="n">
        <v>46037</v>
      </c>
      <c r="E838" s="1" t="n">
        <v>46222</v>
      </c>
      <c r="F838" t="inlineStr">
        <is>
          <t>GÄVLEBORGS LÄN</t>
        </is>
      </c>
      <c r="G838" t="inlineStr">
        <is>
          <t>OVANÅKER</t>
        </is>
      </c>
      <c r="I838" t="n">
        <v>9.1</v>
      </c>
      <c r="J838" t="n">
        <v>0</v>
      </c>
      <c r="K838" t="n">
        <v>0</v>
      </c>
      <c r="L838" t="n">
        <v>0</v>
      </c>
      <c r="M838" t="n">
        <v>0</v>
      </c>
      <c r="N838" t="n">
        <v>0</v>
      </c>
      <c r="O838" t="n">
        <v>0</v>
      </c>
      <c r="P838" t="n">
        <v>0</v>
      </c>
      <c r="Q838" t="n">
        <v>0</v>
      </c>
      <c r="R838" t="n">
        <v>0</v>
      </c>
      <c r="S838" t="n">
        <v>0</v>
      </c>
      <c r="T838" t="n">
        <v>0</v>
      </c>
      <c r="U838" s="2" t="inlineStr"/>
    </row>
    <row r="839" ht="15" customHeight="1">
      <c r="A839" t="inlineStr">
        <is>
          <t>A 64075-2025</t>
        </is>
      </c>
      <c r="B839" t="inlineStr">
        <is>
          <t>avverkningsanmälan</t>
        </is>
      </c>
      <c r="C839" t="inlineStr">
        <is>
          <t>Föryngringsavverkning</t>
        </is>
      </c>
      <c r="D839" s="1" t="n">
        <v>46021</v>
      </c>
      <c r="E839" s="1" t="n">
        <v>46222</v>
      </c>
      <c r="F839" t="inlineStr">
        <is>
          <t>GÄVLEBORGS LÄN</t>
        </is>
      </c>
      <c r="G839" t="inlineStr">
        <is>
          <t>OVANÅKER</t>
        </is>
      </c>
      <c r="I839" t="n">
        <v>10.2</v>
      </c>
      <c r="J839" t="n">
        <v>0</v>
      </c>
      <c r="K839" t="n">
        <v>0</v>
      </c>
      <c r="L839" t="n">
        <v>0</v>
      </c>
      <c r="M839" t="n">
        <v>0</v>
      </c>
      <c r="N839" t="n">
        <v>0</v>
      </c>
      <c r="O839" t="n">
        <v>0</v>
      </c>
      <c r="P839" t="n">
        <v>0</v>
      </c>
      <c r="Q839" t="n">
        <v>0</v>
      </c>
      <c r="R839" t="n">
        <v>0</v>
      </c>
      <c r="S839" t="n">
        <v>0</v>
      </c>
      <c r="T839" t="n">
        <v>0</v>
      </c>
      <c r="U839" s="2" t="inlineStr"/>
    </row>
    <row r="840" ht="15" customHeight="1">
      <c r="A840" t="inlineStr">
        <is>
          <t>A 13654-2026</t>
        </is>
      </c>
      <c r="B840" t="inlineStr">
        <is>
          <t>avverkningsanmälan</t>
        </is>
      </c>
      <c r="C840" t="inlineStr">
        <is>
          <t>Föryngringsavverkning</t>
        </is>
      </c>
      <c r="D840" s="1" t="n">
        <v>46097</v>
      </c>
      <c r="E840" s="1" t="n">
        <v>46222</v>
      </c>
      <c r="F840" t="inlineStr">
        <is>
          <t>GÄVLEBORGS LÄN</t>
        </is>
      </c>
      <c r="G840" t="inlineStr">
        <is>
          <t>OVANÅKER</t>
        </is>
      </c>
      <c r="I840" t="n">
        <v>10.2</v>
      </c>
      <c r="J840" t="n">
        <v>0</v>
      </c>
      <c r="K840" t="n">
        <v>0</v>
      </c>
      <c r="L840" t="n">
        <v>0</v>
      </c>
      <c r="M840" t="n">
        <v>0</v>
      </c>
      <c r="N840" t="n">
        <v>0</v>
      </c>
      <c r="O840" t="n">
        <v>0</v>
      </c>
      <c r="P840" t="n">
        <v>0</v>
      </c>
      <c r="Q840" t="n">
        <v>0</v>
      </c>
      <c r="R840" t="n">
        <v>0</v>
      </c>
      <c r="S840" t="n">
        <v>0</v>
      </c>
      <c r="T840" t="n">
        <v>0</v>
      </c>
      <c r="U840" s="2" t="inlineStr"/>
    </row>
    <row r="841" ht="15" customHeight="1">
      <c r="A841" t="inlineStr">
        <is>
          <t>A 9823-2026</t>
        </is>
      </c>
      <c r="B841" t="inlineStr">
        <is>
          <t>avverkningsanmälan</t>
        </is>
      </c>
      <c r="C841" t="inlineStr">
        <is>
          <t>Föryngringsavverkning</t>
        </is>
      </c>
      <c r="D841" s="1" t="n">
        <v>46072</v>
      </c>
      <c r="E841" s="1" t="n">
        <v>46222</v>
      </c>
      <c r="F841" t="inlineStr">
        <is>
          <t>GÄVLEBORGS LÄN</t>
        </is>
      </c>
      <c r="G841" t="inlineStr">
        <is>
          <t>OVANÅKER</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2655-2026</t>
        </is>
      </c>
      <c r="B842" t="inlineStr">
        <is>
          <t>avverkningsanmälan</t>
        </is>
      </c>
      <c r="C842" t="inlineStr">
        <is>
          <t>Föryngringsavverkning</t>
        </is>
      </c>
      <c r="D842" s="1" t="n">
        <v>46037</v>
      </c>
      <c r="E842" s="1" t="n">
        <v>46222</v>
      </c>
      <c r="F842" t="inlineStr">
        <is>
          <t>GÄVLEBORGS LÄN</t>
        </is>
      </c>
      <c r="G842" t="inlineStr">
        <is>
          <t>OVANÅKER</t>
        </is>
      </c>
      <c r="I842" t="n">
        <v>4.8</v>
      </c>
      <c r="J842" t="n">
        <v>0</v>
      </c>
      <c r="K842" t="n">
        <v>0</v>
      </c>
      <c r="L842" t="n">
        <v>0</v>
      </c>
      <c r="M842" t="n">
        <v>0</v>
      </c>
      <c r="N842" t="n">
        <v>0</v>
      </c>
      <c r="O842" t="n">
        <v>0</v>
      </c>
      <c r="P842" t="n">
        <v>0</v>
      </c>
      <c r="Q842" t="n">
        <v>0</v>
      </c>
      <c r="R842" t="n">
        <v>0</v>
      </c>
      <c r="S842" t="n">
        <v>0</v>
      </c>
      <c r="T842" t="n">
        <v>0</v>
      </c>
      <c r="U842" s="2" t="inlineStr"/>
    </row>
    <row r="843" ht="15" customHeight="1">
      <c r="A843" t="inlineStr">
        <is>
          <t>A 991-2025</t>
        </is>
      </c>
      <c r="B843" t="inlineStr">
        <is>
          <t>avverkningsanmälan</t>
        </is>
      </c>
      <c r="C843" t="inlineStr">
        <is>
          <t>Föryngringsavverkning</t>
        </is>
      </c>
      <c r="D843" s="1" t="n">
        <v>45666</v>
      </c>
      <c r="E843" s="1" t="n">
        <v>46222</v>
      </c>
      <c r="F843" t="inlineStr">
        <is>
          <t>GÄVLEBORGS LÄN</t>
        </is>
      </c>
      <c r="G843" t="inlineStr">
        <is>
          <t>OVANÅKER</t>
        </is>
      </c>
      <c r="H843" t="inlineStr">
        <is>
          <t>Bergvik skog väst AB</t>
        </is>
      </c>
      <c r="I843" t="n">
        <v>2.7</v>
      </c>
      <c r="J843" t="n">
        <v>0</v>
      </c>
      <c r="K843" t="n">
        <v>0</v>
      </c>
      <c r="L843" t="n">
        <v>0</v>
      </c>
      <c r="M843" t="n">
        <v>0</v>
      </c>
      <c r="N843" t="n">
        <v>0</v>
      </c>
      <c r="O843" t="n">
        <v>0</v>
      </c>
      <c r="P843" t="n">
        <v>0</v>
      </c>
      <c r="Q843" t="n">
        <v>0</v>
      </c>
      <c r="R843" t="n">
        <v>0</v>
      </c>
      <c r="S843" t="n">
        <v>0</v>
      </c>
      <c r="T843" t="n">
        <v>0</v>
      </c>
      <c r="U843" s="2" t="inlineStr"/>
    </row>
    <row r="844" ht="15" customHeight="1">
      <c r="A844" t="inlineStr">
        <is>
          <t>A 3159-2026</t>
        </is>
      </c>
      <c r="B844" t="inlineStr">
        <is>
          <t>avverkningsanmälan</t>
        </is>
      </c>
      <c r="C844" t="inlineStr">
        <is>
          <t>Föryngringsavverkning</t>
        </is>
      </c>
      <c r="D844" s="1" t="n">
        <v>46041</v>
      </c>
      <c r="E844" s="1" t="n">
        <v>46222</v>
      </c>
      <c r="F844" t="inlineStr">
        <is>
          <t>GÄVLEBORGS LÄN</t>
        </is>
      </c>
      <c r="G844" t="inlineStr">
        <is>
          <t>OVANÅKER</t>
        </is>
      </c>
      <c r="I844" t="n">
        <v>4.3</v>
      </c>
      <c r="J844" t="n">
        <v>0</v>
      </c>
      <c r="K844" t="n">
        <v>0</v>
      </c>
      <c r="L844" t="n">
        <v>0</v>
      </c>
      <c r="M844" t="n">
        <v>0</v>
      </c>
      <c r="N844" t="n">
        <v>0</v>
      </c>
      <c r="O844" t="n">
        <v>0</v>
      </c>
      <c r="P844" t="n">
        <v>0</v>
      </c>
      <c r="Q844" t="n">
        <v>0</v>
      </c>
      <c r="R844" t="n">
        <v>0</v>
      </c>
      <c r="S844" t="n">
        <v>0</v>
      </c>
      <c r="T844" t="n">
        <v>0</v>
      </c>
      <c r="U844" s="2" t="inlineStr"/>
    </row>
    <row r="845" ht="15" customHeight="1">
      <c r="A845" t="inlineStr">
        <is>
          <t>A 15099-2026</t>
        </is>
      </c>
      <c r="B845" t="inlineStr">
        <is>
          <t>avverkningsanmälan</t>
        </is>
      </c>
      <c r="C845" t="inlineStr">
        <is>
          <t>Föryngringsavverkning</t>
        </is>
      </c>
      <c r="D845" s="1" t="n">
        <v>46105</v>
      </c>
      <c r="E845" s="1" t="n">
        <v>46222</v>
      </c>
      <c r="F845" t="inlineStr">
        <is>
          <t>GÄVLEBORGS LÄN</t>
        </is>
      </c>
      <c r="G845" t="inlineStr">
        <is>
          <t>OVANÅKER</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797-2026</t>
        </is>
      </c>
      <c r="B846" t="inlineStr">
        <is>
          <t>avverkningsanmälan</t>
        </is>
      </c>
      <c r="C846" t="inlineStr">
        <is>
          <t>Föryngringsavverkning</t>
        </is>
      </c>
      <c r="D846" s="1" t="n">
        <v>46029</v>
      </c>
      <c r="E846" s="1" t="n">
        <v>46222</v>
      </c>
      <c r="F846" t="inlineStr">
        <is>
          <t>GÄVLEBORGS LÄN</t>
        </is>
      </c>
      <c r="G846" t="inlineStr">
        <is>
          <t>OVANÅKER</t>
        </is>
      </c>
      <c r="I846" t="n">
        <v>4.5</v>
      </c>
      <c r="J846" t="n">
        <v>0</v>
      </c>
      <c r="K846" t="n">
        <v>0</v>
      </c>
      <c r="L846" t="n">
        <v>0</v>
      </c>
      <c r="M846" t="n">
        <v>0</v>
      </c>
      <c r="N846" t="n">
        <v>0</v>
      </c>
      <c r="O846" t="n">
        <v>0</v>
      </c>
      <c r="P846" t="n">
        <v>0</v>
      </c>
      <c r="Q846" t="n">
        <v>0</v>
      </c>
      <c r="R846" t="n">
        <v>0</v>
      </c>
      <c r="S846" t="n">
        <v>0</v>
      </c>
      <c r="T846" t="n">
        <v>0</v>
      </c>
      <c r="U846" s="2" t="inlineStr"/>
    </row>
    <row r="847" ht="15" customHeight="1">
      <c r="A847" t="inlineStr">
        <is>
          <t>A 27628-2025</t>
        </is>
      </c>
      <c r="B847" t="inlineStr">
        <is>
          <t>avverkningsanmälan</t>
        </is>
      </c>
      <c r="C847" t="inlineStr">
        <is>
          <t>Föryngringsavverkning</t>
        </is>
      </c>
      <c r="D847" s="1" t="n">
        <v>45813</v>
      </c>
      <c r="E847" s="1" t="n">
        <v>46222</v>
      </c>
      <c r="F847" t="inlineStr">
        <is>
          <t>GÄVLEBORGS LÄN</t>
        </is>
      </c>
      <c r="G847" t="inlineStr">
        <is>
          <t>OVANÅKER</t>
        </is>
      </c>
      <c r="H847" t="inlineStr">
        <is>
          <t>Bergvik skog väst AB</t>
        </is>
      </c>
      <c r="I847" t="n">
        <v>5.8</v>
      </c>
      <c r="J847" t="n">
        <v>0</v>
      </c>
      <c r="K847" t="n">
        <v>0</v>
      </c>
      <c r="L847" t="n">
        <v>0</v>
      </c>
      <c r="M847" t="n">
        <v>0</v>
      </c>
      <c r="N847" t="n">
        <v>0</v>
      </c>
      <c r="O847" t="n">
        <v>0</v>
      </c>
      <c r="P847" t="n">
        <v>0</v>
      </c>
      <c r="Q847" t="n">
        <v>0</v>
      </c>
      <c r="R847" t="n">
        <v>0</v>
      </c>
      <c r="S847" t="n">
        <v>0</v>
      </c>
      <c r="T847" t="n">
        <v>0</v>
      </c>
      <c r="U847" s="2" t="inlineStr"/>
    </row>
    <row r="848" ht="15" customHeight="1">
      <c r="A848" t="inlineStr">
        <is>
          <t>A 3151-2026</t>
        </is>
      </c>
      <c r="B848" t="inlineStr">
        <is>
          <t>avverkningsanmälan</t>
        </is>
      </c>
      <c r="C848" t="inlineStr">
        <is>
          <t>Föryngringsavverkning</t>
        </is>
      </c>
      <c r="D848" s="1" t="n">
        <v>46041</v>
      </c>
      <c r="E848" s="1" t="n">
        <v>46222</v>
      </c>
      <c r="F848" t="inlineStr">
        <is>
          <t>GÄVLEBORGS LÄN</t>
        </is>
      </c>
      <c r="G848" t="inlineStr">
        <is>
          <t>OVANÅKER</t>
        </is>
      </c>
      <c r="I848" t="n">
        <v>6.9</v>
      </c>
      <c r="J848" t="n">
        <v>0</v>
      </c>
      <c r="K848" t="n">
        <v>0</v>
      </c>
      <c r="L848" t="n">
        <v>0</v>
      </c>
      <c r="M848" t="n">
        <v>0</v>
      </c>
      <c r="N848" t="n">
        <v>0</v>
      </c>
      <c r="O848" t="n">
        <v>0</v>
      </c>
      <c r="P848" t="n">
        <v>0</v>
      </c>
      <c r="Q848" t="n">
        <v>0</v>
      </c>
      <c r="R848" t="n">
        <v>0</v>
      </c>
      <c r="S848" t="n">
        <v>0</v>
      </c>
      <c r="T848" t="n">
        <v>0</v>
      </c>
      <c r="U848" s="2" t="inlineStr"/>
    </row>
    <row r="849" ht="15" customHeight="1">
      <c r="A849" t="inlineStr">
        <is>
          <t>A 430-2026</t>
        </is>
      </c>
      <c r="B849" t="inlineStr">
        <is>
          <t>avverkningsanmälan</t>
        </is>
      </c>
      <c r="C849" t="inlineStr">
        <is>
          <t>Föryngringsavverkning</t>
        </is>
      </c>
      <c r="D849" s="1" t="n">
        <v>46029</v>
      </c>
      <c r="E849" s="1" t="n">
        <v>46222</v>
      </c>
      <c r="F849" t="inlineStr">
        <is>
          <t>GÄVLEBORGS LÄN</t>
        </is>
      </c>
      <c r="G849" t="inlineStr">
        <is>
          <t>OVANÅKER</t>
        </is>
      </c>
      <c r="I849" t="n">
        <v>1.4</v>
      </c>
      <c r="J849" t="n">
        <v>0</v>
      </c>
      <c r="K849" t="n">
        <v>0</v>
      </c>
      <c r="L849" t="n">
        <v>0</v>
      </c>
      <c r="M849" t="n">
        <v>0</v>
      </c>
      <c r="N849" t="n">
        <v>0</v>
      </c>
      <c r="O849" t="n">
        <v>0</v>
      </c>
      <c r="P849" t="n">
        <v>0</v>
      </c>
      <c r="Q849" t="n">
        <v>0</v>
      </c>
      <c r="R849" t="n">
        <v>0</v>
      </c>
      <c r="S849" t="n">
        <v>0</v>
      </c>
      <c r="T849" t="n">
        <v>0</v>
      </c>
      <c r="U849" s="2" t="inlineStr"/>
    </row>
    <row r="850" ht="15" customHeight="1">
      <c r="A850" t="inlineStr">
        <is>
          <t>A 1473-2026</t>
        </is>
      </c>
      <c r="B850" t="inlineStr">
        <is>
          <t>avverkningsanmälan</t>
        </is>
      </c>
      <c r="C850" t="inlineStr">
        <is>
          <t>Föryngringsavverkning</t>
        </is>
      </c>
      <c r="D850" s="1" t="n">
        <v>46033</v>
      </c>
      <c r="E850" s="1" t="n">
        <v>46222</v>
      </c>
      <c r="F850" t="inlineStr">
        <is>
          <t>GÄVLEBORGS LÄN</t>
        </is>
      </c>
      <c r="G850" t="inlineStr">
        <is>
          <t>OVANÅKER</t>
        </is>
      </c>
      <c r="I850" t="n">
        <v>31.2</v>
      </c>
      <c r="J850" t="n">
        <v>0</v>
      </c>
      <c r="K850" t="n">
        <v>0</v>
      </c>
      <c r="L850" t="n">
        <v>0</v>
      </c>
      <c r="M850" t="n">
        <v>0</v>
      </c>
      <c r="N850" t="n">
        <v>0</v>
      </c>
      <c r="O850" t="n">
        <v>0</v>
      </c>
      <c r="P850" t="n">
        <v>0</v>
      </c>
      <c r="Q850" t="n">
        <v>0</v>
      </c>
      <c r="R850" t="n">
        <v>0</v>
      </c>
      <c r="S850" t="n">
        <v>0</v>
      </c>
      <c r="T850" t="n">
        <v>0</v>
      </c>
      <c r="U850" s="2" t="inlineStr"/>
    </row>
    <row r="851" ht="15" customHeight="1">
      <c r="A851" t="inlineStr">
        <is>
          <t>A 5576-2026</t>
        </is>
      </c>
      <c r="B851" t="inlineStr">
        <is>
          <t>avverkningsanmälan</t>
        </is>
      </c>
      <c r="C851" t="inlineStr">
        <is>
          <t>Föryngringsavverkning</t>
        </is>
      </c>
      <c r="D851" s="1" t="n">
        <v>46051</v>
      </c>
      <c r="E851" s="1" t="n">
        <v>46222</v>
      </c>
      <c r="F851" t="inlineStr">
        <is>
          <t>GÄVLEBORGS LÄN</t>
        </is>
      </c>
      <c r="G851" t="inlineStr">
        <is>
          <t>OVANÅKER</t>
        </is>
      </c>
      <c r="I851" t="n">
        <v>4.3</v>
      </c>
      <c r="J851" t="n">
        <v>0</v>
      </c>
      <c r="K851" t="n">
        <v>0</v>
      </c>
      <c r="L851" t="n">
        <v>0</v>
      </c>
      <c r="M851" t="n">
        <v>0</v>
      </c>
      <c r="N851" t="n">
        <v>0</v>
      </c>
      <c r="O851" t="n">
        <v>0</v>
      </c>
      <c r="P851" t="n">
        <v>0</v>
      </c>
      <c r="Q851" t="n">
        <v>0</v>
      </c>
      <c r="R851" t="n">
        <v>0</v>
      </c>
      <c r="S851" t="n">
        <v>0</v>
      </c>
      <c r="T851" t="n">
        <v>0</v>
      </c>
      <c r="U851" s="2" t="inlineStr"/>
    </row>
    <row r="852" ht="15" customHeight="1">
      <c r="A852" t="inlineStr">
        <is>
          <t>A 7649-2026</t>
        </is>
      </c>
      <c r="B852" t="inlineStr">
        <is>
          <t>avverkningsanmälan</t>
        </is>
      </c>
      <c r="C852" t="inlineStr">
        <is>
          <t>Föryngringsavverkning</t>
        </is>
      </c>
      <c r="D852" s="1" t="n">
        <v>46062</v>
      </c>
      <c r="E852" s="1" t="n">
        <v>46222</v>
      </c>
      <c r="F852" t="inlineStr">
        <is>
          <t>GÄVLEBORGS LÄN</t>
        </is>
      </c>
      <c r="G852" t="inlineStr">
        <is>
          <t>OVANÅKER</t>
        </is>
      </c>
      <c r="I852" t="n">
        <v>14.9</v>
      </c>
      <c r="J852" t="n">
        <v>0</v>
      </c>
      <c r="K852" t="n">
        <v>0</v>
      </c>
      <c r="L852" t="n">
        <v>0</v>
      </c>
      <c r="M852" t="n">
        <v>0</v>
      </c>
      <c r="N852" t="n">
        <v>0</v>
      </c>
      <c r="O852" t="n">
        <v>0</v>
      </c>
      <c r="P852" t="n">
        <v>0</v>
      </c>
      <c r="Q852" t="n">
        <v>0</v>
      </c>
      <c r="R852" t="n">
        <v>0</v>
      </c>
      <c r="S852" t="n">
        <v>0</v>
      </c>
      <c r="T852" t="n">
        <v>0</v>
      </c>
      <c r="U852" s="2" t="inlineStr"/>
    </row>
    <row r="853" ht="15" customHeight="1">
      <c r="A853" t="inlineStr">
        <is>
          <t>A 14050-2026</t>
        </is>
      </c>
      <c r="B853" t="inlineStr">
        <is>
          <t>avverkningsanmälan</t>
        </is>
      </c>
      <c r="C853" t="inlineStr">
        <is>
          <t>Föryngringsavverkning</t>
        </is>
      </c>
      <c r="D853" s="1" t="n">
        <v>46099</v>
      </c>
      <c r="E853" s="1" t="n">
        <v>46222</v>
      </c>
      <c r="F853" t="inlineStr">
        <is>
          <t>GÄVLEBORGS LÄN</t>
        </is>
      </c>
      <c r="G853" t="inlineStr">
        <is>
          <t>OVANÅKER</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4163-2026</t>
        </is>
      </c>
      <c r="B854" t="inlineStr">
        <is>
          <t>avverkningsanmälan</t>
        </is>
      </c>
      <c r="C854" t="inlineStr">
        <is>
          <t>Föryngringsavverkning</t>
        </is>
      </c>
      <c r="D854" s="1" t="n">
        <v>46044</v>
      </c>
      <c r="E854" s="1" t="n">
        <v>46222</v>
      </c>
      <c r="F854" t="inlineStr">
        <is>
          <t>GÄVLEBORGS LÄN</t>
        </is>
      </c>
      <c r="G854" t="inlineStr">
        <is>
          <t>OVANÅKER</t>
        </is>
      </c>
      <c r="I854" t="n">
        <v>5.5</v>
      </c>
      <c r="J854" t="n">
        <v>0</v>
      </c>
      <c r="K854" t="n">
        <v>0</v>
      </c>
      <c r="L854" t="n">
        <v>0</v>
      </c>
      <c r="M854" t="n">
        <v>0</v>
      </c>
      <c r="N854" t="n">
        <v>0</v>
      </c>
      <c r="O854" t="n">
        <v>0</v>
      </c>
      <c r="P854" t="n">
        <v>0</v>
      </c>
      <c r="Q854" t="n">
        <v>0</v>
      </c>
      <c r="R854" t="n">
        <v>0</v>
      </c>
      <c r="S854" t="n">
        <v>0</v>
      </c>
      <c r="T854" t="n">
        <v>0</v>
      </c>
      <c r="U854" s="2" t="inlineStr"/>
    </row>
    <row r="855" ht="15" customHeight="1">
      <c r="A855" t="inlineStr">
        <is>
          <t>A 30953-2025</t>
        </is>
      </c>
      <c r="B855" t="inlineStr">
        <is>
          <t>avverkningsanmälan</t>
        </is>
      </c>
      <c r="C855" t="inlineStr">
        <is>
          <t>Föryngringsavverkning</t>
        </is>
      </c>
      <c r="D855" s="1" t="n">
        <v>45832</v>
      </c>
      <c r="E855" s="1" t="n">
        <v>46222</v>
      </c>
      <c r="F855" t="inlineStr">
        <is>
          <t>GÄVLEBORGS LÄN</t>
        </is>
      </c>
      <c r="G855" t="inlineStr">
        <is>
          <t>OVANÅKER</t>
        </is>
      </c>
      <c r="I855" t="n">
        <v>15.3</v>
      </c>
      <c r="J855" t="n">
        <v>0</v>
      </c>
      <c r="K855" t="n">
        <v>0</v>
      </c>
      <c r="L855" t="n">
        <v>0</v>
      </c>
      <c r="M855" t="n">
        <v>0</v>
      </c>
      <c r="N855" t="n">
        <v>0</v>
      </c>
      <c r="O855" t="n">
        <v>0</v>
      </c>
      <c r="P855" t="n">
        <v>0</v>
      </c>
      <c r="Q855" t="n">
        <v>0</v>
      </c>
      <c r="R855" t="n">
        <v>0</v>
      </c>
      <c r="S855" t="n">
        <v>0</v>
      </c>
      <c r="T855" t="n">
        <v>0</v>
      </c>
      <c r="U855" s="2" t="inlineStr"/>
    </row>
    <row r="856" ht="15" customHeight="1">
      <c r="A856" t="inlineStr">
        <is>
          <t>A 26242-2026</t>
        </is>
      </c>
      <c r="B856" t="inlineStr">
        <is>
          <t>avverkningsanmälan</t>
        </is>
      </c>
      <c r="C856" t="inlineStr">
        <is>
          <t>Föryngringsavverkning</t>
        </is>
      </c>
      <c r="D856" s="1" t="n">
        <v>46182</v>
      </c>
      <c r="E856" s="1" t="n">
        <v>46222</v>
      </c>
      <c r="F856" t="inlineStr">
        <is>
          <t>GÄVLEBORGS LÄN</t>
        </is>
      </c>
      <c r="G856" t="inlineStr">
        <is>
          <t>OVANÅKER</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2255-2026</t>
        </is>
      </c>
      <c r="B857" t="inlineStr">
        <is>
          <t>avverkningsanmälan</t>
        </is>
      </c>
      <c r="C857" t="inlineStr">
        <is>
          <t>Föryngringsavverkning</t>
        </is>
      </c>
      <c r="D857" s="1" t="n">
        <v>46036</v>
      </c>
      <c r="E857" s="1" t="n">
        <v>46222</v>
      </c>
      <c r="F857" t="inlineStr">
        <is>
          <t>GÄVLEBORGS LÄN</t>
        </is>
      </c>
      <c r="G857" t="inlineStr">
        <is>
          <t>OVANÅKER</t>
        </is>
      </c>
      <c r="I857" t="n">
        <v>6.1</v>
      </c>
      <c r="J857" t="n">
        <v>0</v>
      </c>
      <c r="K857" t="n">
        <v>0</v>
      </c>
      <c r="L857" t="n">
        <v>0</v>
      </c>
      <c r="M857" t="n">
        <v>0</v>
      </c>
      <c r="N857" t="n">
        <v>0</v>
      </c>
      <c r="O857" t="n">
        <v>0</v>
      </c>
      <c r="P857" t="n">
        <v>0</v>
      </c>
      <c r="Q857" t="n">
        <v>0</v>
      </c>
      <c r="R857" t="n">
        <v>0</v>
      </c>
      <c r="S857" t="n">
        <v>0</v>
      </c>
      <c r="T857" t="n">
        <v>0</v>
      </c>
      <c r="U857" s="2" t="inlineStr"/>
    </row>
    <row r="858" ht="15" customHeight="1">
      <c r="A858" t="inlineStr">
        <is>
          <t>A 9876-2026</t>
        </is>
      </c>
      <c r="B858" t="inlineStr">
        <is>
          <t>avverkningsanmälan</t>
        </is>
      </c>
      <c r="C858" t="inlineStr">
        <is>
          <t>Föryngringsavverkning</t>
        </is>
      </c>
      <c r="D858" s="1" t="n">
        <v>46073</v>
      </c>
      <c r="E858" s="1" t="n">
        <v>46222</v>
      </c>
      <c r="F858" t="inlineStr">
        <is>
          <t>GÄVLEBORGS LÄN</t>
        </is>
      </c>
      <c r="G858" t="inlineStr">
        <is>
          <t>OVANÅKER</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903-2026</t>
        </is>
      </c>
      <c r="B859" t="inlineStr">
        <is>
          <t>avverkningsanmälan</t>
        </is>
      </c>
      <c r="C859" t="inlineStr">
        <is>
          <t>Föryngringsavverkning</t>
        </is>
      </c>
      <c r="D859" s="1" t="n">
        <v>46030</v>
      </c>
      <c r="E859" s="1" t="n">
        <v>46222</v>
      </c>
      <c r="F859" t="inlineStr">
        <is>
          <t>GÄVLEBORGS LÄN</t>
        </is>
      </c>
      <c r="G859" t="inlineStr">
        <is>
          <t>OVANÅKER</t>
        </is>
      </c>
      <c r="I859" t="n">
        <v>1.4</v>
      </c>
      <c r="J859" t="n">
        <v>0</v>
      </c>
      <c r="K859" t="n">
        <v>0</v>
      </c>
      <c r="L859" t="n">
        <v>0</v>
      </c>
      <c r="M859" t="n">
        <v>0</v>
      </c>
      <c r="N859" t="n">
        <v>0</v>
      </c>
      <c r="O859" t="n">
        <v>0</v>
      </c>
      <c r="P859" t="n">
        <v>0</v>
      </c>
      <c r="Q859" t="n">
        <v>0</v>
      </c>
      <c r="R859" t="n">
        <v>0</v>
      </c>
      <c r="S859" t="n">
        <v>0</v>
      </c>
      <c r="T859" t="n">
        <v>0</v>
      </c>
      <c r="U859" s="2" t="inlineStr"/>
    </row>
    <row r="860" ht="15" customHeight="1">
      <c r="A860" t="inlineStr">
        <is>
          <t>A 5081-2026</t>
        </is>
      </c>
      <c r="B860" t="inlineStr">
        <is>
          <t>avverkningsanmälan</t>
        </is>
      </c>
      <c r="C860" t="inlineStr">
        <is>
          <t>Föryngringsavverkning</t>
        </is>
      </c>
      <c r="D860" s="1" t="n">
        <v>46049</v>
      </c>
      <c r="E860" s="1" t="n">
        <v>46222</v>
      </c>
      <c r="F860" t="inlineStr">
        <is>
          <t>GÄVLEBORGS LÄN</t>
        </is>
      </c>
      <c r="G860" t="inlineStr">
        <is>
          <t>OVANÅKER</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1787-2026</t>
        </is>
      </c>
      <c r="B861" t="inlineStr">
        <is>
          <t>avverkningsanmälan</t>
        </is>
      </c>
      <c r="C861" t="inlineStr">
        <is>
          <t>Föryngringsavverkning</t>
        </is>
      </c>
      <c r="D861" s="1" t="n">
        <v>46034</v>
      </c>
      <c r="E861" s="1" t="n">
        <v>46222</v>
      </c>
      <c r="F861" t="inlineStr">
        <is>
          <t>GÄVLEBORGS LÄN</t>
        </is>
      </c>
      <c r="G861" t="inlineStr">
        <is>
          <t>OVANÅKER</t>
        </is>
      </c>
      <c r="I861" t="n">
        <v>3.5</v>
      </c>
      <c r="J861" t="n">
        <v>0</v>
      </c>
      <c r="K861" t="n">
        <v>0</v>
      </c>
      <c r="L861" t="n">
        <v>0</v>
      </c>
      <c r="M861" t="n">
        <v>0</v>
      </c>
      <c r="N861" t="n">
        <v>0</v>
      </c>
      <c r="O861" t="n">
        <v>0</v>
      </c>
      <c r="P861" t="n">
        <v>0</v>
      </c>
      <c r="Q861" t="n">
        <v>0</v>
      </c>
      <c r="R861" t="n">
        <v>0</v>
      </c>
      <c r="S861" t="n">
        <v>0</v>
      </c>
      <c r="T861" t="n">
        <v>0</v>
      </c>
      <c r="U861" s="2" t="inlineStr"/>
    </row>
    <row r="862" ht="15" customHeight="1">
      <c r="A862" t="inlineStr">
        <is>
          <t>A 4547-2026</t>
        </is>
      </c>
      <c r="B862" t="inlineStr">
        <is>
          <t>avverkningsanmälan</t>
        </is>
      </c>
      <c r="C862" t="inlineStr">
        <is>
          <t>Föryngringsavverkning</t>
        </is>
      </c>
      <c r="D862" s="1" t="n">
        <v>46047</v>
      </c>
      <c r="E862" s="1" t="n">
        <v>46222</v>
      </c>
      <c r="F862" t="inlineStr">
        <is>
          <t>GÄVLEBORGS LÄN</t>
        </is>
      </c>
      <c r="G862" t="inlineStr">
        <is>
          <t>OVANÅKER</t>
        </is>
      </c>
      <c r="I862" t="n">
        <v>5.5</v>
      </c>
      <c r="J862" t="n">
        <v>0</v>
      </c>
      <c r="K862" t="n">
        <v>0</v>
      </c>
      <c r="L862" t="n">
        <v>0</v>
      </c>
      <c r="M862" t="n">
        <v>0</v>
      </c>
      <c r="N862" t="n">
        <v>0</v>
      </c>
      <c r="O862" t="n">
        <v>0</v>
      </c>
      <c r="P862" t="n">
        <v>0</v>
      </c>
      <c r="Q862" t="n">
        <v>0</v>
      </c>
      <c r="R862" t="n">
        <v>0</v>
      </c>
      <c r="S862" t="n">
        <v>0</v>
      </c>
      <c r="T862" t="n">
        <v>0</v>
      </c>
      <c r="U862" s="2" t="inlineStr"/>
    </row>
    <row r="863" ht="15" customHeight="1">
      <c r="A863" t="inlineStr">
        <is>
          <t>A 20295-2026</t>
        </is>
      </c>
      <c r="B863" t="inlineStr">
        <is>
          <t>avverkningsanmälan</t>
        </is>
      </c>
      <c r="C863" t="inlineStr">
        <is>
          <t>Föryngringsavverkning</t>
        </is>
      </c>
      <c r="D863" s="1" t="n">
        <v>46139</v>
      </c>
      <c r="E863" s="1" t="n">
        <v>46222</v>
      </c>
      <c r="F863" t="inlineStr">
        <is>
          <t>GÄVLEBORGS LÄN</t>
        </is>
      </c>
      <c r="G863" t="inlineStr">
        <is>
          <t>OVANÅKER</t>
        </is>
      </c>
      <c r="H863" t="inlineStr">
        <is>
          <t>Bergvik skog väst AB</t>
        </is>
      </c>
      <c r="I863" t="n">
        <v>3.5</v>
      </c>
      <c r="J863" t="n">
        <v>0</v>
      </c>
      <c r="K863" t="n">
        <v>0</v>
      </c>
      <c r="L863" t="n">
        <v>0</v>
      </c>
      <c r="M863" t="n">
        <v>0</v>
      </c>
      <c r="N863" t="n">
        <v>0</v>
      </c>
      <c r="O863" t="n">
        <v>0</v>
      </c>
      <c r="P863" t="n">
        <v>0</v>
      </c>
      <c r="Q863" t="n">
        <v>0</v>
      </c>
      <c r="R863" t="n">
        <v>0</v>
      </c>
      <c r="S863" t="n">
        <v>0</v>
      </c>
      <c r="T863" t="n">
        <v>0</v>
      </c>
      <c r="U863" s="2" t="inlineStr"/>
    </row>
    <row r="864" ht="15" customHeight="1">
      <c r="A864" t="inlineStr">
        <is>
          <t>A 20304-2026</t>
        </is>
      </c>
      <c r="B864" t="inlineStr">
        <is>
          <t>avverkningsanmälan</t>
        </is>
      </c>
      <c r="C864" t="inlineStr">
        <is>
          <t>Föryngringsavverkning</t>
        </is>
      </c>
      <c r="D864" s="1" t="n">
        <v>46139</v>
      </c>
      <c r="E864" s="1" t="n">
        <v>46222</v>
      </c>
      <c r="F864" t="inlineStr">
        <is>
          <t>GÄVLEBORGS LÄN</t>
        </is>
      </c>
      <c r="G864" t="inlineStr">
        <is>
          <t>OVANÅKER</t>
        </is>
      </c>
      <c r="I864" t="n">
        <v>3.5</v>
      </c>
      <c r="J864" t="n">
        <v>0</v>
      </c>
      <c r="K864" t="n">
        <v>0</v>
      </c>
      <c r="L864" t="n">
        <v>0</v>
      </c>
      <c r="M864" t="n">
        <v>0</v>
      </c>
      <c r="N864" t="n">
        <v>0</v>
      </c>
      <c r="O864" t="n">
        <v>0</v>
      </c>
      <c r="P864" t="n">
        <v>0</v>
      </c>
      <c r="Q864" t="n">
        <v>0</v>
      </c>
      <c r="R864" t="n">
        <v>0</v>
      </c>
      <c r="S864" t="n">
        <v>0</v>
      </c>
      <c r="T864" t="n">
        <v>0</v>
      </c>
      <c r="U864" s="2" t="inlineStr"/>
    </row>
    <row r="865" ht="15" customHeight="1">
      <c r="A865" t="inlineStr">
        <is>
          <t>A 5480-2026</t>
        </is>
      </c>
      <c r="B865" t="inlineStr">
        <is>
          <t>avverkningsanmälan</t>
        </is>
      </c>
      <c r="C865" t="inlineStr">
        <is>
          <t>Föryngringsavverkning</t>
        </is>
      </c>
      <c r="D865" s="1" t="n">
        <v>46050</v>
      </c>
      <c r="E865" s="1" t="n">
        <v>46222</v>
      </c>
      <c r="F865" t="inlineStr">
        <is>
          <t>GÄVLEBORGS LÄN</t>
        </is>
      </c>
      <c r="G865" t="inlineStr">
        <is>
          <t>OVANÅKER</t>
        </is>
      </c>
      <c r="I865" t="n">
        <v>6.5</v>
      </c>
      <c r="J865" t="n">
        <v>0</v>
      </c>
      <c r="K865" t="n">
        <v>0</v>
      </c>
      <c r="L865" t="n">
        <v>0</v>
      </c>
      <c r="M865" t="n">
        <v>0</v>
      </c>
      <c r="N865" t="n">
        <v>0</v>
      </c>
      <c r="O865" t="n">
        <v>0</v>
      </c>
      <c r="P865" t="n">
        <v>0</v>
      </c>
      <c r="Q865" t="n">
        <v>0</v>
      </c>
      <c r="R865" t="n">
        <v>0</v>
      </c>
      <c r="S865" t="n">
        <v>0</v>
      </c>
      <c r="T865" t="n">
        <v>0</v>
      </c>
      <c r="U865" s="2" t="inlineStr"/>
    </row>
    <row r="866" ht="15" customHeight="1">
      <c r="A866" t="inlineStr">
        <is>
          <t>A 6844-2026</t>
        </is>
      </c>
      <c r="B866" t="inlineStr">
        <is>
          <t>avverkningsanmälan</t>
        </is>
      </c>
      <c r="C866" t="inlineStr">
        <is>
          <t>Föryngringsavverkning</t>
        </is>
      </c>
      <c r="D866" s="1" t="n">
        <v>46057</v>
      </c>
      <c r="E866" s="1" t="n">
        <v>46222</v>
      </c>
      <c r="F866" t="inlineStr">
        <is>
          <t>GÄVLEBORGS LÄN</t>
        </is>
      </c>
      <c r="G866" t="inlineStr">
        <is>
          <t>OVANÅKER</t>
        </is>
      </c>
      <c r="I866" t="n">
        <v>11.8</v>
      </c>
      <c r="J866" t="n">
        <v>0</v>
      </c>
      <c r="K866" t="n">
        <v>0</v>
      </c>
      <c r="L866" t="n">
        <v>0</v>
      </c>
      <c r="M866" t="n">
        <v>0</v>
      </c>
      <c r="N866" t="n">
        <v>0</v>
      </c>
      <c r="O866" t="n">
        <v>0</v>
      </c>
      <c r="P866" t="n">
        <v>0</v>
      </c>
      <c r="Q866" t="n">
        <v>0</v>
      </c>
      <c r="R866" t="n">
        <v>0</v>
      </c>
      <c r="S866" t="n">
        <v>0</v>
      </c>
      <c r="T866" t="n">
        <v>0</v>
      </c>
      <c r="U866" s="2" t="inlineStr"/>
    </row>
    <row r="867" ht="15" customHeight="1">
      <c r="A867" t="inlineStr">
        <is>
          <t>A 31005-2023</t>
        </is>
      </c>
      <c r="B867" t="inlineStr">
        <is>
          <t>avverkningsanmälan</t>
        </is>
      </c>
      <c r="C867" t="inlineStr">
        <is>
          <t>Föryngringsavverkning</t>
        </is>
      </c>
      <c r="D867" s="1" t="n">
        <v>45113</v>
      </c>
      <c r="E867" s="1" t="n">
        <v>46222</v>
      </c>
      <c r="F867" t="inlineStr">
        <is>
          <t>GÄVLEBORGS LÄN</t>
        </is>
      </c>
      <c r="G867" t="inlineStr">
        <is>
          <t>OVANÅKER</t>
        </is>
      </c>
      <c r="I867" t="n">
        <v>1.5</v>
      </c>
      <c r="J867" t="n">
        <v>0</v>
      </c>
      <c r="K867" t="n">
        <v>0</v>
      </c>
      <c r="L867" t="n">
        <v>0</v>
      </c>
      <c r="M867" t="n">
        <v>0</v>
      </c>
      <c r="N867" t="n">
        <v>0</v>
      </c>
      <c r="O867" t="n">
        <v>0</v>
      </c>
      <c r="P867" t="n">
        <v>0</v>
      </c>
      <c r="Q867" t="n">
        <v>0</v>
      </c>
      <c r="R867" t="n">
        <v>0</v>
      </c>
      <c r="S867" t="n">
        <v>0</v>
      </c>
      <c r="T867" t="n">
        <v>0</v>
      </c>
      <c r="U867" s="2" t="inlineStr"/>
    </row>
    <row r="868" ht="15" customHeight="1">
      <c r="A868" t="inlineStr">
        <is>
          <t>A 8540-2026</t>
        </is>
      </c>
      <c r="B868" t="inlineStr">
        <is>
          <t>avverkningsanmälan</t>
        </is>
      </c>
      <c r="C868" t="inlineStr">
        <is>
          <t>Föryngringsavverkning</t>
        </is>
      </c>
      <c r="D868" s="1" t="n">
        <v>46065</v>
      </c>
      <c r="E868" s="1" t="n">
        <v>46222</v>
      </c>
      <c r="F868" t="inlineStr">
        <is>
          <t>GÄVLEBORGS LÄN</t>
        </is>
      </c>
      <c r="G868" t="inlineStr">
        <is>
          <t>OVANÅKER</t>
        </is>
      </c>
      <c r="I868" t="n">
        <v>3.9</v>
      </c>
      <c r="J868" t="n">
        <v>0</v>
      </c>
      <c r="K868" t="n">
        <v>0</v>
      </c>
      <c r="L868" t="n">
        <v>0</v>
      </c>
      <c r="M868" t="n">
        <v>0</v>
      </c>
      <c r="N868" t="n">
        <v>0</v>
      </c>
      <c r="O868" t="n">
        <v>0</v>
      </c>
      <c r="P868" t="n">
        <v>0</v>
      </c>
      <c r="Q868" t="n">
        <v>0</v>
      </c>
      <c r="R868" t="n">
        <v>0</v>
      </c>
      <c r="S868" t="n">
        <v>0</v>
      </c>
      <c r="T868" t="n">
        <v>0</v>
      </c>
      <c r="U868" s="2" t="inlineStr"/>
    </row>
    <row r="869" ht="15" customHeight="1">
      <c r="A869" t="inlineStr">
        <is>
          <t>A 52803-2025</t>
        </is>
      </c>
      <c r="B869" t="inlineStr">
        <is>
          <t>avverkningsanmälan</t>
        </is>
      </c>
      <c r="C869" t="inlineStr">
        <is>
          <t>Föryngringsavverkning</t>
        </is>
      </c>
      <c r="D869" s="1" t="n">
        <v>45957</v>
      </c>
      <c r="E869" s="1" t="n">
        <v>46222</v>
      </c>
      <c r="F869" t="inlineStr">
        <is>
          <t>GÄVLEBORGS LÄN</t>
        </is>
      </c>
      <c r="G869" t="inlineStr">
        <is>
          <t>OVANÅKER</t>
        </is>
      </c>
      <c r="I869" t="n">
        <v>6.7</v>
      </c>
      <c r="J869" t="n">
        <v>0</v>
      </c>
      <c r="K869" t="n">
        <v>0</v>
      </c>
      <c r="L869" t="n">
        <v>0</v>
      </c>
      <c r="M869" t="n">
        <v>0</v>
      </c>
      <c r="N869" t="n">
        <v>0</v>
      </c>
      <c r="O869" t="n">
        <v>0</v>
      </c>
      <c r="P869" t="n">
        <v>0</v>
      </c>
      <c r="Q869" t="n">
        <v>0</v>
      </c>
      <c r="R869" t="n">
        <v>0</v>
      </c>
      <c r="S869" t="n">
        <v>0</v>
      </c>
      <c r="T869" t="n">
        <v>0</v>
      </c>
      <c r="U869" s="2" t="inlineStr"/>
    </row>
    <row r="870" ht="15" customHeight="1">
      <c r="A870" t="inlineStr">
        <is>
          <t>A 1912-2026</t>
        </is>
      </c>
      <c r="B870" t="inlineStr">
        <is>
          <t>avverkningsanmälan</t>
        </is>
      </c>
      <c r="C870" t="inlineStr">
        <is>
          <t>Föryngringsavverkning</t>
        </is>
      </c>
      <c r="D870" s="1" t="n">
        <v>46035</v>
      </c>
      <c r="E870" s="1" t="n">
        <v>46222</v>
      </c>
      <c r="F870" t="inlineStr">
        <is>
          <t>GÄVLEBORGS LÄN</t>
        </is>
      </c>
      <c r="G870" t="inlineStr">
        <is>
          <t>OVANÅKER</t>
        </is>
      </c>
      <c r="I870" t="n">
        <v>2.1</v>
      </c>
      <c r="J870" t="n">
        <v>0</v>
      </c>
      <c r="K870" t="n">
        <v>0</v>
      </c>
      <c r="L870" t="n">
        <v>0</v>
      </c>
      <c r="M870" t="n">
        <v>0</v>
      </c>
      <c r="N870" t="n">
        <v>0</v>
      </c>
      <c r="O870" t="n">
        <v>0</v>
      </c>
      <c r="P870" t="n">
        <v>0</v>
      </c>
      <c r="Q870" t="n">
        <v>0</v>
      </c>
      <c r="R870" t="n">
        <v>0</v>
      </c>
      <c r="S870" t="n">
        <v>0</v>
      </c>
      <c r="T870" t="n">
        <v>0</v>
      </c>
      <c r="U870" s="2" t="inlineStr"/>
    </row>
    <row r="871" ht="15" customHeight="1">
      <c r="A871" t="inlineStr">
        <is>
          <t>A 32804-2024</t>
        </is>
      </c>
      <c r="B871" t="inlineStr">
        <is>
          <t>avverkningsanmälan</t>
        </is>
      </c>
      <c r="C871" t="inlineStr">
        <is>
          <t>Föryngringsavverkning</t>
        </is>
      </c>
      <c r="D871" s="1" t="n">
        <v>45516</v>
      </c>
      <c r="E871" s="1" t="n">
        <v>46222</v>
      </c>
      <c r="F871" t="inlineStr">
        <is>
          <t>GÄVLEBORGS LÄN</t>
        </is>
      </c>
      <c r="G871" t="inlineStr">
        <is>
          <t>OVANÅKER</t>
        </is>
      </c>
      <c r="H871" t="inlineStr">
        <is>
          <t>Bergvik skog öst AB</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3132-2026</t>
        </is>
      </c>
      <c r="B872" t="inlineStr">
        <is>
          <t>avverkningsanmälan</t>
        </is>
      </c>
      <c r="C872" t="inlineStr">
        <is>
          <t>Föryngringsavverkning</t>
        </is>
      </c>
      <c r="D872" s="1" t="n">
        <v>46041</v>
      </c>
      <c r="E872" s="1" t="n">
        <v>46222</v>
      </c>
      <c r="F872" t="inlineStr">
        <is>
          <t>GÄVLEBORGS LÄN</t>
        </is>
      </c>
      <c r="G872" t="inlineStr">
        <is>
          <t>OVANÅKER</t>
        </is>
      </c>
      <c r="I872" t="n">
        <v>1.8</v>
      </c>
      <c r="J872" t="n">
        <v>0</v>
      </c>
      <c r="K872" t="n">
        <v>0</v>
      </c>
      <c r="L872" t="n">
        <v>0</v>
      </c>
      <c r="M872" t="n">
        <v>0</v>
      </c>
      <c r="N872" t="n">
        <v>0</v>
      </c>
      <c r="O872" t="n">
        <v>0</v>
      </c>
      <c r="P872" t="n">
        <v>0</v>
      </c>
      <c r="Q872" t="n">
        <v>0</v>
      </c>
      <c r="R872" t="n">
        <v>0</v>
      </c>
      <c r="S872" t="n">
        <v>0</v>
      </c>
      <c r="T872" t="n">
        <v>0</v>
      </c>
      <c r="U872" s="2" t="inlineStr"/>
    </row>
    <row r="873" ht="15" customHeight="1">
      <c r="A873" t="inlineStr">
        <is>
          <t>A 4269-2026</t>
        </is>
      </c>
      <c r="B873" t="inlineStr">
        <is>
          <t>avverkningsanmälan</t>
        </is>
      </c>
      <c r="C873" t="inlineStr">
        <is>
          <t>Föryngringsavverkning</t>
        </is>
      </c>
      <c r="D873" s="1" t="n">
        <v>46045</v>
      </c>
      <c r="E873" s="1" t="n">
        <v>46222</v>
      </c>
      <c r="F873" t="inlineStr">
        <is>
          <t>GÄVLEBORGS LÄN</t>
        </is>
      </c>
      <c r="G873" t="inlineStr">
        <is>
          <t>OVANÅKER</t>
        </is>
      </c>
      <c r="I873" t="n">
        <v>2.1</v>
      </c>
      <c r="J873" t="n">
        <v>0</v>
      </c>
      <c r="K873" t="n">
        <v>0</v>
      </c>
      <c r="L873" t="n">
        <v>0</v>
      </c>
      <c r="M873" t="n">
        <v>0</v>
      </c>
      <c r="N873" t="n">
        <v>0</v>
      </c>
      <c r="O873" t="n">
        <v>0</v>
      </c>
      <c r="P873" t="n">
        <v>0</v>
      </c>
      <c r="Q873" t="n">
        <v>0</v>
      </c>
      <c r="R873" t="n">
        <v>0</v>
      </c>
      <c r="S873" t="n">
        <v>0</v>
      </c>
      <c r="T873" t="n">
        <v>0</v>
      </c>
      <c r="U873" s="2" t="inlineStr"/>
    </row>
    <row r="874" ht="15" customHeight="1">
      <c r="A874" t="inlineStr">
        <is>
          <t>A 3782-2026</t>
        </is>
      </c>
      <c r="B874" t="inlineStr">
        <is>
          <t>avverkningsanmälan</t>
        </is>
      </c>
      <c r="C874" t="inlineStr">
        <is>
          <t>Föryngringsavverkning</t>
        </is>
      </c>
      <c r="D874" s="1" t="n">
        <v>46043</v>
      </c>
      <c r="E874" s="1" t="n">
        <v>46222</v>
      </c>
      <c r="F874" t="inlineStr">
        <is>
          <t>GÄVLEBORGS LÄN</t>
        </is>
      </c>
      <c r="G874" t="inlineStr">
        <is>
          <t>OVANÅKER</t>
        </is>
      </c>
      <c r="I874" t="n">
        <v>3.9</v>
      </c>
      <c r="J874" t="n">
        <v>0</v>
      </c>
      <c r="K874" t="n">
        <v>0</v>
      </c>
      <c r="L874" t="n">
        <v>0</v>
      </c>
      <c r="M874" t="n">
        <v>0</v>
      </c>
      <c r="N874" t="n">
        <v>0</v>
      </c>
      <c r="O874" t="n">
        <v>0</v>
      </c>
      <c r="P874" t="n">
        <v>0</v>
      </c>
      <c r="Q874" t="n">
        <v>0</v>
      </c>
      <c r="R874" t="n">
        <v>0</v>
      </c>
      <c r="S874" t="n">
        <v>0</v>
      </c>
      <c r="T874" t="n">
        <v>0</v>
      </c>
      <c r="U874" s="2" t="inlineStr"/>
    </row>
    <row r="875" ht="15" customHeight="1">
      <c r="A875" t="inlineStr">
        <is>
          <t>A 2199-2026</t>
        </is>
      </c>
      <c r="B875" t="inlineStr">
        <is>
          <t>avverkningsanmälan</t>
        </is>
      </c>
      <c r="C875" t="inlineStr">
        <is>
          <t>Föryngringsavverkning</t>
        </is>
      </c>
      <c r="D875" s="1" t="n">
        <v>46036</v>
      </c>
      <c r="E875" s="1" t="n">
        <v>46222</v>
      </c>
      <c r="F875" t="inlineStr">
        <is>
          <t>GÄVLEBORGS LÄN</t>
        </is>
      </c>
      <c r="G875" t="inlineStr">
        <is>
          <t>OVANÅKER</t>
        </is>
      </c>
      <c r="I875" t="n">
        <v>4.2</v>
      </c>
      <c r="J875" t="n">
        <v>0</v>
      </c>
      <c r="K875" t="n">
        <v>0</v>
      </c>
      <c r="L875" t="n">
        <v>0</v>
      </c>
      <c r="M875" t="n">
        <v>0</v>
      </c>
      <c r="N875" t="n">
        <v>0</v>
      </c>
      <c r="O875" t="n">
        <v>0</v>
      </c>
      <c r="P875" t="n">
        <v>0</v>
      </c>
      <c r="Q875" t="n">
        <v>0</v>
      </c>
      <c r="R875" t="n">
        <v>0</v>
      </c>
      <c r="S875" t="n">
        <v>0</v>
      </c>
      <c r="T875" t="n">
        <v>0</v>
      </c>
      <c r="U875" s="2" t="inlineStr"/>
    </row>
    <row r="876" ht="15" customHeight="1">
      <c r="A876" t="inlineStr">
        <is>
          <t>A 9293-2026</t>
        </is>
      </c>
      <c r="B876" t="inlineStr">
        <is>
          <t>avverkningsanmälan</t>
        </is>
      </c>
      <c r="C876" t="inlineStr">
        <is>
          <t>Föryngringsavverkning</t>
        </is>
      </c>
      <c r="D876" s="1" t="n">
        <v>46070</v>
      </c>
      <c r="E876" s="1" t="n">
        <v>46222</v>
      </c>
      <c r="F876" t="inlineStr">
        <is>
          <t>GÄVLEBORGS LÄN</t>
        </is>
      </c>
      <c r="G876" t="inlineStr">
        <is>
          <t>OVANÅKER</t>
        </is>
      </c>
      <c r="I876" t="n">
        <v>2.6</v>
      </c>
      <c r="J876" t="n">
        <v>0</v>
      </c>
      <c r="K876" t="n">
        <v>0</v>
      </c>
      <c r="L876" t="n">
        <v>0</v>
      </c>
      <c r="M876" t="n">
        <v>0</v>
      </c>
      <c r="N876" t="n">
        <v>0</v>
      </c>
      <c r="O876" t="n">
        <v>0</v>
      </c>
      <c r="P876" t="n">
        <v>0</v>
      </c>
      <c r="Q876" t="n">
        <v>0</v>
      </c>
      <c r="R876" t="n">
        <v>0</v>
      </c>
      <c r="S876" t="n">
        <v>0</v>
      </c>
      <c r="T876" t="n">
        <v>0</v>
      </c>
      <c r="U876" s="2" t="inlineStr"/>
    </row>
    <row r="877" ht="15" customHeight="1">
      <c r="A877" t="inlineStr">
        <is>
          <t>A 12223-2026</t>
        </is>
      </c>
      <c r="B877" t="inlineStr">
        <is>
          <t>avverkningsanmälan</t>
        </is>
      </c>
      <c r="C877" t="inlineStr">
        <is>
          <t>Föryngringsavverkning</t>
        </is>
      </c>
      <c r="D877" s="1" t="n">
        <v>46087</v>
      </c>
      <c r="E877" s="1" t="n">
        <v>46222</v>
      </c>
      <c r="F877" t="inlineStr">
        <is>
          <t>GÄVLEBORGS LÄN</t>
        </is>
      </c>
      <c r="G877" t="inlineStr">
        <is>
          <t>OVANÅKER</t>
        </is>
      </c>
      <c r="I877" t="n">
        <v>5.6</v>
      </c>
      <c r="J877" t="n">
        <v>0</v>
      </c>
      <c r="K877" t="n">
        <v>0</v>
      </c>
      <c r="L877" t="n">
        <v>0</v>
      </c>
      <c r="M877" t="n">
        <v>0</v>
      </c>
      <c r="N877" t="n">
        <v>0</v>
      </c>
      <c r="O877" t="n">
        <v>0</v>
      </c>
      <c r="P877" t="n">
        <v>0</v>
      </c>
      <c r="Q877" t="n">
        <v>0</v>
      </c>
      <c r="R877" t="n">
        <v>0</v>
      </c>
      <c r="S877" t="n">
        <v>0</v>
      </c>
      <c r="T877" t="n">
        <v>0</v>
      </c>
      <c r="U877" s="2" t="inlineStr"/>
    </row>
    <row r="878" ht="15" customHeight="1">
      <c r="A878" t="inlineStr">
        <is>
          <t>A 9391-2026</t>
        </is>
      </c>
      <c r="B878" t="inlineStr">
        <is>
          <t>avverkningsanmälan</t>
        </is>
      </c>
      <c r="C878" t="inlineStr">
        <is>
          <t>Föryngringsavverkning</t>
        </is>
      </c>
      <c r="D878" s="1" t="n">
        <v>46071</v>
      </c>
      <c r="E878" s="1" t="n">
        <v>46222</v>
      </c>
      <c r="F878" t="inlineStr">
        <is>
          <t>GÄVLEBORGS LÄN</t>
        </is>
      </c>
      <c r="G878" t="inlineStr">
        <is>
          <t>OVANÅKER</t>
        </is>
      </c>
      <c r="I878" t="n">
        <v>2.7</v>
      </c>
      <c r="J878" t="n">
        <v>0</v>
      </c>
      <c r="K878" t="n">
        <v>0</v>
      </c>
      <c r="L878" t="n">
        <v>0</v>
      </c>
      <c r="M878" t="n">
        <v>0</v>
      </c>
      <c r="N878" t="n">
        <v>0</v>
      </c>
      <c r="O878" t="n">
        <v>0</v>
      </c>
      <c r="P878" t="n">
        <v>0</v>
      </c>
      <c r="Q878" t="n">
        <v>0</v>
      </c>
      <c r="R878" t="n">
        <v>0</v>
      </c>
      <c r="S878" t="n">
        <v>0</v>
      </c>
      <c r="T878" t="n">
        <v>0</v>
      </c>
      <c r="U878" s="2" t="inlineStr"/>
    </row>
    <row r="879" ht="15" customHeight="1">
      <c r="A879" t="inlineStr">
        <is>
          <t>A 20099-2026</t>
        </is>
      </c>
      <c r="B879" t="inlineStr">
        <is>
          <t>avverkningsanmälan</t>
        </is>
      </c>
      <c r="C879" t="inlineStr">
        <is>
          <t>Föryngringsavverkning</t>
        </is>
      </c>
      <c r="D879" s="1" t="n">
        <v>46136</v>
      </c>
      <c r="E879" s="1" t="n">
        <v>46222</v>
      </c>
      <c r="F879" t="inlineStr">
        <is>
          <t>GÄVLEBORGS LÄN</t>
        </is>
      </c>
      <c r="G879" t="inlineStr">
        <is>
          <t>OVANÅKER</t>
        </is>
      </c>
      <c r="I879" t="n">
        <v>1.5</v>
      </c>
      <c r="J879" t="n">
        <v>0</v>
      </c>
      <c r="K879" t="n">
        <v>0</v>
      </c>
      <c r="L879" t="n">
        <v>0</v>
      </c>
      <c r="M879" t="n">
        <v>0</v>
      </c>
      <c r="N879" t="n">
        <v>0</v>
      </c>
      <c r="O879" t="n">
        <v>0</v>
      </c>
      <c r="P879" t="n">
        <v>0</v>
      </c>
      <c r="Q879" t="n">
        <v>0</v>
      </c>
      <c r="R879" t="n">
        <v>0</v>
      </c>
      <c r="S879" t="n">
        <v>0</v>
      </c>
      <c r="T879" t="n">
        <v>0</v>
      </c>
      <c r="U879" s="2" t="inlineStr"/>
    </row>
    <row r="880" ht="15" customHeight="1">
      <c r="A880" t="inlineStr">
        <is>
          <t>A 15825-2026</t>
        </is>
      </c>
      <c r="B880" t="inlineStr">
        <is>
          <t>avverkningsanmälan</t>
        </is>
      </c>
      <c r="C880" t="inlineStr">
        <is>
          <t>Föryngringsavverkning</t>
        </is>
      </c>
      <c r="D880" s="1" t="n">
        <v>46107</v>
      </c>
      <c r="E880" s="1" t="n">
        <v>46222</v>
      </c>
      <c r="F880" t="inlineStr">
        <is>
          <t>GÄVLEBORGS LÄN</t>
        </is>
      </c>
      <c r="G880" t="inlineStr">
        <is>
          <t>OVANÅKER</t>
        </is>
      </c>
      <c r="H880" t="inlineStr">
        <is>
          <t>Bergvik skog väst AB</t>
        </is>
      </c>
      <c r="I880" t="n">
        <v>1.6</v>
      </c>
      <c r="J880" t="n">
        <v>0</v>
      </c>
      <c r="K880" t="n">
        <v>0</v>
      </c>
      <c r="L880" t="n">
        <v>0</v>
      </c>
      <c r="M880" t="n">
        <v>0</v>
      </c>
      <c r="N880" t="n">
        <v>0</v>
      </c>
      <c r="O880" t="n">
        <v>0</v>
      </c>
      <c r="P880" t="n">
        <v>0</v>
      </c>
      <c r="Q880" t="n">
        <v>0</v>
      </c>
      <c r="R880" t="n">
        <v>0</v>
      </c>
      <c r="S880" t="n">
        <v>0</v>
      </c>
      <c r="T880" t="n">
        <v>0</v>
      </c>
      <c r="U880" s="2" t="inlineStr"/>
    </row>
    <row r="881" ht="15" customHeight="1">
      <c r="A881" t="inlineStr">
        <is>
          <t>A 11026-2026</t>
        </is>
      </c>
      <c r="B881" t="inlineStr">
        <is>
          <t>avverkningsanmälan</t>
        </is>
      </c>
      <c r="C881" t="inlineStr">
        <is>
          <t>Föryngringsavverkning</t>
        </is>
      </c>
      <c r="D881" s="1" t="n">
        <v>46079</v>
      </c>
      <c r="E881" s="1" t="n">
        <v>46222</v>
      </c>
      <c r="F881" t="inlineStr">
        <is>
          <t>GÄVLEBORGS LÄN</t>
        </is>
      </c>
      <c r="G881" t="inlineStr">
        <is>
          <t>OVANÅKER</t>
        </is>
      </c>
      <c r="I881" t="n">
        <v>1.6</v>
      </c>
      <c r="J881" t="n">
        <v>0</v>
      </c>
      <c r="K881" t="n">
        <v>0</v>
      </c>
      <c r="L881" t="n">
        <v>0</v>
      </c>
      <c r="M881" t="n">
        <v>0</v>
      </c>
      <c r="N881" t="n">
        <v>0</v>
      </c>
      <c r="O881" t="n">
        <v>0</v>
      </c>
      <c r="P881" t="n">
        <v>0</v>
      </c>
      <c r="Q881" t="n">
        <v>0</v>
      </c>
      <c r="R881" t="n">
        <v>0</v>
      </c>
      <c r="S881" t="n">
        <v>0</v>
      </c>
      <c r="T881" t="n">
        <v>0</v>
      </c>
      <c r="U881" s="2" t="inlineStr"/>
    </row>
    <row r="882" ht="15" customHeight="1">
      <c r="A882" t="inlineStr">
        <is>
          <t>A 2854-2026</t>
        </is>
      </c>
      <c r="B882" t="inlineStr">
        <is>
          <t>avverkningsanmälan</t>
        </is>
      </c>
      <c r="C882" t="inlineStr">
        <is>
          <t>Föryngringsavverkning</t>
        </is>
      </c>
      <c r="D882" s="1" t="n">
        <v>46036</v>
      </c>
      <c r="E882" s="1" t="n">
        <v>46222</v>
      </c>
      <c r="F882" t="inlineStr">
        <is>
          <t>GÄVLEBORGS LÄN</t>
        </is>
      </c>
      <c r="G882" t="inlineStr">
        <is>
          <t>OVANÅKER</t>
        </is>
      </c>
      <c r="I882" t="n">
        <v>3.8</v>
      </c>
      <c r="J882" t="n">
        <v>0</v>
      </c>
      <c r="K882" t="n">
        <v>0</v>
      </c>
      <c r="L882" t="n">
        <v>0</v>
      </c>
      <c r="M882" t="n">
        <v>0</v>
      </c>
      <c r="N882" t="n">
        <v>0</v>
      </c>
      <c r="O882" t="n">
        <v>0</v>
      </c>
      <c r="P882" t="n">
        <v>0</v>
      </c>
      <c r="Q882" t="n">
        <v>0</v>
      </c>
      <c r="R882" t="n">
        <v>0</v>
      </c>
      <c r="S882" t="n">
        <v>0</v>
      </c>
      <c r="T882" t="n">
        <v>0</v>
      </c>
      <c r="U882" s="2" t="inlineStr"/>
    </row>
    <row r="883" ht="15" customHeight="1">
      <c r="A883" t="inlineStr">
        <is>
          <t>A 5319-2026</t>
        </is>
      </c>
      <c r="B883" t="inlineStr">
        <is>
          <t>avverkningsanmälan</t>
        </is>
      </c>
      <c r="C883" t="inlineStr">
        <is>
          <t>Föryngringsavverkning</t>
        </is>
      </c>
      <c r="D883" s="1" t="n">
        <v>46050</v>
      </c>
      <c r="E883" s="1" t="n">
        <v>46222</v>
      </c>
      <c r="F883" t="inlineStr">
        <is>
          <t>GÄVLEBORGS LÄN</t>
        </is>
      </c>
      <c r="G883" t="inlineStr">
        <is>
          <t>OVANÅKER</t>
        </is>
      </c>
      <c r="I883" t="n">
        <v>3.7</v>
      </c>
      <c r="J883" t="n">
        <v>0</v>
      </c>
      <c r="K883" t="n">
        <v>0</v>
      </c>
      <c r="L883" t="n">
        <v>0</v>
      </c>
      <c r="M883" t="n">
        <v>0</v>
      </c>
      <c r="N883" t="n">
        <v>0</v>
      </c>
      <c r="O883" t="n">
        <v>0</v>
      </c>
      <c r="P883" t="n">
        <v>0</v>
      </c>
      <c r="Q883" t="n">
        <v>0</v>
      </c>
      <c r="R883" t="n">
        <v>0</v>
      </c>
      <c r="S883" t="n">
        <v>0</v>
      </c>
      <c r="T883" t="n">
        <v>0</v>
      </c>
      <c r="U883" s="2" t="inlineStr"/>
    </row>
    <row r="884" ht="15" customHeight="1">
      <c r="A884" t="inlineStr">
        <is>
          <t>A 20512-2026</t>
        </is>
      </c>
      <c r="B884" t="inlineStr">
        <is>
          <t>avverkningsanmälan</t>
        </is>
      </c>
      <c r="C884" t="inlineStr">
        <is>
          <t>Föryngringsavverkning</t>
        </is>
      </c>
      <c r="D884" s="1" t="n">
        <v>46140</v>
      </c>
      <c r="E884" s="1" t="n">
        <v>46222</v>
      </c>
      <c r="F884" t="inlineStr">
        <is>
          <t>GÄVLEBORGS LÄN</t>
        </is>
      </c>
      <c r="G884" t="inlineStr">
        <is>
          <t>OVANÅKER</t>
        </is>
      </c>
      <c r="H884" t="inlineStr">
        <is>
          <t>Bergvik skog väst AB</t>
        </is>
      </c>
      <c r="I884" t="n">
        <v>1.8</v>
      </c>
      <c r="J884" t="n">
        <v>0</v>
      </c>
      <c r="K884" t="n">
        <v>0</v>
      </c>
      <c r="L884" t="n">
        <v>0</v>
      </c>
      <c r="M884" t="n">
        <v>0</v>
      </c>
      <c r="N884" t="n">
        <v>0</v>
      </c>
      <c r="O884" t="n">
        <v>0</v>
      </c>
      <c r="P884" t="n">
        <v>0</v>
      </c>
      <c r="Q884" t="n">
        <v>0</v>
      </c>
      <c r="R884" t="n">
        <v>0</v>
      </c>
      <c r="S884" t="n">
        <v>0</v>
      </c>
      <c r="T884" t="n">
        <v>0</v>
      </c>
      <c r="U884" s="2" t="inlineStr"/>
    </row>
    <row r="885" ht="15" customHeight="1">
      <c r="A885" t="inlineStr">
        <is>
          <t>A 10958-2026</t>
        </is>
      </c>
      <c r="B885" t="inlineStr">
        <is>
          <t>avverkningsanmälan</t>
        </is>
      </c>
      <c r="C885" t="inlineStr">
        <is>
          <t>Föryngringsavverkning</t>
        </is>
      </c>
      <c r="D885" s="1" t="n">
        <v>46079</v>
      </c>
      <c r="E885" s="1" t="n">
        <v>46222</v>
      </c>
      <c r="F885" t="inlineStr">
        <is>
          <t>GÄVLEBORGS LÄN</t>
        </is>
      </c>
      <c r="G885" t="inlineStr">
        <is>
          <t>OVANÅKER</t>
        </is>
      </c>
      <c r="I885" t="n">
        <v>1.5</v>
      </c>
      <c r="J885" t="n">
        <v>0</v>
      </c>
      <c r="K885" t="n">
        <v>0</v>
      </c>
      <c r="L885" t="n">
        <v>0</v>
      </c>
      <c r="M885" t="n">
        <v>0</v>
      </c>
      <c r="N885" t="n">
        <v>0</v>
      </c>
      <c r="O885" t="n">
        <v>0</v>
      </c>
      <c r="P885" t="n">
        <v>0</v>
      </c>
      <c r="Q885" t="n">
        <v>0</v>
      </c>
      <c r="R885" t="n">
        <v>0</v>
      </c>
      <c r="S885" t="n">
        <v>0</v>
      </c>
      <c r="T885" t="n">
        <v>0</v>
      </c>
      <c r="U885" s="2" t="inlineStr"/>
    </row>
    <row r="886" ht="15" customHeight="1">
      <c r="A886" t="inlineStr">
        <is>
          <t>A 20267-2026</t>
        </is>
      </c>
      <c r="B886" t="inlineStr">
        <is>
          <t>avverkningsanmälan</t>
        </is>
      </c>
      <c r="C886" t="inlineStr">
        <is>
          <t>Föryngringsavverkning</t>
        </is>
      </c>
      <c r="D886" s="1" t="n">
        <v>46139</v>
      </c>
      <c r="E886" s="1" t="n">
        <v>46222</v>
      </c>
      <c r="F886" t="inlineStr">
        <is>
          <t>GÄVLEBORGS LÄN</t>
        </is>
      </c>
      <c r="G886" t="inlineStr">
        <is>
          <t>OVANÅKER</t>
        </is>
      </c>
      <c r="I886" t="n">
        <v>0.9</v>
      </c>
      <c r="J886" t="n">
        <v>0</v>
      </c>
      <c r="K886" t="n">
        <v>0</v>
      </c>
      <c r="L886" t="n">
        <v>0</v>
      </c>
      <c r="M886" t="n">
        <v>0</v>
      </c>
      <c r="N886" t="n">
        <v>0</v>
      </c>
      <c r="O886" t="n">
        <v>0</v>
      </c>
      <c r="P886" t="n">
        <v>0</v>
      </c>
      <c r="Q886" t="n">
        <v>0</v>
      </c>
      <c r="R886" t="n">
        <v>0</v>
      </c>
      <c r="S886" t="n">
        <v>0</v>
      </c>
      <c r="T886" t="n">
        <v>0</v>
      </c>
      <c r="U886" s="2" t="inlineStr"/>
    </row>
    <row r="887" ht="15" customHeight="1">
      <c r="A887" t="inlineStr">
        <is>
          <t>A 5689-2026</t>
        </is>
      </c>
      <c r="B887" t="inlineStr">
        <is>
          <t>avverkningsanmälan</t>
        </is>
      </c>
      <c r="C887" t="inlineStr">
        <is>
          <t>Föryngringsavverkning</t>
        </is>
      </c>
      <c r="D887" s="1" t="n">
        <v>46051</v>
      </c>
      <c r="E887" s="1" t="n">
        <v>46222</v>
      </c>
      <c r="F887" t="inlineStr">
        <is>
          <t>GÄVLEBORGS LÄN</t>
        </is>
      </c>
      <c r="G887" t="inlineStr">
        <is>
          <t>OVANÅKER</t>
        </is>
      </c>
      <c r="I887" t="n">
        <v>1.8</v>
      </c>
      <c r="J887" t="n">
        <v>0</v>
      </c>
      <c r="K887" t="n">
        <v>0</v>
      </c>
      <c r="L887" t="n">
        <v>0</v>
      </c>
      <c r="M887" t="n">
        <v>0</v>
      </c>
      <c r="N887" t="n">
        <v>0</v>
      </c>
      <c r="O887" t="n">
        <v>0</v>
      </c>
      <c r="P887" t="n">
        <v>0</v>
      </c>
      <c r="Q887" t="n">
        <v>0</v>
      </c>
      <c r="R887" t="n">
        <v>0</v>
      </c>
      <c r="S887" t="n">
        <v>0</v>
      </c>
      <c r="T887" t="n">
        <v>0</v>
      </c>
      <c r="U887" s="2" t="inlineStr"/>
    </row>
    <row r="888" ht="15" customHeight="1">
      <c r="A888" t="inlineStr">
        <is>
          <t>A 9940-2026</t>
        </is>
      </c>
      <c r="B888" t="inlineStr">
        <is>
          <t>avverkningsanmälan</t>
        </is>
      </c>
      <c r="C888" t="inlineStr">
        <is>
          <t>Föryngringsavverkning</t>
        </is>
      </c>
      <c r="D888" s="1" t="n">
        <v>46073</v>
      </c>
      <c r="E888" s="1" t="n">
        <v>46222</v>
      </c>
      <c r="F888" t="inlineStr">
        <is>
          <t>GÄVLEBORGS LÄN</t>
        </is>
      </c>
      <c r="G888" t="inlineStr">
        <is>
          <t>OVANÅKER</t>
        </is>
      </c>
      <c r="I888" t="n">
        <v>2.3</v>
      </c>
      <c r="J888" t="n">
        <v>0</v>
      </c>
      <c r="K888" t="n">
        <v>0</v>
      </c>
      <c r="L888" t="n">
        <v>0</v>
      </c>
      <c r="M888" t="n">
        <v>0</v>
      </c>
      <c r="N888" t="n">
        <v>0</v>
      </c>
      <c r="O888" t="n">
        <v>0</v>
      </c>
      <c r="P888" t="n">
        <v>0</v>
      </c>
      <c r="Q888" t="n">
        <v>0</v>
      </c>
      <c r="R888" t="n">
        <v>0</v>
      </c>
      <c r="S888" t="n">
        <v>0</v>
      </c>
      <c r="T888" t="n">
        <v>0</v>
      </c>
      <c r="U888" s="2" t="inlineStr"/>
    </row>
    <row r="889" ht="15" customHeight="1">
      <c r="A889" t="inlineStr">
        <is>
          <t>A 18319-2026</t>
        </is>
      </c>
      <c r="B889" t="inlineStr">
        <is>
          <t>avverkningsanmälan</t>
        </is>
      </c>
      <c r="C889" t="inlineStr">
        <is>
          <t>Föryngringsavverkning</t>
        </is>
      </c>
      <c r="D889" s="1" t="n">
        <v>46126</v>
      </c>
      <c r="E889" s="1" t="n">
        <v>46222</v>
      </c>
      <c r="F889" t="inlineStr">
        <is>
          <t>GÄVLEBORGS LÄN</t>
        </is>
      </c>
      <c r="G889" t="inlineStr">
        <is>
          <t>OVANÅKER</t>
        </is>
      </c>
      <c r="I889" t="n">
        <v>2.7</v>
      </c>
      <c r="J889" t="n">
        <v>0</v>
      </c>
      <c r="K889" t="n">
        <v>0</v>
      </c>
      <c r="L889" t="n">
        <v>0</v>
      </c>
      <c r="M889" t="n">
        <v>0</v>
      </c>
      <c r="N889" t="n">
        <v>0</v>
      </c>
      <c r="O889" t="n">
        <v>0</v>
      </c>
      <c r="P889" t="n">
        <v>0</v>
      </c>
      <c r="Q889" t="n">
        <v>0</v>
      </c>
      <c r="R889" t="n">
        <v>0</v>
      </c>
      <c r="S889" t="n">
        <v>0</v>
      </c>
      <c r="T889" t="n">
        <v>0</v>
      </c>
      <c r="U889" s="2" t="inlineStr"/>
    </row>
    <row r="890" ht="15" customHeight="1">
      <c r="A890" t="inlineStr">
        <is>
          <t>A 43259-2023</t>
        </is>
      </c>
      <c r="B890" t="inlineStr">
        <is>
          <t>avverkningsanmälan</t>
        </is>
      </c>
      <c r="C890" t="inlineStr">
        <is>
          <t>Avverkning för annat ändamål</t>
        </is>
      </c>
      <c r="D890" s="1" t="n">
        <v>45183</v>
      </c>
      <c r="E890" s="1" t="n">
        <v>46222</v>
      </c>
      <c r="F890" t="inlineStr">
        <is>
          <t>GÄVLEBORGS LÄN</t>
        </is>
      </c>
      <c r="G890" t="inlineStr">
        <is>
          <t>OVANÅKER</t>
        </is>
      </c>
      <c r="I890" t="n">
        <v>1.1</v>
      </c>
      <c r="J890" t="n">
        <v>0</v>
      </c>
      <c r="K890" t="n">
        <v>0</v>
      </c>
      <c r="L890" t="n">
        <v>0</v>
      </c>
      <c r="M890" t="n">
        <v>0</v>
      </c>
      <c r="N890" t="n">
        <v>0</v>
      </c>
      <c r="O890" t="n">
        <v>0</v>
      </c>
      <c r="P890" t="n">
        <v>0</v>
      </c>
      <c r="Q890" t="n">
        <v>0</v>
      </c>
      <c r="R890" t="n">
        <v>0</v>
      </c>
      <c r="S890" t="n">
        <v>0</v>
      </c>
      <c r="T890" t="n">
        <v>0</v>
      </c>
      <c r="U890" s="2" t="inlineStr"/>
    </row>
    <row r="891" ht="15" customHeight="1">
      <c r="A891" t="inlineStr">
        <is>
          <t>A 53845-2023</t>
        </is>
      </c>
      <c r="B891" t="inlineStr">
        <is>
          <t>avverkningsanmälan</t>
        </is>
      </c>
      <c r="C891" t="inlineStr">
        <is>
          <t>Föryngringsavverkning</t>
        </is>
      </c>
      <c r="D891" s="1" t="n">
        <v>45231</v>
      </c>
      <c r="E891" s="1" t="n">
        <v>46222</v>
      </c>
      <c r="F891" t="inlineStr">
        <is>
          <t>GÄVLEBORGS LÄN</t>
        </is>
      </c>
      <c r="G891" t="inlineStr">
        <is>
          <t>OVANÅKER</t>
        </is>
      </c>
      <c r="I891" t="n">
        <v>0.6</v>
      </c>
      <c r="J891" t="n">
        <v>0</v>
      </c>
      <c r="K891" t="n">
        <v>0</v>
      </c>
      <c r="L891" t="n">
        <v>0</v>
      </c>
      <c r="M891" t="n">
        <v>0</v>
      </c>
      <c r="N891" t="n">
        <v>0</v>
      </c>
      <c r="O891" t="n">
        <v>0</v>
      </c>
      <c r="P891" t="n">
        <v>0</v>
      </c>
      <c r="Q891" t="n">
        <v>0</v>
      </c>
      <c r="R891" t="n">
        <v>0</v>
      </c>
      <c r="S891" t="n">
        <v>0</v>
      </c>
      <c r="T891" t="n">
        <v>0</v>
      </c>
      <c r="U891" s="2" t="inlineStr"/>
    </row>
    <row r="892" ht="15" customHeight="1">
      <c r="A892" t="inlineStr">
        <is>
          <t>A 41990-2023</t>
        </is>
      </c>
      <c r="B892" t="inlineStr">
        <is>
          <t>avverkningsanmälan</t>
        </is>
      </c>
      <c r="C892" t="inlineStr">
        <is>
          <t>Avverkning för annat ändamål</t>
        </is>
      </c>
      <c r="D892" s="1" t="n">
        <v>45177</v>
      </c>
      <c r="E892" s="1" t="n">
        <v>46222</v>
      </c>
      <c r="F892" t="inlineStr">
        <is>
          <t>GÄVLEBORGS LÄN</t>
        </is>
      </c>
      <c r="G892" t="inlineStr">
        <is>
          <t>OVANÅKER</t>
        </is>
      </c>
      <c r="H892" t="inlineStr">
        <is>
          <t>Bergvik skog väst AB</t>
        </is>
      </c>
      <c r="I892" t="n">
        <v>2.4</v>
      </c>
      <c r="J892" t="n">
        <v>0</v>
      </c>
      <c r="K892" t="n">
        <v>0</v>
      </c>
      <c r="L892" t="n">
        <v>0</v>
      </c>
      <c r="M892" t="n">
        <v>0</v>
      </c>
      <c r="N892" t="n">
        <v>0</v>
      </c>
      <c r="O892" t="n">
        <v>0</v>
      </c>
      <c r="P892" t="n">
        <v>0</v>
      </c>
      <c r="Q892" t="n">
        <v>0</v>
      </c>
      <c r="R892" t="n">
        <v>0</v>
      </c>
      <c r="S892" t="n">
        <v>0</v>
      </c>
      <c r="T892" t="n">
        <v>0</v>
      </c>
      <c r="U892" s="2" t="inlineStr"/>
    </row>
    <row r="893" ht="15" customHeight="1">
      <c r="A893" t="inlineStr">
        <is>
          <t>A 19303-2025</t>
        </is>
      </c>
      <c r="B893" t="inlineStr">
        <is>
          <t>avverkningsanmälan</t>
        </is>
      </c>
      <c r="C893" t="inlineStr">
        <is>
          <t>Föryngringsavverkning</t>
        </is>
      </c>
      <c r="D893" s="1" t="n">
        <v>45769</v>
      </c>
      <c r="E893" s="1" t="n">
        <v>46222</v>
      </c>
      <c r="F893" t="inlineStr">
        <is>
          <t>GÄVLEBORGS LÄN</t>
        </is>
      </c>
      <c r="G893" t="inlineStr">
        <is>
          <t>OVANÅKER</t>
        </is>
      </c>
      <c r="I893" t="n">
        <v>3</v>
      </c>
      <c r="J893" t="n">
        <v>0</v>
      </c>
      <c r="K893" t="n">
        <v>0</v>
      </c>
      <c r="L893" t="n">
        <v>0</v>
      </c>
      <c r="M893" t="n">
        <v>0</v>
      </c>
      <c r="N893" t="n">
        <v>0</v>
      </c>
      <c r="O893" t="n">
        <v>0</v>
      </c>
      <c r="P893" t="n">
        <v>0</v>
      </c>
      <c r="Q893" t="n">
        <v>0</v>
      </c>
      <c r="R893" t="n">
        <v>0</v>
      </c>
      <c r="S893" t="n">
        <v>0</v>
      </c>
      <c r="T893" t="n">
        <v>0</v>
      </c>
      <c r="U893" s="2" t="inlineStr"/>
    </row>
    <row r="894" ht="15" customHeight="1">
      <c r="A894" t="inlineStr">
        <is>
          <t>A 16277-2026</t>
        </is>
      </c>
      <c r="B894" t="inlineStr">
        <is>
          <t>avverkningsanmälan</t>
        </is>
      </c>
      <c r="C894" t="inlineStr">
        <is>
          <t>Föryngringsavverkning</t>
        </is>
      </c>
      <c r="D894" s="1" t="n">
        <v>46111</v>
      </c>
      <c r="E894" s="1" t="n">
        <v>46222</v>
      </c>
      <c r="F894" t="inlineStr">
        <is>
          <t>GÄVLEBORGS LÄN</t>
        </is>
      </c>
      <c r="G894" t="inlineStr">
        <is>
          <t>OVANÅKER</t>
        </is>
      </c>
      <c r="H894" t="inlineStr">
        <is>
          <t>Bergvik skog öst AB</t>
        </is>
      </c>
      <c r="I894" t="n">
        <v>7.3</v>
      </c>
      <c r="J894" t="n">
        <v>0</v>
      </c>
      <c r="K894" t="n">
        <v>0</v>
      </c>
      <c r="L894" t="n">
        <v>0</v>
      </c>
      <c r="M894" t="n">
        <v>0</v>
      </c>
      <c r="N894" t="n">
        <v>0</v>
      </c>
      <c r="O894" t="n">
        <v>0</v>
      </c>
      <c r="P894" t="n">
        <v>0</v>
      </c>
      <c r="Q894" t="n">
        <v>0</v>
      </c>
      <c r="R894" t="n">
        <v>0</v>
      </c>
      <c r="S894" t="n">
        <v>0</v>
      </c>
      <c r="T894" t="n">
        <v>0</v>
      </c>
      <c r="U894" s="2" t="inlineStr"/>
    </row>
    <row r="895" ht="15" customHeight="1">
      <c r="A895" t="inlineStr">
        <is>
          <t>A 52158-2023</t>
        </is>
      </c>
      <c r="B895" t="inlineStr">
        <is>
          <t>avverkningsanmälan</t>
        </is>
      </c>
      <c r="C895" t="inlineStr">
        <is>
          <t>Föryngringsavverkning</t>
        </is>
      </c>
      <c r="D895" s="1" t="n">
        <v>45224</v>
      </c>
      <c r="E895" s="1" t="n">
        <v>46222</v>
      </c>
      <c r="F895" t="inlineStr">
        <is>
          <t>GÄVLEBORGS LÄN</t>
        </is>
      </c>
      <c r="G895" t="inlineStr">
        <is>
          <t>OVANÅKER</t>
        </is>
      </c>
      <c r="I895" t="n">
        <v>0.4</v>
      </c>
      <c r="J895" t="n">
        <v>0</v>
      </c>
      <c r="K895" t="n">
        <v>0</v>
      </c>
      <c r="L895" t="n">
        <v>0</v>
      </c>
      <c r="M895" t="n">
        <v>0</v>
      </c>
      <c r="N895" t="n">
        <v>0</v>
      </c>
      <c r="O895" t="n">
        <v>0</v>
      </c>
      <c r="P895" t="n">
        <v>0</v>
      </c>
      <c r="Q895" t="n">
        <v>0</v>
      </c>
      <c r="R895" t="n">
        <v>0</v>
      </c>
      <c r="S895" t="n">
        <v>0</v>
      </c>
      <c r="T895" t="n">
        <v>0</v>
      </c>
      <c r="U895" s="2" t="inlineStr"/>
    </row>
    <row r="896" ht="15" customHeight="1">
      <c r="A896" t="inlineStr">
        <is>
          <t>A 10656-2026</t>
        </is>
      </c>
      <c r="B896" t="inlineStr">
        <is>
          <t>avverkningsanmälan</t>
        </is>
      </c>
      <c r="C896" t="inlineStr">
        <is>
          <t>Föryngringsavverkning</t>
        </is>
      </c>
      <c r="D896" s="1" t="n">
        <v>46078</v>
      </c>
      <c r="E896" s="1" t="n">
        <v>46222</v>
      </c>
      <c r="F896" t="inlineStr">
        <is>
          <t>GÄVLEBORGS LÄN</t>
        </is>
      </c>
      <c r="G896" t="inlineStr">
        <is>
          <t>OVANÅKER</t>
        </is>
      </c>
      <c r="I896" t="n">
        <v>1.7</v>
      </c>
      <c r="J896" t="n">
        <v>0</v>
      </c>
      <c r="K896" t="n">
        <v>0</v>
      </c>
      <c r="L896" t="n">
        <v>0</v>
      </c>
      <c r="M896" t="n">
        <v>0</v>
      </c>
      <c r="N896" t="n">
        <v>0</v>
      </c>
      <c r="O896" t="n">
        <v>0</v>
      </c>
      <c r="P896" t="n">
        <v>0</v>
      </c>
      <c r="Q896" t="n">
        <v>0</v>
      </c>
      <c r="R896" t="n">
        <v>0</v>
      </c>
      <c r="S896" t="n">
        <v>0</v>
      </c>
      <c r="T896" t="n">
        <v>0</v>
      </c>
      <c r="U896" s="2" t="inlineStr"/>
    </row>
    <row r="897" ht="15" customHeight="1">
      <c r="A897" t="inlineStr">
        <is>
          <t>A 10901-2026</t>
        </is>
      </c>
      <c r="B897" t="inlineStr">
        <is>
          <t>avverkningsanmälan</t>
        </is>
      </c>
      <c r="C897" t="inlineStr">
        <is>
          <t>Föryngringsavverkning</t>
        </is>
      </c>
      <c r="D897" s="1" t="n">
        <v>46078</v>
      </c>
      <c r="E897" s="1" t="n">
        <v>46222</v>
      </c>
      <c r="F897" t="inlineStr">
        <is>
          <t>GÄVLEBORGS LÄN</t>
        </is>
      </c>
      <c r="G897" t="inlineStr">
        <is>
          <t>OVANÅKER</t>
        </is>
      </c>
      <c r="I897" t="n">
        <v>4.1</v>
      </c>
      <c r="J897" t="n">
        <v>0</v>
      </c>
      <c r="K897" t="n">
        <v>0</v>
      </c>
      <c r="L897" t="n">
        <v>0</v>
      </c>
      <c r="M897" t="n">
        <v>0</v>
      </c>
      <c r="N897" t="n">
        <v>0</v>
      </c>
      <c r="O897" t="n">
        <v>0</v>
      </c>
      <c r="P897" t="n">
        <v>0</v>
      </c>
      <c r="Q897" t="n">
        <v>0</v>
      </c>
      <c r="R897" t="n">
        <v>0</v>
      </c>
      <c r="S897" t="n">
        <v>0</v>
      </c>
      <c r="T897" t="n">
        <v>0</v>
      </c>
      <c r="U897" s="2" t="inlineStr"/>
    </row>
    <row r="898" ht="15" customHeight="1">
      <c r="A898" t="inlineStr">
        <is>
          <t>A 10942-2026</t>
        </is>
      </c>
      <c r="B898" t="inlineStr">
        <is>
          <t>avverkningsanmälan</t>
        </is>
      </c>
      <c r="C898" t="inlineStr">
        <is>
          <t>Föryngringsavverkning</t>
        </is>
      </c>
      <c r="D898" s="1" t="n">
        <v>46079</v>
      </c>
      <c r="E898" s="1" t="n">
        <v>46222</v>
      </c>
      <c r="F898" t="inlineStr">
        <is>
          <t>GÄVLEBORGS LÄN</t>
        </is>
      </c>
      <c r="G898" t="inlineStr">
        <is>
          <t>OVANÅKER</t>
        </is>
      </c>
      <c r="I898" t="n">
        <v>2</v>
      </c>
      <c r="J898" t="n">
        <v>0</v>
      </c>
      <c r="K898" t="n">
        <v>0</v>
      </c>
      <c r="L898" t="n">
        <v>0</v>
      </c>
      <c r="M898" t="n">
        <v>0</v>
      </c>
      <c r="N898" t="n">
        <v>0</v>
      </c>
      <c r="O898" t="n">
        <v>0</v>
      </c>
      <c r="P898" t="n">
        <v>0</v>
      </c>
      <c r="Q898" t="n">
        <v>0</v>
      </c>
      <c r="R898" t="n">
        <v>0</v>
      </c>
      <c r="S898" t="n">
        <v>0</v>
      </c>
      <c r="T898" t="n">
        <v>0</v>
      </c>
      <c r="U898" s="2" t="inlineStr"/>
    </row>
    <row r="899" ht="15" customHeight="1">
      <c r="A899" t="inlineStr">
        <is>
          <t>A 1013-2026</t>
        </is>
      </c>
      <c r="B899" t="inlineStr">
        <is>
          <t>avverkningsanmälan</t>
        </is>
      </c>
      <c r="C899" t="inlineStr">
        <is>
          <t>Föryngringsavverkning</t>
        </is>
      </c>
      <c r="D899" s="1" t="n">
        <v>46030</v>
      </c>
      <c r="E899" s="1" t="n">
        <v>46222</v>
      </c>
      <c r="F899" t="inlineStr">
        <is>
          <t>GÄVLEBORGS LÄN</t>
        </is>
      </c>
      <c r="G899" t="inlineStr">
        <is>
          <t>OVANÅKER</t>
        </is>
      </c>
      <c r="I899" t="n">
        <v>6</v>
      </c>
      <c r="J899" t="n">
        <v>0</v>
      </c>
      <c r="K899" t="n">
        <v>0</v>
      </c>
      <c r="L899" t="n">
        <v>0</v>
      </c>
      <c r="M899" t="n">
        <v>0</v>
      </c>
      <c r="N899" t="n">
        <v>0</v>
      </c>
      <c r="O899" t="n">
        <v>0</v>
      </c>
      <c r="P899" t="n">
        <v>0</v>
      </c>
      <c r="Q899" t="n">
        <v>0</v>
      </c>
      <c r="R899" t="n">
        <v>0</v>
      </c>
      <c r="S899" t="n">
        <v>0</v>
      </c>
      <c r="T899" t="n">
        <v>0</v>
      </c>
      <c r="U899" s="2" t="inlineStr"/>
    </row>
    <row r="900" ht="15" customHeight="1">
      <c r="A900" t="inlineStr">
        <is>
          <t>A 26489-2026</t>
        </is>
      </c>
      <c r="B900" t="inlineStr">
        <is>
          <t>avverkningsanmälan</t>
        </is>
      </c>
      <c r="C900" t="inlineStr">
        <is>
          <t>Föryngringsavverkning</t>
        </is>
      </c>
      <c r="D900" s="1" t="n">
        <v>46183</v>
      </c>
      <c r="E900" s="1" t="n">
        <v>46222</v>
      </c>
      <c r="F900" t="inlineStr">
        <is>
          <t>GÄVLEBORGS LÄN</t>
        </is>
      </c>
      <c r="G900" t="inlineStr">
        <is>
          <t>OVANÅKER</t>
        </is>
      </c>
      <c r="I900" t="n">
        <v>6.5</v>
      </c>
      <c r="J900" t="n">
        <v>0</v>
      </c>
      <c r="K900" t="n">
        <v>0</v>
      </c>
      <c r="L900" t="n">
        <v>0</v>
      </c>
      <c r="M900" t="n">
        <v>0</v>
      </c>
      <c r="N900" t="n">
        <v>0</v>
      </c>
      <c r="O900" t="n">
        <v>0</v>
      </c>
      <c r="P900" t="n">
        <v>0</v>
      </c>
      <c r="Q900" t="n">
        <v>0</v>
      </c>
      <c r="R900" t="n">
        <v>0</v>
      </c>
      <c r="S900" t="n">
        <v>0</v>
      </c>
      <c r="T900" t="n">
        <v>0</v>
      </c>
      <c r="U900" s="2" t="inlineStr"/>
    </row>
    <row r="901" ht="15" customHeight="1">
      <c r="A901" t="inlineStr">
        <is>
          <t>A 8543-2026</t>
        </is>
      </c>
      <c r="B901" t="inlineStr">
        <is>
          <t>avverkningsanmälan</t>
        </is>
      </c>
      <c r="C901" t="inlineStr">
        <is>
          <t>Föryngringsavverkning</t>
        </is>
      </c>
      <c r="D901" s="1" t="n">
        <v>46065</v>
      </c>
      <c r="E901" s="1" t="n">
        <v>46222</v>
      </c>
      <c r="F901" t="inlineStr">
        <is>
          <t>GÄVLEBORGS LÄN</t>
        </is>
      </c>
      <c r="G901" t="inlineStr">
        <is>
          <t>OVANÅKER</t>
        </is>
      </c>
      <c r="I901" t="n">
        <v>1.8</v>
      </c>
      <c r="J901" t="n">
        <v>0</v>
      </c>
      <c r="K901" t="n">
        <v>0</v>
      </c>
      <c r="L901" t="n">
        <v>0</v>
      </c>
      <c r="M901" t="n">
        <v>0</v>
      </c>
      <c r="N901" t="n">
        <v>0</v>
      </c>
      <c r="O901" t="n">
        <v>0</v>
      </c>
      <c r="P901" t="n">
        <v>0</v>
      </c>
      <c r="Q901" t="n">
        <v>0</v>
      </c>
      <c r="R901" t="n">
        <v>0</v>
      </c>
      <c r="S901" t="n">
        <v>0</v>
      </c>
      <c r="T901" t="n">
        <v>0</v>
      </c>
      <c r="U901" s="2" t="inlineStr"/>
    </row>
    <row r="902" ht="15" customHeight="1">
      <c r="A902" t="inlineStr">
        <is>
          <t>A 2863-2026</t>
        </is>
      </c>
      <c r="B902" t="inlineStr">
        <is>
          <t>avverkningsanmälan</t>
        </is>
      </c>
      <c r="C902" t="inlineStr">
        <is>
          <t>Föryngringsavverkning</t>
        </is>
      </c>
      <c r="D902" s="1" t="n">
        <v>46038</v>
      </c>
      <c r="E902" s="1" t="n">
        <v>46222</v>
      </c>
      <c r="F902" t="inlineStr">
        <is>
          <t>GÄVLEBORGS LÄN</t>
        </is>
      </c>
      <c r="G902" t="inlineStr">
        <is>
          <t>OVANÅKER</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2608-2026</t>
        </is>
      </c>
      <c r="B903" t="inlineStr">
        <is>
          <t>avverkningsanmälan</t>
        </is>
      </c>
      <c r="C903" t="inlineStr">
        <is>
          <t>Föryngringsavverkning</t>
        </is>
      </c>
      <c r="D903" s="1" t="n">
        <v>46037</v>
      </c>
      <c r="E903" s="1" t="n">
        <v>46222</v>
      </c>
      <c r="F903" t="inlineStr">
        <is>
          <t>GÄVLEBORGS LÄN</t>
        </is>
      </c>
      <c r="G903" t="inlineStr">
        <is>
          <t>OVANÅKER</t>
        </is>
      </c>
      <c r="I903" t="n">
        <v>6.6</v>
      </c>
      <c r="J903" t="n">
        <v>0</v>
      </c>
      <c r="K903" t="n">
        <v>0</v>
      </c>
      <c r="L903" t="n">
        <v>0</v>
      </c>
      <c r="M903" t="n">
        <v>0</v>
      </c>
      <c r="N903" t="n">
        <v>0</v>
      </c>
      <c r="O903" t="n">
        <v>0</v>
      </c>
      <c r="P903" t="n">
        <v>0</v>
      </c>
      <c r="Q903" t="n">
        <v>0</v>
      </c>
      <c r="R903" t="n">
        <v>0</v>
      </c>
      <c r="S903" t="n">
        <v>0</v>
      </c>
      <c r="T903" t="n">
        <v>0</v>
      </c>
      <c r="U903" s="2" t="inlineStr"/>
    </row>
    <row r="904" ht="15" customHeight="1">
      <c r="A904" t="inlineStr">
        <is>
          <t>A 4394-2026</t>
        </is>
      </c>
      <c r="B904" t="inlineStr">
        <is>
          <t>avverkningsanmälan</t>
        </is>
      </c>
      <c r="C904" t="inlineStr">
        <is>
          <t>Föryngringsavverkning</t>
        </is>
      </c>
      <c r="D904" s="1" t="n">
        <v>46045</v>
      </c>
      <c r="E904" s="1" t="n">
        <v>46222</v>
      </c>
      <c r="F904" t="inlineStr">
        <is>
          <t>GÄVLEBORGS LÄN</t>
        </is>
      </c>
      <c r="G904" t="inlineStr">
        <is>
          <t>OVANÅKER</t>
        </is>
      </c>
      <c r="I904" t="n">
        <v>2.2</v>
      </c>
      <c r="J904" t="n">
        <v>0</v>
      </c>
      <c r="K904" t="n">
        <v>0</v>
      </c>
      <c r="L904" t="n">
        <v>0</v>
      </c>
      <c r="M904" t="n">
        <v>0</v>
      </c>
      <c r="N904" t="n">
        <v>0</v>
      </c>
      <c r="O904" t="n">
        <v>0</v>
      </c>
      <c r="P904" t="n">
        <v>0</v>
      </c>
      <c r="Q904" t="n">
        <v>0</v>
      </c>
      <c r="R904" t="n">
        <v>0</v>
      </c>
      <c r="S904" t="n">
        <v>0</v>
      </c>
      <c r="T904" t="n">
        <v>0</v>
      </c>
      <c r="U904" s="2" t="inlineStr"/>
    </row>
    <row r="905" ht="15" customHeight="1">
      <c r="A905" t="inlineStr">
        <is>
          <t>A 13141-2024</t>
        </is>
      </c>
      <c r="B905" t="inlineStr">
        <is>
          <t>avverkningsanmälan</t>
        </is>
      </c>
      <c r="C905" t="inlineStr">
        <is>
          <t>Föryngringsavverkning</t>
        </is>
      </c>
      <c r="D905" s="1" t="n">
        <v>45386</v>
      </c>
      <c r="E905" s="1" t="n">
        <v>46222</v>
      </c>
      <c r="F905" t="inlineStr">
        <is>
          <t>GÄVLEBORGS LÄN</t>
        </is>
      </c>
      <c r="G905" t="inlineStr">
        <is>
          <t>OVANÅKER</t>
        </is>
      </c>
      <c r="I905" t="n">
        <v>4.6</v>
      </c>
      <c r="J905" t="n">
        <v>0</v>
      </c>
      <c r="K905" t="n">
        <v>0</v>
      </c>
      <c r="L905" t="n">
        <v>0</v>
      </c>
      <c r="M905" t="n">
        <v>0</v>
      </c>
      <c r="N905" t="n">
        <v>0</v>
      </c>
      <c r="O905" t="n">
        <v>0</v>
      </c>
      <c r="P905" t="n">
        <v>0</v>
      </c>
      <c r="Q905" t="n">
        <v>0</v>
      </c>
      <c r="R905" t="n">
        <v>0</v>
      </c>
      <c r="S905" t="n">
        <v>0</v>
      </c>
      <c r="T905" t="n">
        <v>0</v>
      </c>
      <c r="U905" s="2" t="inlineStr"/>
    </row>
    <row r="906" ht="15" customHeight="1">
      <c r="A906" t="inlineStr">
        <is>
          <t>A 17264-2026</t>
        </is>
      </c>
      <c r="B906" t="inlineStr">
        <is>
          <t>avverkningsanmälan</t>
        </is>
      </c>
      <c r="C906" t="inlineStr">
        <is>
          <t>Föryngringsavverkning</t>
        </is>
      </c>
      <c r="D906" s="1" t="n">
        <v>46119</v>
      </c>
      <c r="E906" s="1" t="n">
        <v>46222</v>
      </c>
      <c r="F906" t="inlineStr">
        <is>
          <t>GÄVLEBORGS LÄN</t>
        </is>
      </c>
      <c r="G906" t="inlineStr">
        <is>
          <t>OVANÅKER</t>
        </is>
      </c>
      <c r="H906" t="inlineStr">
        <is>
          <t>Bergvik skog öst AB</t>
        </is>
      </c>
      <c r="I906" t="n">
        <v>24.8</v>
      </c>
      <c r="J906" t="n">
        <v>0</v>
      </c>
      <c r="K906" t="n">
        <v>0</v>
      </c>
      <c r="L906" t="n">
        <v>0</v>
      </c>
      <c r="M906" t="n">
        <v>0</v>
      </c>
      <c r="N906" t="n">
        <v>0</v>
      </c>
      <c r="O906" t="n">
        <v>0</v>
      </c>
      <c r="P906" t="n">
        <v>0</v>
      </c>
      <c r="Q906" t="n">
        <v>0</v>
      </c>
      <c r="R906" t="n">
        <v>0</v>
      </c>
      <c r="S906" t="n">
        <v>0</v>
      </c>
      <c r="T906" t="n">
        <v>0</v>
      </c>
      <c r="U906" s="2" t="inlineStr"/>
    </row>
    <row r="907" ht="15" customHeight="1">
      <c r="A907" t="inlineStr">
        <is>
          <t>A 26614-2026</t>
        </is>
      </c>
      <c r="B907" t="inlineStr">
        <is>
          <t>avverkningsanmälan</t>
        </is>
      </c>
      <c r="C907" t="inlineStr">
        <is>
          <t>Föryngringsavverkning</t>
        </is>
      </c>
      <c r="D907" s="1" t="n">
        <v>46184</v>
      </c>
      <c r="E907" s="1" t="n">
        <v>46222</v>
      </c>
      <c r="F907" t="inlineStr">
        <is>
          <t>GÄVLEBORGS LÄN</t>
        </is>
      </c>
      <c r="G907" t="inlineStr">
        <is>
          <t>OVANÅKER</t>
        </is>
      </c>
      <c r="I907" t="n">
        <v>3.5</v>
      </c>
      <c r="J907" t="n">
        <v>0</v>
      </c>
      <c r="K907" t="n">
        <v>0</v>
      </c>
      <c r="L907" t="n">
        <v>0</v>
      </c>
      <c r="M907" t="n">
        <v>0</v>
      </c>
      <c r="N907" t="n">
        <v>0</v>
      </c>
      <c r="O907" t="n">
        <v>0</v>
      </c>
      <c r="P907" t="n">
        <v>0</v>
      </c>
      <c r="Q907" t="n">
        <v>0</v>
      </c>
      <c r="R907" t="n">
        <v>0</v>
      </c>
      <c r="S907" t="n">
        <v>0</v>
      </c>
      <c r="T907" t="n">
        <v>0</v>
      </c>
      <c r="U907" s="2" t="inlineStr"/>
    </row>
    <row r="908" ht="15" customHeight="1">
      <c r="A908" t="inlineStr">
        <is>
          <t>A 10935-2026</t>
        </is>
      </c>
      <c r="B908" t="inlineStr">
        <is>
          <t>avverkningsanmälan</t>
        </is>
      </c>
      <c r="C908" t="inlineStr">
        <is>
          <t>Föryngringsavverkning</t>
        </is>
      </c>
      <c r="D908" s="1" t="n">
        <v>46079</v>
      </c>
      <c r="E908" s="1" t="n">
        <v>46222</v>
      </c>
      <c r="F908" t="inlineStr">
        <is>
          <t>GÄVLEBORGS LÄN</t>
        </is>
      </c>
      <c r="G908" t="inlineStr">
        <is>
          <t>OVANÅKER</t>
        </is>
      </c>
      <c r="I908" t="n">
        <v>5.8</v>
      </c>
      <c r="J908" t="n">
        <v>0</v>
      </c>
      <c r="K908" t="n">
        <v>0</v>
      </c>
      <c r="L908" t="n">
        <v>0</v>
      </c>
      <c r="M908" t="n">
        <v>0</v>
      </c>
      <c r="N908" t="n">
        <v>0</v>
      </c>
      <c r="O908" t="n">
        <v>0</v>
      </c>
      <c r="P908" t="n">
        <v>0</v>
      </c>
      <c r="Q908" t="n">
        <v>0</v>
      </c>
      <c r="R908" t="n">
        <v>0</v>
      </c>
      <c r="S908" t="n">
        <v>0</v>
      </c>
      <c r="T908" t="n">
        <v>0</v>
      </c>
      <c r="U908" s="2" t="inlineStr"/>
    </row>
    <row r="909" ht="15" customHeight="1">
      <c r="A909" t="inlineStr">
        <is>
          <t>A 20959-2026</t>
        </is>
      </c>
      <c r="B909" t="inlineStr">
        <is>
          <t>avverkningsanmälan</t>
        </is>
      </c>
      <c r="C909" t="inlineStr">
        <is>
          <t>Föryngringsavverkning</t>
        </is>
      </c>
      <c r="D909" s="1" t="n">
        <v>46142</v>
      </c>
      <c r="E909" s="1" t="n">
        <v>46222</v>
      </c>
      <c r="F909" t="inlineStr">
        <is>
          <t>GÄVLEBORGS LÄN</t>
        </is>
      </c>
      <c r="G909" t="inlineStr">
        <is>
          <t>OVANÅKER</t>
        </is>
      </c>
      <c r="I909" t="n">
        <v>5.7</v>
      </c>
      <c r="J909" t="n">
        <v>0</v>
      </c>
      <c r="K909" t="n">
        <v>0</v>
      </c>
      <c r="L909" t="n">
        <v>0</v>
      </c>
      <c r="M909" t="n">
        <v>0</v>
      </c>
      <c r="N909" t="n">
        <v>0</v>
      </c>
      <c r="O909" t="n">
        <v>0</v>
      </c>
      <c r="P909" t="n">
        <v>0</v>
      </c>
      <c r="Q909" t="n">
        <v>0</v>
      </c>
      <c r="R909" t="n">
        <v>0</v>
      </c>
      <c r="S909" t="n">
        <v>0</v>
      </c>
      <c r="T909" t="n">
        <v>0</v>
      </c>
      <c r="U909" s="2" t="inlineStr"/>
    </row>
    <row r="910" ht="15" customHeight="1">
      <c r="A910" t="inlineStr">
        <is>
          <t>A 17814-2026</t>
        </is>
      </c>
      <c r="B910" t="inlineStr">
        <is>
          <t>avverkningsanmälan</t>
        </is>
      </c>
      <c r="C910" t="inlineStr">
        <is>
          <t>Föryngringsavverkning</t>
        </is>
      </c>
      <c r="D910" s="1" t="n">
        <v>46122</v>
      </c>
      <c r="E910" s="1" t="n">
        <v>46222</v>
      </c>
      <c r="F910" t="inlineStr">
        <is>
          <t>GÄVLEBORGS LÄN</t>
        </is>
      </c>
      <c r="G910" t="inlineStr">
        <is>
          <t>OVANÅKER</t>
        </is>
      </c>
      <c r="H910" t="inlineStr">
        <is>
          <t>Bergvik skog öst AB</t>
        </is>
      </c>
      <c r="I910" t="n">
        <v>2.3</v>
      </c>
      <c r="J910" t="n">
        <v>0</v>
      </c>
      <c r="K910" t="n">
        <v>0</v>
      </c>
      <c r="L910" t="n">
        <v>0</v>
      </c>
      <c r="M910" t="n">
        <v>0</v>
      </c>
      <c r="N910" t="n">
        <v>0</v>
      </c>
      <c r="O910" t="n">
        <v>0</v>
      </c>
      <c r="P910" t="n">
        <v>0</v>
      </c>
      <c r="Q910" t="n">
        <v>0</v>
      </c>
      <c r="R910" t="n">
        <v>0</v>
      </c>
      <c r="S910" t="n">
        <v>0</v>
      </c>
      <c r="T910" t="n">
        <v>0</v>
      </c>
      <c r="U910" s="2" t="inlineStr"/>
    </row>
    <row r="911" ht="15" customHeight="1">
      <c r="A911" t="inlineStr">
        <is>
          <t>A 64059-2025</t>
        </is>
      </c>
      <c r="B911" t="inlineStr">
        <is>
          <t>avverkningsanmälan</t>
        </is>
      </c>
      <c r="C911" t="inlineStr">
        <is>
          <t>Föryngringsavverkning</t>
        </is>
      </c>
      <c r="D911" s="1" t="n">
        <v>46021</v>
      </c>
      <c r="E911" s="1" t="n">
        <v>46222</v>
      </c>
      <c r="F911" t="inlineStr">
        <is>
          <t>GÄVLEBORGS LÄN</t>
        </is>
      </c>
      <c r="G911" t="inlineStr">
        <is>
          <t>OVANÅKER</t>
        </is>
      </c>
      <c r="I911" t="n">
        <v>16.1</v>
      </c>
      <c r="J911" t="n">
        <v>0</v>
      </c>
      <c r="K911" t="n">
        <v>0</v>
      </c>
      <c r="L911" t="n">
        <v>0</v>
      </c>
      <c r="M911" t="n">
        <v>0</v>
      </c>
      <c r="N911" t="n">
        <v>0</v>
      </c>
      <c r="O911" t="n">
        <v>0</v>
      </c>
      <c r="P911" t="n">
        <v>0</v>
      </c>
      <c r="Q911" t="n">
        <v>0</v>
      </c>
      <c r="R911" t="n">
        <v>0</v>
      </c>
      <c r="S911" t="n">
        <v>0</v>
      </c>
      <c r="T911" t="n">
        <v>0</v>
      </c>
      <c r="U911" s="2" t="inlineStr"/>
    </row>
    <row r="912" ht="15" customHeight="1">
      <c r="A912" t="inlineStr">
        <is>
          <t>A 43274-2023</t>
        </is>
      </c>
      <c r="B912" t="inlineStr">
        <is>
          <t>avverkningsanmälan</t>
        </is>
      </c>
      <c r="C912" t="inlineStr">
        <is>
          <t>Föryngringsavverkning</t>
        </is>
      </c>
      <c r="D912" s="1" t="n">
        <v>45183</v>
      </c>
      <c r="E912" s="1" t="n">
        <v>46222</v>
      </c>
      <c r="F912" t="inlineStr">
        <is>
          <t>GÄVLEBORGS LÄN</t>
        </is>
      </c>
      <c r="G912" t="inlineStr">
        <is>
          <t>OVANÅKER</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19607-2026</t>
        </is>
      </c>
      <c r="B913" t="inlineStr">
        <is>
          <t>avverkningsanmälan</t>
        </is>
      </c>
      <c r="C913" t="inlineStr">
        <is>
          <t>Föryngringsavverkning</t>
        </is>
      </c>
      <c r="D913" s="1" t="n">
        <v>46134</v>
      </c>
      <c r="E913" s="1" t="n">
        <v>46222</v>
      </c>
      <c r="F913" t="inlineStr">
        <is>
          <t>GÄVLEBORGS LÄN</t>
        </is>
      </c>
      <c r="G913" t="inlineStr">
        <is>
          <t>OVANÅKER</t>
        </is>
      </c>
      <c r="H913" t="inlineStr">
        <is>
          <t>Bergvik skog öst AB</t>
        </is>
      </c>
      <c r="I913" t="n">
        <v>22.6</v>
      </c>
      <c r="J913" t="n">
        <v>0</v>
      </c>
      <c r="K913" t="n">
        <v>0</v>
      </c>
      <c r="L913" t="n">
        <v>0</v>
      </c>
      <c r="M913" t="n">
        <v>0</v>
      </c>
      <c r="N913" t="n">
        <v>0</v>
      </c>
      <c r="O913" t="n">
        <v>0</v>
      </c>
      <c r="P913" t="n">
        <v>0</v>
      </c>
      <c r="Q913" t="n">
        <v>0</v>
      </c>
      <c r="R913" t="n">
        <v>0</v>
      </c>
      <c r="S913" t="n">
        <v>0</v>
      </c>
      <c r="T913" t="n">
        <v>0</v>
      </c>
      <c r="U913" s="2" t="inlineStr"/>
    </row>
    <row r="914" ht="15" customHeight="1">
      <c r="A914" t="inlineStr">
        <is>
          <t>A 36478-2025</t>
        </is>
      </c>
      <c r="B914" t="inlineStr">
        <is>
          <t>avverkningsanmälan</t>
        </is>
      </c>
      <c r="C914" t="inlineStr">
        <is>
          <t>Föryngringsavverkning</t>
        </is>
      </c>
      <c r="D914" s="1" t="n">
        <v>45869</v>
      </c>
      <c r="E914" s="1" t="n">
        <v>46222</v>
      </c>
      <c r="F914" t="inlineStr">
        <is>
          <t>GÄVLEBORGS LÄN</t>
        </is>
      </c>
      <c r="G914" t="inlineStr">
        <is>
          <t>OVANÅKER</t>
        </is>
      </c>
      <c r="I914" t="n">
        <v>11</v>
      </c>
      <c r="J914" t="n">
        <v>0</v>
      </c>
      <c r="K914" t="n">
        <v>0</v>
      </c>
      <c r="L914" t="n">
        <v>0</v>
      </c>
      <c r="M914" t="n">
        <v>0</v>
      </c>
      <c r="N914" t="n">
        <v>0</v>
      </c>
      <c r="O914" t="n">
        <v>0</v>
      </c>
      <c r="P914" t="n">
        <v>0</v>
      </c>
      <c r="Q914" t="n">
        <v>0</v>
      </c>
      <c r="R914" t="n">
        <v>0</v>
      </c>
      <c r="S914" t="n">
        <v>0</v>
      </c>
      <c r="T914" t="n">
        <v>0</v>
      </c>
      <c r="U914" s="2" t="inlineStr"/>
    </row>
    <row r="915" ht="15" customHeight="1">
      <c r="A915" t="inlineStr">
        <is>
          <t>A 17925-2026</t>
        </is>
      </c>
      <c r="B915" t="inlineStr">
        <is>
          <t>avverkningsanmälan</t>
        </is>
      </c>
      <c r="C915" t="inlineStr">
        <is>
          <t>Föryngringsavverkning</t>
        </is>
      </c>
      <c r="D915" s="1" t="n">
        <v>46122</v>
      </c>
      <c r="E915" s="1" t="n">
        <v>46222</v>
      </c>
      <c r="F915" t="inlineStr">
        <is>
          <t>GÄVLEBORGS LÄN</t>
        </is>
      </c>
      <c r="G915" t="inlineStr">
        <is>
          <t>OVANÅKER</t>
        </is>
      </c>
      <c r="H915" t="inlineStr">
        <is>
          <t>Bergvik skog öst AB</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2054-2026</t>
        </is>
      </c>
      <c r="B916" t="inlineStr">
        <is>
          <t>avverkningsanmälan</t>
        </is>
      </c>
      <c r="C916" t="inlineStr">
        <is>
          <t>Föryngringsavverkning</t>
        </is>
      </c>
      <c r="D916" s="1" t="n">
        <v>46031</v>
      </c>
      <c r="E916" s="1" t="n">
        <v>46222</v>
      </c>
      <c r="F916" t="inlineStr">
        <is>
          <t>GÄVLEBORGS LÄN</t>
        </is>
      </c>
      <c r="G916" t="inlineStr">
        <is>
          <t>OVANÅKER</t>
        </is>
      </c>
      <c r="I916" t="n">
        <v>2</v>
      </c>
      <c r="J916" t="n">
        <v>0</v>
      </c>
      <c r="K916" t="n">
        <v>0</v>
      </c>
      <c r="L916" t="n">
        <v>0</v>
      </c>
      <c r="M916" t="n">
        <v>0</v>
      </c>
      <c r="N916" t="n">
        <v>0</v>
      </c>
      <c r="O916" t="n">
        <v>0</v>
      </c>
      <c r="P916" t="n">
        <v>0</v>
      </c>
      <c r="Q916" t="n">
        <v>0</v>
      </c>
      <c r="R916" t="n">
        <v>0</v>
      </c>
      <c r="S916" t="n">
        <v>0</v>
      </c>
      <c r="T916" t="n">
        <v>0</v>
      </c>
      <c r="U916" s="2" t="inlineStr"/>
    </row>
    <row r="917" ht="15" customHeight="1">
      <c r="A917" t="inlineStr">
        <is>
          <t>A 18244-2024</t>
        </is>
      </c>
      <c r="B917" t="inlineStr">
        <is>
          <t>avverkningsanmälan</t>
        </is>
      </c>
      <c r="C917" t="inlineStr">
        <is>
          <t>Föryngringsavverkning</t>
        </is>
      </c>
      <c r="D917" s="1" t="n">
        <v>45421</v>
      </c>
      <c r="E917" s="1" t="n">
        <v>46222</v>
      </c>
      <c r="F917" t="inlineStr">
        <is>
          <t>GÄVLEBORGS LÄN</t>
        </is>
      </c>
      <c r="G917" t="inlineStr">
        <is>
          <t>OVANÅKER</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26666-2026</t>
        </is>
      </c>
      <c r="B918" t="inlineStr">
        <is>
          <t>avverkningsanmälan</t>
        </is>
      </c>
      <c r="C918" t="inlineStr">
        <is>
          <t>Föryngringsavverkning</t>
        </is>
      </c>
      <c r="D918" s="1" t="n">
        <v>46184</v>
      </c>
      <c r="E918" s="1" t="n">
        <v>46222</v>
      </c>
      <c r="F918" t="inlineStr">
        <is>
          <t>GÄVLEBORGS LÄN</t>
        </is>
      </c>
      <c r="G918" t="inlineStr">
        <is>
          <t>OVANÅKER</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5174-2026</t>
        </is>
      </c>
      <c r="B919" t="inlineStr">
        <is>
          <t>avverkningsanmälan</t>
        </is>
      </c>
      <c r="C919" t="inlineStr">
        <is>
          <t>Föryngringsavverkning</t>
        </is>
      </c>
      <c r="D919" s="1" t="n">
        <v>46049</v>
      </c>
      <c r="E919" s="1" t="n">
        <v>46222</v>
      </c>
      <c r="F919" t="inlineStr">
        <is>
          <t>GÄVLEBORGS LÄN</t>
        </is>
      </c>
      <c r="G919" t="inlineStr">
        <is>
          <t>OVANÅKER</t>
        </is>
      </c>
      <c r="I919" t="n">
        <v>2.3</v>
      </c>
      <c r="J919" t="n">
        <v>0</v>
      </c>
      <c r="K919" t="n">
        <v>0</v>
      </c>
      <c r="L919" t="n">
        <v>0</v>
      </c>
      <c r="M919" t="n">
        <v>0</v>
      </c>
      <c r="N919" t="n">
        <v>0</v>
      </c>
      <c r="O919" t="n">
        <v>0</v>
      </c>
      <c r="P919" t="n">
        <v>0</v>
      </c>
      <c r="Q919" t="n">
        <v>0</v>
      </c>
      <c r="R919" t="n">
        <v>0</v>
      </c>
      <c r="S919" t="n">
        <v>0</v>
      </c>
      <c r="T919" t="n">
        <v>0</v>
      </c>
      <c r="U919" s="2" t="inlineStr"/>
    </row>
    <row r="920" ht="15" customHeight="1">
      <c r="A920" t="inlineStr">
        <is>
          <t>A 41544-2023</t>
        </is>
      </c>
      <c r="B920" t="inlineStr">
        <is>
          <t>avverkningsanmälan</t>
        </is>
      </c>
      <c r="C920" t="inlineStr">
        <is>
          <t>Föryngringsavverkning</t>
        </is>
      </c>
      <c r="D920" s="1" t="n">
        <v>45175</v>
      </c>
      <c r="E920" s="1" t="n">
        <v>46222</v>
      </c>
      <c r="F920" t="inlineStr">
        <is>
          <t>GÄVLEBORGS LÄN</t>
        </is>
      </c>
      <c r="G920" t="inlineStr">
        <is>
          <t>OVANÅKER</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20670-2026</t>
        </is>
      </c>
      <c r="B921" t="inlineStr">
        <is>
          <t>avverkningsanmälan</t>
        </is>
      </c>
      <c r="C921" t="inlineStr">
        <is>
          <t>Föryngringsavverkning</t>
        </is>
      </c>
      <c r="D921" s="1" t="n">
        <v>46141</v>
      </c>
      <c r="E921" s="1" t="n">
        <v>46222</v>
      </c>
      <c r="F921" t="inlineStr">
        <is>
          <t>GÄVLEBORGS LÄN</t>
        </is>
      </c>
      <c r="G921" t="inlineStr">
        <is>
          <t>OVANÅKER</t>
        </is>
      </c>
      <c r="H921" t="inlineStr">
        <is>
          <t>Bergvik skog väst AB</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5557-2026</t>
        </is>
      </c>
      <c r="B922" t="inlineStr">
        <is>
          <t>avverkningsanmälan</t>
        </is>
      </c>
      <c r="C922" t="inlineStr">
        <is>
          <t>Föryngringsavverkning</t>
        </is>
      </c>
      <c r="D922" s="1" t="n">
        <v>46050</v>
      </c>
      <c r="E922" s="1" t="n">
        <v>46222</v>
      </c>
      <c r="F922" t="inlineStr">
        <is>
          <t>GÄVLEBORGS LÄN</t>
        </is>
      </c>
      <c r="G922" t="inlineStr">
        <is>
          <t>OVANÅKER</t>
        </is>
      </c>
      <c r="H922" t="inlineStr">
        <is>
          <t>Kyrkan</t>
        </is>
      </c>
      <c r="I922" t="n">
        <v>11.6</v>
      </c>
      <c r="J922" t="n">
        <v>0</v>
      </c>
      <c r="K922" t="n">
        <v>0</v>
      </c>
      <c r="L922" t="n">
        <v>0</v>
      </c>
      <c r="M922" t="n">
        <v>0</v>
      </c>
      <c r="N922" t="n">
        <v>0</v>
      </c>
      <c r="O922" t="n">
        <v>0</v>
      </c>
      <c r="P922" t="n">
        <v>0</v>
      </c>
      <c r="Q922" t="n">
        <v>0</v>
      </c>
      <c r="R922" t="n">
        <v>0</v>
      </c>
      <c r="S922" t="n">
        <v>0</v>
      </c>
      <c r="T922" t="n">
        <v>0</v>
      </c>
      <c r="U922" s="2" t="inlineStr"/>
    </row>
    <row r="923" ht="15" customHeight="1">
      <c r="A923" t="inlineStr">
        <is>
          <t>A 2669-2026</t>
        </is>
      </c>
      <c r="B923" t="inlineStr">
        <is>
          <t>avverkningsanmälan</t>
        </is>
      </c>
      <c r="C923" t="inlineStr">
        <is>
          <t>Föryngringsavverkning</t>
        </is>
      </c>
      <c r="D923" s="1" t="n">
        <v>46037</v>
      </c>
      <c r="E923" s="1" t="n">
        <v>46222</v>
      </c>
      <c r="F923" t="inlineStr">
        <is>
          <t>GÄVLEBORGS LÄN</t>
        </is>
      </c>
      <c r="G923" t="inlineStr">
        <is>
          <t>OVANÅKER</t>
        </is>
      </c>
      <c r="I923" t="n">
        <v>2.4</v>
      </c>
      <c r="J923" t="n">
        <v>0</v>
      </c>
      <c r="K923" t="n">
        <v>0</v>
      </c>
      <c r="L923" t="n">
        <v>0</v>
      </c>
      <c r="M923" t="n">
        <v>0</v>
      </c>
      <c r="N923" t="n">
        <v>0</v>
      </c>
      <c r="O923" t="n">
        <v>0</v>
      </c>
      <c r="P923" t="n">
        <v>0</v>
      </c>
      <c r="Q923" t="n">
        <v>0</v>
      </c>
      <c r="R923" t="n">
        <v>0</v>
      </c>
      <c r="S923" t="n">
        <v>0</v>
      </c>
      <c r="T923" t="n">
        <v>0</v>
      </c>
      <c r="U923" s="2" t="inlineStr"/>
    </row>
    <row r="924" ht="15" customHeight="1">
      <c r="A924" t="inlineStr">
        <is>
          <t>A 4164-2026</t>
        </is>
      </c>
      <c r="B924" t="inlineStr">
        <is>
          <t>avverkningsanmälan</t>
        </is>
      </c>
      <c r="C924" t="inlineStr">
        <is>
          <t>Föryngringsavverkning</t>
        </is>
      </c>
      <c r="D924" s="1" t="n">
        <v>46044</v>
      </c>
      <c r="E924" s="1" t="n">
        <v>46222</v>
      </c>
      <c r="F924" t="inlineStr">
        <is>
          <t>GÄVLEBORGS LÄN</t>
        </is>
      </c>
      <c r="G924" t="inlineStr">
        <is>
          <t>OVANÅKER</t>
        </is>
      </c>
      <c r="I924" t="n">
        <v>1.8</v>
      </c>
      <c r="J924" t="n">
        <v>0</v>
      </c>
      <c r="K924" t="n">
        <v>0</v>
      </c>
      <c r="L924" t="n">
        <v>0</v>
      </c>
      <c r="M924" t="n">
        <v>0</v>
      </c>
      <c r="N924" t="n">
        <v>0</v>
      </c>
      <c r="O924" t="n">
        <v>0</v>
      </c>
      <c r="P924" t="n">
        <v>0</v>
      </c>
      <c r="Q924" t="n">
        <v>0</v>
      </c>
      <c r="R924" t="n">
        <v>0</v>
      </c>
      <c r="S924" t="n">
        <v>0</v>
      </c>
      <c r="T924" t="n">
        <v>0</v>
      </c>
      <c r="U924" s="2" t="inlineStr"/>
    </row>
    <row r="925" ht="15" customHeight="1">
      <c r="A925" t="inlineStr">
        <is>
          <t>A 2120-2026</t>
        </is>
      </c>
      <c r="B925" t="inlineStr">
        <is>
          <t>avverkningsanmälan</t>
        </is>
      </c>
      <c r="C925" t="inlineStr">
        <is>
          <t>Föryngringsavverkning</t>
        </is>
      </c>
      <c r="D925" s="1" t="n">
        <v>46036</v>
      </c>
      <c r="E925" s="1" t="n">
        <v>46222</v>
      </c>
      <c r="F925" t="inlineStr">
        <is>
          <t>GÄVLEBORGS LÄN</t>
        </is>
      </c>
      <c r="G925" t="inlineStr">
        <is>
          <t>OVANÅKER</t>
        </is>
      </c>
      <c r="I925" t="n">
        <v>6.6</v>
      </c>
      <c r="J925" t="n">
        <v>0</v>
      </c>
      <c r="K925" t="n">
        <v>0</v>
      </c>
      <c r="L925" t="n">
        <v>0</v>
      </c>
      <c r="M925" t="n">
        <v>0</v>
      </c>
      <c r="N925" t="n">
        <v>0</v>
      </c>
      <c r="O925" t="n">
        <v>0</v>
      </c>
      <c r="P925" t="n">
        <v>0</v>
      </c>
      <c r="Q925" t="n">
        <v>0</v>
      </c>
      <c r="R925" t="n">
        <v>0</v>
      </c>
      <c r="S925" t="n">
        <v>0</v>
      </c>
      <c r="T925" t="n">
        <v>0</v>
      </c>
      <c r="U925" s="2" t="inlineStr"/>
    </row>
    <row r="926" ht="15" customHeight="1">
      <c r="A926" t="inlineStr">
        <is>
          <t>A 58791-2023</t>
        </is>
      </c>
      <c r="B926" t="inlineStr">
        <is>
          <t>avverkningsanmälan</t>
        </is>
      </c>
      <c r="C926" t="inlineStr">
        <is>
          <t>Föryngringsavverkning</t>
        </is>
      </c>
      <c r="D926" s="1" t="n">
        <v>45252</v>
      </c>
      <c r="E926" s="1" t="n">
        <v>46222</v>
      </c>
      <c r="F926" t="inlineStr">
        <is>
          <t>GÄVLEBORGS LÄN</t>
        </is>
      </c>
      <c r="G926" t="inlineStr">
        <is>
          <t>OVANÅKER</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1720-2026</t>
        </is>
      </c>
      <c r="B927" t="inlineStr">
        <is>
          <t>avverkningsanmälan</t>
        </is>
      </c>
      <c r="C927" t="inlineStr">
        <is>
          <t>Föryngringsavverkning</t>
        </is>
      </c>
      <c r="D927" s="1" t="n">
        <v>46034</v>
      </c>
      <c r="E927" s="1" t="n">
        <v>46222</v>
      </c>
      <c r="F927" t="inlineStr">
        <is>
          <t>GÄVLEBORGS LÄN</t>
        </is>
      </c>
      <c r="G927" t="inlineStr">
        <is>
          <t>OVANÅKER</t>
        </is>
      </c>
      <c r="I927" t="n">
        <v>1.5</v>
      </c>
      <c r="J927" t="n">
        <v>0</v>
      </c>
      <c r="K927" t="n">
        <v>0</v>
      </c>
      <c r="L927" t="n">
        <v>0</v>
      </c>
      <c r="M927" t="n">
        <v>0</v>
      </c>
      <c r="N927" t="n">
        <v>0</v>
      </c>
      <c r="O927" t="n">
        <v>0</v>
      </c>
      <c r="P927" t="n">
        <v>0</v>
      </c>
      <c r="Q927" t="n">
        <v>0</v>
      </c>
      <c r="R927" t="n">
        <v>0</v>
      </c>
      <c r="S927" t="n">
        <v>0</v>
      </c>
      <c r="T927" t="n">
        <v>0</v>
      </c>
      <c r="U927" s="2" t="inlineStr"/>
    </row>
    <row r="928" ht="15" customHeight="1">
      <c r="A928" t="inlineStr">
        <is>
          <t>A 36576-2022</t>
        </is>
      </c>
      <c r="B928" t="inlineStr">
        <is>
          <t>avverkningsanmälan</t>
        </is>
      </c>
      <c r="C928" t="inlineStr">
        <is>
          <t>Föryngringsavverkning</t>
        </is>
      </c>
      <c r="D928" s="1" t="n">
        <v>44804</v>
      </c>
      <c r="E928" s="1" t="n">
        <v>46222</v>
      </c>
      <c r="F928" t="inlineStr">
        <is>
          <t>GÄVLEBORGS LÄN</t>
        </is>
      </c>
      <c r="G928" t="inlineStr">
        <is>
          <t>OVANÅKER</t>
        </is>
      </c>
      <c r="I928" t="n">
        <v>4.9</v>
      </c>
      <c r="J928" t="n">
        <v>0</v>
      </c>
      <c r="K928" t="n">
        <v>0</v>
      </c>
      <c r="L928" t="n">
        <v>0</v>
      </c>
      <c r="M928" t="n">
        <v>0</v>
      </c>
      <c r="N928" t="n">
        <v>0</v>
      </c>
      <c r="O928" t="n">
        <v>0</v>
      </c>
      <c r="P928" t="n">
        <v>0</v>
      </c>
      <c r="Q928" t="n">
        <v>0</v>
      </c>
      <c r="R928" t="n">
        <v>0</v>
      </c>
      <c r="S928" t="n">
        <v>0</v>
      </c>
      <c r="T928" t="n">
        <v>0</v>
      </c>
      <c r="U928" s="2" t="inlineStr"/>
    </row>
    <row r="929" ht="15" customHeight="1">
      <c r="A929" t="inlineStr">
        <is>
          <t>A 19090-2026</t>
        </is>
      </c>
      <c r="B929" t="inlineStr">
        <is>
          <t>avverkningsanmälan</t>
        </is>
      </c>
      <c r="C929" t="inlineStr">
        <is>
          <t>Föryngringsavverkning</t>
        </is>
      </c>
      <c r="D929" s="1" t="n">
        <v>46132</v>
      </c>
      <c r="E929" s="1" t="n">
        <v>46222</v>
      </c>
      <c r="F929" t="inlineStr">
        <is>
          <t>GÄVLEBORGS LÄN</t>
        </is>
      </c>
      <c r="G929" t="inlineStr">
        <is>
          <t>OVANÅKER</t>
        </is>
      </c>
      <c r="H929" t="inlineStr">
        <is>
          <t>Bergvik skog öst AB</t>
        </is>
      </c>
      <c r="I929" t="n">
        <v>3</v>
      </c>
      <c r="J929" t="n">
        <v>0</v>
      </c>
      <c r="K929" t="n">
        <v>0</v>
      </c>
      <c r="L929" t="n">
        <v>0</v>
      </c>
      <c r="M929" t="n">
        <v>0</v>
      </c>
      <c r="N929" t="n">
        <v>0</v>
      </c>
      <c r="O929" t="n">
        <v>0</v>
      </c>
      <c r="P929" t="n">
        <v>0</v>
      </c>
      <c r="Q929" t="n">
        <v>0</v>
      </c>
      <c r="R929" t="n">
        <v>0</v>
      </c>
      <c r="S929" t="n">
        <v>0</v>
      </c>
      <c r="T929" t="n">
        <v>0</v>
      </c>
      <c r="U929" s="2" t="inlineStr"/>
    </row>
    <row r="930" ht="15" customHeight="1">
      <c r="A930" t="inlineStr">
        <is>
          <t>A 18102-2026</t>
        </is>
      </c>
      <c r="B930" t="inlineStr">
        <is>
          <t>avverkningsanmälan</t>
        </is>
      </c>
      <c r="C930" t="inlineStr">
        <is>
          <t>Föryngringsavverkning</t>
        </is>
      </c>
      <c r="D930" s="1" t="n">
        <v>46125</v>
      </c>
      <c r="E930" s="1" t="n">
        <v>46222</v>
      </c>
      <c r="F930" t="inlineStr">
        <is>
          <t>GÄVLEBORGS LÄN</t>
        </is>
      </c>
      <c r="G930" t="inlineStr">
        <is>
          <t>OVANÅKER</t>
        </is>
      </c>
      <c r="I930" t="n">
        <v>6.9</v>
      </c>
      <c r="J930" t="n">
        <v>0</v>
      </c>
      <c r="K930" t="n">
        <v>0</v>
      </c>
      <c r="L930" t="n">
        <v>0</v>
      </c>
      <c r="M930" t="n">
        <v>0</v>
      </c>
      <c r="N930" t="n">
        <v>0</v>
      </c>
      <c r="O930" t="n">
        <v>0</v>
      </c>
      <c r="P930" t="n">
        <v>0</v>
      </c>
      <c r="Q930" t="n">
        <v>0</v>
      </c>
      <c r="R930" t="n">
        <v>0</v>
      </c>
      <c r="S930" t="n">
        <v>0</v>
      </c>
      <c r="T930" t="n">
        <v>0</v>
      </c>
      <c r="U930" s="2" t="inlineStr"/>
    </row>
    <row r="931" ht="15" customHeight="1">
      <c r="A931" t="inlineStr">
        <is>
          <t>A 20712-2026</t>
        </is>
      </c>
      <c r="B931" t="inlineStr">
        <is>
          <t>avverkningsanmälan</t>
        </is>
      </c>
      <c r="C931" t="inlineStr">
        <is>
          <t>Föryngringsavverkning</t>
        </is>
      </c>
      <c r="D931" s="1" t="n">
        <v>46141</v>
      </c>
      <c r="E931" s="1" t="n">
        <v>46222</v>
      </c>
      <c r="F931" t="inlineStr">
        <is>
          <t>GÄVLEBORGS LÄN</t>
        </is>
      </c>
      <c r="G931" t="inlineStr">
        <is>
          <t>OVANÅKER</t>
        </is>
      </c>
      <c r="H931" t="inlineStr">
        <is>
          <t>Bergvik skog väst AB</t>
        </is>
      </c>
      <c r="I931" t="n">
        <v>2.9</v>
      </c>
      <c r="J931" t="n">
        <v>0</v>
      </c>
      <c r="K931" t="n">
        <v>0</v>
      </c>
      <c r="L931" t="n">
        <v>0</v>
      </c>
      <c r="M931" t="n">
        <v>0</v>
      </c>
      <c r="N931" t="n">
        <v>0</v>
      </c>
      <c r="O931" t="n">
        <v>0</v>
      </c>
      <c r="P931" t="n">
        <v>0</v>
      </c>
      <c r="Q931" t="n">
        <v>0</v>
      </c>
      <c r="R931" t="n">
        <v>0</v>
      </c>
      <c r="S931" t="n">
        <v>0</v>
      </c>
      <c r="T931" t="n">
        <v>0</v>
      </c>
      <c r="U931" s="2" t="inlineStr"/>
    </row>
    <row r="932" ht="15" customHeight="1">
      <c r="A932" t="inlineStr">
        <is>
          <t>A 9725-2026</t>
        </is>
      </c>
      <c r="B932" t="inlineStr">
        <is>
          <t>avverkningsanmälan</t>
        </is>
      </c>
      <c r="C932" t="inlineStr">
        <is>
          <t>Föryngringsavverkning</t>
        </is>
      </c>
      <c r="D932" s="1" t="n">
        <v>46072</v>
      </c>
      <c r="E932" s="1" t="n">
        <v>46222</v>
      </c>
      <c r="F932" t="inlineStr">
        <is>
          <t>GÄVLEBORGS LÄN</t>
        </is>
      </c>
      <c r="G932" t="inlineStr">
        <is>
          <t>OVANÅKER</t>
        </is>
      </c>
      <c r="I932" t="n">
        <v>9</v>
      </c>
      <c r="J932" t="n">
        <v>0</v>
      </c>
      <c r="K932" t="n">
        <v>0</v>
      </c>
      <c r="L932" t="n">
        <v>0</v>
      </c>
      <c r="M932" t="n">
        <v>0</v>
      </c>
      <c r="N932" t="n">
        <v>0</v>
      </c>
      <c r="O932" t="n">
        <v>0</v>
      </c>
      <c r="P932" t="n">
        <v>0</v>
      </c>
      <c r="Q932" t="n">
        <v>0</v>
      </c>
      <c r="R932" t="n">
        <v>0</v>
      </c>
      <c r="S932" t="n">
        <v>0</v>
      </c>
      <c r="T932" t="n">
        <v>0</v>
      </c>
      <c r="U932" s="2" t="inlineStr"/>
    </row>
    <row r="933" ht="15" customHeight="1">
      <c r="A933" t="inlineStr">
        <is>
          <t>A 21005-2026</t>
        </is>
      </c>
      <c r="B933" t="inlineStr">
        <is>
          <t>avverkningsanmälan</t>
        </is>
      </c>
      <c r="C933" t="inlineStr">
        <is>
          <t>Föryngringsavverkning</t>
        </is>
      </c>
      <c r="D933" s="1" t="n">
        <v>46142</v>
      </c>
      <c r="E933" s="1" t="n">
        <v>46222</v>
      </c>
      <c r="F933" t="inlineStr">
        <is>
          <t>GÄVLEBORGS LÄN</t>
        </is>
      </c>
      <c r="G933" t="inlineStr">
        <is>
          <t>OVANÅKER</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16255-2026</t>
        </is>
      </c>
      <c r="B934" t="inlineStr">
        <is>
          <t>avverkningsanmälan</t>
        </is>
      </c>
      <c r="C934" t="inlineStr">
        <is>
          <t>Föryngringsavverkning</t>
        </is>
      </c>
      <c r="D934" s="1" t="n">
        <v>46111</v>
      </c>
      <c r="E934" s="1" t="n">
        <v>46222</v>
      </c>
      <c r="F934" t="inlineStr">
        <is>
          <t>GÄVLEBORGS LÄN</t>
        </is>
      </c>
      <c r="G934" t="inlineStr">
        <is>
          <t>OVANÅKER</t>
        </is>
      </c>
      <c r="H934" t="inlineStr">
        <is>
          <t>Bergvik skog öst AB</t>
        </is>
      </c>
      <c r="I934" t="n">
        <v>4.4</v>
      </c>
      <c r="J934" t="n">
        <v>0</v>
      </c>
      <c r="K934" t="n">
        <v>0</v>
      </c>
      <c r="L934" t="n">
        <v>0</v>
      </c>
      <c r="M934" t="n">
        <v>0</v>
      </c>
      <c r="N934" t="n">
        <v>0</v>
      </c>
      <c r="O934" t="n">
        <v>0</v>
      </c>
      <c r="P934" t="n">
        <v>0</v>
      </c>
      <c r="Q934" t="n">
        <v>0</v>
      </c>
      <c r="R934" t="n">
        <v>0</v>
      </c>
      <c r="S934" t="n">
        <v>0</v>
      </c>
      <c r="T934" t="n">
        <v>0</v>
      </c>
      <c r="U934" s="2" t="inlineStr"/>
    </row>
    <row r="935" ht="15" customHeight="1">
      <c r="A935" t="inlineStr">
        <is>
          <t>A 14889-2026</t>
        </is>
      </c>
      <c r="B935" t="inlineStr">
        <is>
          <t>avverkningsanmälan</t>
        </is>
      </c>
      <c r="C935" t="inlineStr">
        <is>
          <t>Föryngringsavverkning</t>
        </is>
      </c>
      <c r="D935" s="1" t="n">
        <v>46104</v>
      </c>
      <c r="E935" s="1" t="n">
        <v>46222</v>
      </c>
      <c r="F935" t="inlineStr">
        <is>
          <t>GÄVLEBORGS LÄN</t>
        </is>
      </c>
      <c r="G935" t="inlineStr">
        <is>
          <t>OVANÅKER</t>
        </is>
      </c>
      <c r="I935" t="n">
        <v>1</v>
      </c>
      <c r="J935" t="n">
        <v>0</v>
      </c>
      <c r="K935" t="n">
        <v>0</v>
      </c>
      <c r="L935" t="n">
        <v>0</v>
      </c>
      <c r="M935" t="n">
        <v>0</v>
      </c>
      <c r="N935" t="n">
        <v>0</v>
      </c>
      <c r="O935" t="n">
        <v>0</v>
      </c>
      <c r="P935" t="n">
        <v>0</v>
      </c>
      <c r="Q935" t="n">
        <v>0</v>
      </c>
      <c r="R935" t="n">
        <v>0</v>
      </c>
      <c r="S935" t="n">
        <v>0</v>
      </c>
      <c r="T935" t="n">
        <v>0</v>
      </c>
      <c r="U935" s="2" t="inlineStr"/>
    </row>
    <row r="936" ht="15" customHeight="1">
      <c r="A936" t="inlineStr">
        <is>
          <t>A 26609-2026</t>
        </is>
      </c>
      <c r="B936" t="inlineStr">
        <is>
          <t>avverkningsanmälan</t>
        </is>
      </c>
      <c r="C936" t="inlineStr">
        <is>
          <t>Föryngringsavverkning</t>
        </is>
      </c>
      <c r="D936" s="1" t="n">
        <v>46184</v>
      </c>
      <c r="E936" s="1" t="n">
        <v>46222</v>
      </c>
      <c r="F936" t="inlineStr">
        <is>
          <t>GÄVLEBORGS LÄN</t>
        </is>
      </c>
      <c r="G936" t="inlineStr">
        <is>
          <t>OVANÅKER</t>
        </is>
      </c>
      <c r="I936" t="n">
        <v>1.7</v>
      </c>
      <c r="J936" t="n">
        <v>0</v>
      </c>
      <c r="K936" t="n">
        <v>0</v>
      </c>
      <c r="L936" t="n">
        <v>0</v>
      </c>
      <c r="M936" t="n">
        <v>0</v>
      </c>
      <c r="N936" t="n">
        <v>0</v>
      </c>
      <c r="O936" t="n">
        <v>0</v>
      </c>
      <c r="P936" t="n">
        <v>0</v>
      </c>
      <c r="Q936" t="n">
        <v>0</v>
      </c>
      <c r="R936" t="n">
        <v>0</v>
      </c>
      <c r="S936" t="n">
        <v>0</v>
      </c>
      <c r="T936" t="n">
        <v>0</v>
      </c>
      <c r="U936" s="2" t="inlineStr"/>
    </row>
    <row r="937" ht="15" customHeight="1">
      <c r="A937" t="inlineStr">
        <is>
          <t>A 20892-2026</t>
        </is>
      </c>
      <c r="B937" t="inlineStr">
        <is>
          <t>avverkningsanmälan</t>
        </is>
      </c>
      <c r="C937" t="inlineStr">
        <is>
          <t>Föryngringsavverkning</t>
        </is>
      </c>
      <c r="D937" s="1" t="n">
        <v>46142</v>
      </c>
      <c r="E937" s="1" t="n">
        <v>46222</v>
      </c>
      <c r="F937" t="inlineStr">
        <is>
          <t>GÄVLEBORGS LÄN</t>
        </is>
      </c>
      <c r="G937" t="inlineStr">
        <is>
          <t>OVANÅKER</t>
        </is>
      </c>
      <c r="H937" t="inlineStr">
        <is>
          <t>Bergvik skog väst AB</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20621-2026</t>
        </is>
      </c>
      <c r="B938" t="inlineStr">
        <is>
          <t>avverkningsanmälan</t>
        </is>
      </c>
      <c r="C938" t="inlineStr">
        <is>
          <t>Föryngringsavverkning</t>
        </is>
      </c>
      <c r="D938" s="1" t="n">
        <v>46141</v>
      </c>
      <c r="E938" s="1" t="n">
        <v>46222</v>
      </c>
      <c r="F938" t="inlineStr">
        <is>
          <t>GÄVLEBORGS LÄN</t>
        </is>
      </c>
      <c r="G938" t="inlineStr">
        <is>
          <t>OVANÅKER</t>
        </is>
      </c>
      <c r="I938" t="n">
        <v>1.9</v>
      </c>
      <c r="J938" t="n">
        <v>0</v>
      </c>
      <c r="K938" t="n">
        <v>0</v>
      </c>
      <c r="L938" t="n">
        <v>0</v>
      </c>
      <c r="M938" t="n">
        <v>0</v>
      </c>
      <c r="N938" t="n">
        <v>0</v>
      </c>
      <c r="O938" t="n">
        <v>0</v>
      </c>
      <c r="P938" t="n">
        <v>0</v>
      </c>
      <c r="Q938" t="n">
        <v>0</v>
      </c>
      <c r="R938" t="n">
        <v>0</v>
      </c>
      <c r="S938" t="n">
        <v>0</v>
      </c>
      <c r="T938" t="n">
        <v>0</v>
      </c>
      <c r="U938" s="2" t="inlineStr"/>
    </row>
    <row r="939" ht="15" customHeight="1">
      <c r="A939" t="inlineStr">
        <is>
          <t>A 55423-2023</t>
        </is>
      </c>
      <c r="B939" t="inlineStr">
        <is>
          <t>avverkningsanmälan</t>
        </is>
      </c>
      <c r="C939" t="inlineStr">
        <is>
          <t>Föryngringsavverkning</t>
        </is>
      </c>
      <c r="D939" s="1" t="n">
        <v>45238</v>
      </c>
      <c r="E939" s="1" t="n">
        <v>46222</v>
      </c>
      <c r="F939" t="inlineStr">
        <is>
          <t>GÄVLEBORGS LÄN</t>
        </is>
      </c>
      <c r="G939" t="inlineStr">
        <is>
          <t>OVANÅKER</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12034-2026</t>
        </is>
      </c>
      <c r="B940" t="inlineStr">
        <is>
          <t>avverkningsanmälan</t>
        </is>
      </c>
      <c r="C940" t="inlineStr">
        <is>
          <t>Föryngringsavverkning</t>
        </is>
      </c>
      <c r="D940" s="1" t="n">
        <v>46086</v>
      </c>
      <c r="E940" s="1" t="n">
        <v>46222</v>
      </c>
      <c r="F940" t="inlineStr">
        <is>
          <t>GÄVLEBORGS LÄN</t>
        </is>
      </c>
      <c r="G940" t="inlineStr">
        <is>
          <t>OVANÅKER</t>
        </is>
      </c>
      <c r="I940" t="n">
        <v>2</v>
      </c>
      <c r="J940" t="n">
        <v>0</v>
      </c>
      <c r="K940" t="n">
        <v>0</v>
      </c>
      <c r="L940" t="n">
        <v>0</v>
      </c>
      <c r="M940" t="n">
        <v>0</v>
      </c>
      <c r="N940" t="n">
        <v>0</v>
      </c>
      <c r="O940" t="n">
        <v>0</v>
      </c>
      <c r="P940" t="n">
        <v>0</v>
      </c>
      <c r="Q940" t="n">
        <v>0</v>
      </c>
      <c r="R940" t="n">
        <v>0</v>
      </c>
      <c r="S940" t="n">
        <v>0</v>
      </c>
      <c r="T940" t="n">
        <v>0</v>
      </c>
      <c r="U940" s="2" t="inlineStr"/>
    </row>
    <row r="941" ht="15" customHeight="1">
      <c r="A941" t="inlineStr">
        <is>
          <t>A 11198-2026</t>
        </is>
      </c>
      <c r="B941" t="inlineStr">
        <is>
          <t>avverkningsanmälan</t>
        </is>
      </c>
      <c r="C941" t="inlineStr">
        <is>
          <t>Föryngringsavverkning</t>
        </is>
      </c>
      <c r="D941" s="1" t="n">
        <v>46080</v>
      </c>
      <c r="E941" s="1" t="n">
        <v>46222</v>
      </c>
      <c r="F941" t="inlineStr">
        <is>
          <t>GÄVLEBORGS LÄN</t>
        </is>
      </c>
      <c r="G941" t="inlineStr">
        <is>
          <t>OVANÅKER</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3168-2026</t>
        </is>
      </c>
      <c r="B942" t="inlineStr">
        <is>
          <t>avverkningsanmälan</t>
        </is>
      </c>
      <c r="C942" t="inlineStr">
        <is>
          <t>Föryngringsavverkning</t>
        </is>
      </c>
      <c r="D942" s="1" t="n">
        <v>46041</v>
      </c>
      <c r="E942" s="1" t="n">
        <v>46222</v>
      </c>
      <c r="F942" t="inlineStr">
        <is>
          <t>GÄVLEBORGS LÄN</t>
        </is>
      </c>
      <c r="G942" t="inlineStr">
        <is>
          <t>OVANÅKER</t>
        </is>
      </c>
      <c r="I942" t="n">
        <v>6.7</v>
      </c>
      <c r="J942" t="n">
        <v>0</v>
      </c>
      <c r="K942" t="n">
        <v>0</v>
      </c>
      <c r="L942" t="n">
        <v>0</v>
      </c>
      <c r="M942" t="n">
        <v>0</v>
      </c>
      <c r="N942" t="n">
        <v>0</v>
      </c>
      <c r="O942" t="n">
        <v>0</v>
      </c>
      <c r="P942" t="n">
        <v>0</v>
      </c>
      <c r="Q942" t="n">
        <v>0</v>
      </c>
      <c r="R942" t="n">
        <v>0</v>
      </c>
      <c r="S942" t="n">
        <v>0</v>
      </c>
      <c r="T942" t="n">
        <v>0</v>
      </c>
      <c r="U942" s="2" t="inlineStr"/>
    </row>
    <row r="943" ht="15" customHeight="1">
      <c r="A943" t="inlineStr">
        <is>
          <t>A 7894-2026</t>
        </is>
      </c>
      <c r="B943" t="inlineStr">
        <is>
          <t>avverkningsanmälan</t>
        </is>
      </c>
      <c r="C943" t="inlineStr">
        <is>
          <t>Föryngringsavverkning</t>
        </is>
      </c>
      <c r="D943" s="1" t="n">
        <v>46063</v>
      </c>
      <c r="E943" s="1" t="n">
        <v>46222</v>
      </c>
      <c r="F943" t="inlineStr">
        <is>
          <t>GÄVLEBORGS LÄN</t>
        </is>
      </c>
      <c r="G943" t="inlineStr">
        <is>
          <t>OVANÅKER</t>
        </is>
      </c>
      <c r="I943" t="n">
        <v>12.1</v>
      </c>
      <c r="J943" t="n">
        <v>0</v>
      </c>
      <c r="K943" t="n">
        <v>0</v>
      </c>
      <c r="L943" t="n">
        <v>0</v>
      </c>
      <c r="M943" t="n">
        <v>0</v>
      </c>
      <c r="N943" t="n">
        <v>0</v>
      </c>
      <c r="O943" t="n">
        <v>0</v>
      </c>
      <c r="P943" t="n">
        <v>0</v>
      </c>
      <c r="Q943" t="n">
        <v>0</v>
      </c>
      <c r="R943" t="n">
        <v>0</v>
      </c>
      <c r="S943" t="n">
        <v>0</v>
      </c>
      <c r="T943" t="n">
        <v>0</v>
      </c>
      <c r="U943" s="2" t="inlineStr"/>
    </row>
    <row r="944" ht="15" customHeight="1">
      <c r="A944" t="inlineStr">
        <is>
          <t>A 8738-2026</t>
        </is>
      </c>
      <c r="B944" t="inlineStr">
        <is>
          <t>avverkningsanmälan</t>
        </is>
      </c>
      <c r="C944" t="inlineStr">
        <is>
          <t>Föryngringsavverkning</t>
        </is>
      </c>
      <c r="D944" s="1" t="n">
        <v>46066</v>
      </c>
      <c r="E944" s="1" t="n">
        <v>46222</v>
      </c>
      <c r="F944" t="inlineStr">
        <is>
          <t>GÄVLEBORGS LÄN</t>
        </is>
      </c>
      <c r="G944" t="inlineStr">
        <is>
          <t>OVANÅKER</t>
        </is>
      </c>
      <c r="I944" t="n">
        <v>3.7</v>
      </c>
      <c r="J944" t="n">
        <v>0</v>
      </c>
      <c r="K944" t="n">
        <v>0</v>
      </c>
      <c r="L944" t="n">
        <v>0</v>
      </c>
      <c r="M944" t="n">
        <v>0</v>
      </c>
      <c r="N944" t="n">
        <v>0</v>
      </c>
      <c r="O944" t="n">
        <v>0</v>
      </c>
      <c r="P944" t="n">
        <v>0</v>
      </c>
      <c r="Q944" t="n">
        <v>0</v>
      </c>
      <c r="R944" t="n">
        <v>0</v>
      </c>
      <c r="S944" t="n">
        <v>0</v>
      </c>
      <c r="T944" t="n">
        <v>0</v>
      </c>
      <c r="U944" s="2" t="inlineStr"/>
    </row>
    <row r="945" ht="15" customHeight="1">
      <c r="A945" t="inlineStr">
        <is>
          <t>A 42685-2022</t>
        </is>
      </c>
      <c r="B945" t="inlineStr">
        <is>
          <t>avverkningsanmälan</t>
        </is>
      </c>
      <c r="C945" t="inlineStr">
        <is>
          <t>Föryngringsavverkning</t>
        </is>
      </c>
      <c r="D945" s="1" t="n">
        <v>44832</v>
      </c>
      <c r="E945" s="1" t="n">
        <v>46222</v>
      </c>
      <c r="F945" t="inlineStr">
        <is>
          <t>GÄVLEBORGS LÄN</t>
        </is>
      </c>
      <c r="G945" t="inlineStr">
        <is>
          <t>OVANÅKER</t>
        </is>
      </c>
      <c r="I945" t="n">
        <v>7.2</v>
      </c>
      <c r="J945" t="n">
        <v>0</v>
      </c>
      <c r="K945" t="n">
        <v>0</v>
      </c>
      <c r="L945" t="n">
        <v>0</v>
      </c>
      <c r="M945" t="n">
        <v>0</v>
      </c>
      <c r="N945" t="n">
        <v>0</v>
      </c>
      <c r="O945" t="n">
        <v>0</v>
      </c>
      <c r="P945" t="n">
        <v>0</v>
      </c>
      <c r="Q945" t="n">
        <v>0</v>
      </c>
      <c r="R945" t="n">
        <v>0</v>
      </c>
      <c r="S945" t="n">
        <v>0</v>
      </c>
      <c r="T945" t="n">
        <v>0</v>
      </c>
      <c r="U945" s="2" t="inlineStr"/>
    </row>
    <row r="946" ht="15" customHeight="1">
      <c r="A946" t="inlineStr">
        <is>
          <t>A 1292-2026</t>
        </is>
      </c>
      <c r="B946" t="inlineStr">
        <is>
          <t>avverkningsanmälan</t>
        </is>
      </c>
      <c r="C946" t="inlineStr">
        <is>
          <t>Föryngringsavverkning</t>
        </is>
      </c>
      <c r="D946" s="1" t="n">
        <v>46031</v>
      </c>
      <c r="E946" s="1" t="n">
        <v>46222</v>
      </c>
      <c r="F946" t="inlineStr">
        <is>
          <t>GÄVLEBORGS LÄN</t>
        </is>
      </c>
      <c r="G946" t="inlineStr">
        <is>
          <t>OVANÅKER</t>
        </is>
      </c>
      <c r="I946" t="n">
        <v>7.8</v>
      </c>
      <c r="J946" t="n">
        <v>0</v>
      </c>
      <c r="K946" t="n">
        <v>0</v>
      </c>
      <c r="L946" t="n">
        <v>0</v>
      </c>
      <c r="M946" t="n">
        <v>0</v>
      </c>
      <c r="N946" t="n">
        <v>0</v>
      </c>
      <c r="O946" t="n">
        <v>0</v>
      </c>
      <c r="P946" t="n">
        <v>0</v>
      </c>
      <c r="Q946" t="n">
        <v>0</v>
      </c>
      <c r="R946" t="n">
        <v>0</v>
      </c>
      <c r="S946" t="n">
        <v>0</v>
      </c>
      <c r="T946" t="n">
        <v>0</v>
      </c>
      <c r="U946" s="2" t="inlineStr"/>
    </row>
    <row r="947" ht="15" customHeight="1">
      <c r="A947" t="inlineStr">
        <is>
          <t>A 5463-2026</t>
        </is>
      </c>
      <c r="B947" t="inlineStr">
        <is>
          <t>avverkningsanmälan</t>
        </is>
      </c>
      <c r="C947" t="inlineStr">
        <is>
          <t>Föryngringsavverkning</t>
        </is>
      </c>
      <c r="D947" s="1" t="n">
        <v>46050</v>
      </c>
      <c r="E947" s="1" t="n">
        <v>46222</v>
      </c>
      <c r="F947" t="inlineStr">
        <is>
          <t>GÄVLEBORGS LÄN</t>
        </is>
      </c>
      <c r="G947" t="inlineStr">
        <is>
          <t>OVANÅKER</t>
        </is>
      </c>
      <c r="I947" t="n">
        <v>12.4</v>
      </c>
      <c r="J947" t="n">
        <v>0</v>
      </c>
      <c r="K947" t="n">
        <v>0</v>
      </c>
      <c r="L947" t="n">
        <v>0</v>
      </c>
      <c r="M947" t="n">
        <v>0</v>
      </c>
      <c r="N947" t="n">
        <v>0</v>
      </c>
      <c r="O947" t="n">
        <v>0</v>
      </c>
      <c r="P947" t="n">
        <v>0</v>
      </c>
      <c r="Q947" t="n">
        <v>0</v>
      </c>
      <c r="R947" t="n">
        <v>0</v>
      </c>
      <c r="S947" t="n">
        <v>0</v>
      </c>
      <c r="T947" t="n">
        <v>0</v>
      </c>
      <c r="U947" s="2" t="inlineStr"/>
    </row>
    <row r="948" ht="15" customHeight="1">
      <c r="A948" t="inlineStr">
        <is>
          <t>A 11811-2026</t>
        </is>
      </c>
      <c r="B948" t="inlineStr">
        <is>
          <t>avverkningsanmälan</t>
        </is>
      </c>
      <c r="C948" t="inlineStr">
        <is>
          <t>Föryngringsavverkning</t>
        </is>
      </c>
      <c r="D948" s="1" t="n">
        <v>46085</v>
      </c>
      <c r="E948" s="1" t="n">
        <v>46222</v>
      </c>
      <c r="F948" t="inlineStr">
        <is>
          <t>GÄVLEBORGS LÄN</t>
        </is>
      </c>
      <c r="G948" t="inlineStr">
        <is>
          <t>OVANÅKER</t>
        </is>
      </c>
      <c r="H948" t="inlineStr">
        <is>
          <t>Bergvik skog väst AB</t>
        </is>
      </c>
      <c r="I948" t="n">
        <v>0.9</v>
      </c>
      <c r="J948" t="n">
        <v>0</v>
      </c>
      <c r="K948" t="n">
        <v>0</v>
      </c>
      <c r="L948" t="n">
        <v>0</v>
      </c>
      <c r="M948" t="n">
        <v>0</v>
      </c>
      <c r="N948" t="n">
        <v>0</v>
      </c>
      <c r="O948" t="n">
        <v>0</v>
      </c>
      <c r="P948" t="n">
        <v>0</v>
      </c>
      <c r="Q948" t="n">
        <v>0</v>
      </c>
      <c r="R948" t="n">
        <v>0</v>
      </c>
      <c r="S948" t="n">
        <v>0</v>
      </c>
      <c r="T948" t="n">
        <v>0</v>
      </c>
      <c r="U948" s="2" t="inlineStr"/>
    </row>
    <row r="949" ht="15" customHeight="1">
      <c r="A949" t="inlineStr">
        <is>
          <t>A 26430-2026</t>
        </is>
      </c>
      <c r="B949" t="inlineStr">
        <is>
          <t>avverkningsanmälan</t>
        </is>
      </c>
      <c r="C949" t="inlineStr">
        <is>
          <t>Föryngringsavverkning</t>
        </is>
      </c>
      <c r="D949" s="1" t="n">
        <v>46183</v>
      </c>
      <c r="E949" s="1" t="n">
        <v>46222</v>
      </c>
      <c r="F949" t="inlineStr">
        <is>
          <t>GÄVLEBORGS LÄN</t>
        </is>
      </c>
      <c r="G949" t="inlineStr">
        <is>
          <t>OVANÅKER</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18085-2026</t>
        </is>
      </c>
      <c r="B950" t="inlineStr">
        <is>
          <t>avverkningsanmälan</t>
        </is>
      </c>
      <c r="C950" t="inlineStr">
        <is>
          <t>Föryngringsavverkning</t>
        </is>
      </c>
      <c r="D950" s="1" t="n">
        <v>46125</v>
      </c>
      <c r="E950" s="1" t="n">
        <v>46222</v>
      </c>
      <c r="F950" t="inlineStr">
        <is>
          <t>GÄVLEBORGS LÄN</t>
        </is>
      </c>
      <c r="G950" t="inlineStr">
        <is>
          <t>OVANÅKER</t>
        </is>
      </c>
      <c r="I950" t="n">
        <v>2.3</v>
      </c>
      <c r="J950" t="n">
        <v>0</v>
      </c>
      <c r="K950" t="n">
        <v>0</v>
      </c>
      <c r="L950" t="n">
        <v>0</v>
      </c>
      <c r="M950" t="n">
        <v>0</v>
      </c>
      <c r="N950" t="n">
        <v>0</v>
      </c>
      <c r="O950" t="n">
        <v>0</v>
      </c>
      <c r="P950" t="n">
        <v>0</v>
      </c>
      <c r="Q950" t="n">
        <v>0</v>
      </c>
      <c r="R950" t="n">
        <v>0</v>
      </c>
      <c r="S950" t="n">
        <v>0</v>
      </c>
      <c r="T950" t="n">
        <v>0</v>
      </c>
      <c r="U950" s="2" t="inlineStr"/>
    </row>
    <row r="951" ht="15" customHeight="1">
      <c r="A951" t="inlineStr">
        <is>
          <t>A 20730-2026</t>
        </is>
      </c>
      <c r="B951" t="inlineStr">
        <is>
          <t>avverkningsanmälan</t>
        </is>
      </c>
      <c r="C951" t="inlineStr">
        <is>
          <t>Föryngringsavverkning</t>
        </is>
      </c>
      <c r="D951" s="1" t="n">
        <v>46141</v>
      </c>
      <c r="E951" s="1" t="n">
        <v>46222</v>
      </c>
      <c r="F951" t="inlineStr">
        <is>
          <t>GÄVLEBORGS LÄN</t>
        </is>
      </c>
      <c r="G951" t="inlineStr">
        <is>
          <t>OVANÅKER</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26708-2026</t>
        </is>
      </c>
      <c r="B952" t="inlineStr">
        <is>
          <t>avverkningsanmälan</t>
        </is>
      </c>
      <c r="C952" t="inlineStr">
        <is>
          <t>Föryngringsavverkning</t>
        </is>
      </c>
      <c r="D952" s="1" t="n">
        <v>46184</v>
      </c>
      <c r="E952" s="1" t="n">
        <v>46222</v>
      </c>
      <c r="F952" t="inlineStr">
        <is>
          <t>GÄVLEBORGS LÄN</t>
        </is>
      </c>
      <c r="G952" t="inlineStr">
        <is>
          <t>OVANÅKER</t>
        </is>
      </c>
      <c r="I952" t="n">
        <v>9.9</v>
      </c>
      <c r="J952" t="n">
        <v>0</v>
      </c>
      <c r="K952" t="n">
        <v>0</v>
      </c>
      <c r="L952" t="n">
        <v>0</v>
      </c>
      <c r="M952" t="n">
        <v>0</v>
      </c>
      <c r="N952" t="n">
        <v>0</v>
      </c>
      <c r="O952" t="n">
        <v>0</v>
      </c>
      <c r="P952" t="n">
        <v>0</v>
      </c>
      <c r="Q952" t="n">
        <v>0</v>
      </c>
      <c r="R952" t="n">
        <v>0</v>
      </c>
      <c r="S952" t="n">
        <v>0</v>
      </c>
      <c r="T952" t="n">
        <v>0</v>
      </c>
      <c r="U952" s="2" t="inlineStr"/>
    </row>
    <row r="953" ht="15" customHeight="1">
      <c r="A953" t="inlineStr">
        <is>
          <t>A 12071-2026</t>
        </is>
      </c>
      <c r="B953" t="inlineStr">
        <is>
          <t>avverkningsanmälan</t>
        </is>
      </c>
      <c r="C953" t="inlineStr">
        <is>
          <t>Föryngringsavverkning</t>
        </is>
      </c>
      <c r="D953" s="1" t="n">
        <v>46086</v>
      </c>
      <c r="E953" s="1" t="n">
        <v>46222</v>
      </c>
      <c r="F953" t="inlineStr">
        <is>
          <t>GÄVLEBORGS LÄN</t>
        </is>
      </c>
      <c r="G953" t="inlineStr">
        <is>
          <t>OVANÅKER</t>
        </is>
      </c>
      <c r="H953" t="inlineStr">
        <is>
          <t>Bergvik skog öst AB</t>
        </is>
      </c>
      <c r="I953" t="n">
        <v>9.5</v>
      </c>
      <c r="J953" t="n">
        <v>0</v>
      </c>
      <c r="K953" t="n">
        <v>0</v>
      </c>
      <c r="L953" t="n">
        <v>0</v>
      </c>
      <c r="M953" t="n">
        <v>0</v>
      </c>
      <c r="N953" t="n">
        <v>0</v>
      </c>
      <c r="O953" t="n">
        <v>0</v>
      </c>
      <c r="P953" t="n">
        <v>0</v>
      </c>
      <c r="Q953" t="n">
        <v>0</v>
      </c>
      <c r="R953" t="n">
        <v>0</v>
      </c>
      <c r="S953" t="n">
        <v>0</v>
      </c>
      <c r="T953" t="n">
        <v>0</v>
      </c>
      <c r="U953" s="2" t="inlineStr"/>
    </row>
    <row r="954" ht="15" customHeight="1">
      <c r="A954" t="inlineStr">
        <is>
          <t>A 19330-2026</t>
        </is>
      </c>
      <c r="B954" t="inlineStr">
        <is>
          <t>avverkningsanmälan</t>
        </is>
      </c>
      <c r="C954" t="inlineStr">
        <is>
          <t>Föryngringsavverkning</t>
        </is>
      </c>
      <c r="D954" s="1" t="n">
        <v>46133</v>
      </c>
      <c r="E954" s="1" t="n">
        <v>46222</v>
      </c>
      <c r="F954" t="inlineStr">
        <is>
          <t>GÄVLEBORGS LÄN</t>
        </is>
      </c>
      <c r="G954" t="inlineStr">
        <is>
          <t>OVANÅKER</t>
        </is>
      </c>
      <c r="H954" t="inlineStr">
        <is>
          <t>Bergvik skog öst AB</t>
        </is>
      </c>
      <c r="I954" t="n">
        <v>4.7</v>
      </c>
      <c r="J954" t="n">
        <v>0</v>
      </c>
      <c r="K954" t="n">
        <v>0</v>
      </c>
      <c r="L954" t="n">
        <v>0</v>
      </c>
      <c r="M954" t="n">
        <v>0</v>
      </c>
      <c r="N954" t="n">
        <v>0</v>
      </c>
      <c r="O954" t="n">
        <v>0</v>
      </c>
      <c r="P954" t="n">
        <v>0</v>
      </c>
      <c r="Q954" t="n">
        <v>0</v>
      </c>
      <c r="R954" t="n">
        <v>0</v>
      </c>
      <c r="S954" t="n">
        <v>0</v>
      </c>
      <c r="T954" t="n">
        <v>0</v>
      </c>
      <c r="U954" s="2" t="inlineStr"/>
    </row>
    <row r="955" ht="15" customHeight="1">
      <c r="A955" t="inlineStr">
        <is>
          <t>A 19481-2026</t>
        </is>
      </c>
      <c r="B955" t="inlineStr">
        <is>
          <t>avverkningsanmälan</t>
        </is>
      </c>
      <c r="C955" t="inlineStr">
        <is>
          <t>Föryngringsavverkning</t>
        </is>
      </c>
      <c r="D955" s="1" t="n">
        <v>46134</v>
      </c>
      <c r="E955" s="1" t="n">
        <v>46222</v>
      </c>
      <c r="F955" t="inlineStr">
        <is>
          <t>GÄVLEBORGS LÄN</t>
        </is>
      </c>
      <c r="G955" t="inlineStr">
        <is>
          <t>OVANÅKER</t>
        </is>
      </c>
      <c r="H955" t="inlineStr">
        <is>
          <t>Bergvik skog öst AB</t>
        </is>
      </c>
      <c r="I955" t="n">
        <v>3.4</v>
      </c>
      <c r="J955" t="n">
        <v>0</v>
      </c>
      <c r="K955" t="n">
        <v>0</v>
      </c>
      <c r="L955" t="n">
        <v>0</v>
      </c>
      <c r="M955" t="n">
        <v>0</v>
      </c>
      <c r="N955" t="n">
        <v>0</v>
      </c>
      <c r="O955" t="n">
        <v>0</v>
      </c>
      <c r="P955" t="n">
        <v>0</v>
      </c>
      <c r="Q955" t="n">
        <v>0</v>
      </c>
      <c r="R955" t="n">
        <v>0</v>
      </c>
      <c r="S955" t="n">
        <v>0</v>
      </c>
      <c r="T955" t="n">
        <v>0</v>
      </c>
      <c r="U955" s="2" t="inlineStr"/>
    </row>
    <row r="956" ht="15" customHeight="1">
      <c r="A956" t="inlineStr">
        <is>
          <t>A 17942-2026</t>
        </is>
      </c>
      <c r="B956" t="inlineStr">
        <is>
          <t>avverkningsanmälan</t>
        </is>
      </c>
      <c r="C956" t="inlineStr">
        <is>
          <t>Föryngringsavverkning</t>
        </is>
      </c>
      <c r="D956" s="1" t="n">
        <v>46122</v>
      </c>
      <c r="E956" s="1" t="n">
        <v>46222</v>
      </c>
      <c r="F956" t="inlineStr">
        <is>
          <t>GÄVLEBORGS LÄN</t>
        </is>
      </c>
      <c r="G956" t="inlineStr">
        <is>
          <t>OVANÅKER</t>
        </is>
      </c>
      <c r="H956" t="inlineStr">
        <is>
          <t>Bergvik skog öst AB</t>
        </is>
      </c>
      <c r="I956" t="n">
        <v>0.6</v>
      </c>
      <c r="J956" t="n">
        <v>0</v>
      </c>
      <c r="K956" t="n">
        <v>0</v>
      </c>
      <c r="L956" t="n">
        <v>0</v>
      </c>
      <c r="M956" t="n">
        <v>0</v>
      </c>
      <c r="N956" t="n">
        <v>0</v>
      </c>
      <c r="O956" t="n">
        <v>0</v>
      </c>
      <c r="P956" t="n">
        <v>0</v>
      </c>
      <c r="Q956" t="n">
        <v>0</v>
      </c>
      <c r="R956" t="n">
        <v>0</v>
      </c>
      <c r="S956" t="n">
        <v>0</v>
      </c>
      <c r="T956" t="n">
        <v>0</v>
      </c>
      <c r="U956" s="2" t="inlineStr"/>
    </row>
    <row r="957" ht="15" customHeight="1">
      <c r="A957" t="inlineStr">
        <is>
          <t>A 27104-2026</t>
        </is>
      </c>
      <c r="B957" t="inlineStr">
        <is>
          <t>avverkningsanmälan</t>
        </is>
      </c>
      <c r="C957" t="inlineStr">
        <is>
          <t>Föryngringsavverkning</t>
        </is>
      </c>
      <c r="D957" s="1" t="n">
        <v>46188</v>
      </c>
      <c r="E957" s="1" t="n">
        <v>46222</v>
      </c>
      <c r="F957" t="inlineStr">
        <is>
          <t>GÄVLEBORGS LÄN</t>
        </is>
      </c>
      <c r="G957" t="inlineStr">
        <is>
          <t>OVANÅKER</t>
        </is>
      </c>
      <c r="I957" t="n">
        <v>1.3</v>
      </c>
      <c r="J957" t="n">
        <v>0</v>
      </c>
      <c r="K957" t="n">
        <v>0</v>
      </c>
      <c r="L957" t="n">
        <v>0</v>
      </c>
      <c r="M957" t="n">
        <v>0</v>
      </c>
      <c r="N957" t="n">
        <v>0</v>
      </c>
      <c r="O957" t="n">
        <v>0</v>
      </c>
      <c r="P957" t="n">
        <v>0</v>
      </c>
      <c r="Q957" t="n">
        <v>0</v>
      </c>
      <c r="R957" t="n">
        <v>0</v>
      </c>
      <c r="S957" t="n">
        <v>0</v>
      </c>
      <c r="T957" t="n">
        <v>0</v>
      </c>
      <c r="U957" s="2" t="inlineStr"/>
    </row>
    <row r="958" ht="15" customHeight="1">
      <c r="A958" t="inlineStr">
        <is>
          <t>A 21048-2026</t>
        </is>
      </c>
      <c r="B958" t="inlineStr">
        <is>
          <t>avverkningsanmälan</t>
        </is>
      </c>
      <c r="C958" t="inlineStr">
        <is>
          <t>Föryngringsavverkning</t>
        </is>
      </c>
      <c r="D958" s="1" t="n">
        <v>46146</v>
      </c>
      <c r="E958" s="1" t="n">
        <v>46222</v>
      </c>
      <c r="F958" t="inlineStr">
        <is>
          <t>GÄVLEBORGS LÄN</t>
        </is>
      </c>
      <c r="G958" t="inlineStr">
        <is>
          <t>OVANÅKER</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31356-2022</t>
        </is>
      </c>
      <c r="B959" t="inlineStr">
        <is>
          <t>avverkningsanmälan</t>
        </is>
      </c>
      <c r="C959" t="inlineStr">
        <is>
          <t>Föryngringsavverkning</t>
        </is>
      </c>
      <c r="D959" s="1" t="n">
        <v>44774</v>
      </c>
      <c r="E959" s="1" t="n">
        <v>46222</v>
      </c>
      <c r="F959" t="inlineStr">
        <is>
          <t>GÄVLEBORGS LÄN</t>
        </is>
      </c>
      <c r="G959" t="inlineStr">
        <is>
          <t>OVANÅKER</t>
        </is>
      </c>
      <c r="H959" t="inlineStr">
        <is>
          <t>Bergvik skog väst AB</t>
        </is>
      </c>
      <c r="I959" t="n">
        <v>5.8</v>
      </c>
      <c r="J959" t="n">
        <v>0</v>
      </c>
      <c r="K959" t="n">
        <v>0</v>
      </c>
      <c r="L959" t="n">
        <v>0</v>
      </c>
      <c r="M959" t="n">
        <v>0</v>
      </c>
      <c r="N959" t="n">
        <v>0</v>
      </c>
      <c r="O959" t="n">
        <v>0</v>
      </c>
      <c r="P959" t="n">
        <v>0</v>
      </c>
      <c r="Q959" t="n">
        <v>0</v>
      </c>
      <c r="R959" t="n">
        <v>0</v>
      </c>
      <c r="S959" t="n">
        <v>0</v>
      </c>
      <c r="T959" t="n">
        <v>0</v>
      </c>
      <c r="U959" s="2" t="inlineStr"/>
    </row>
    <row r="960" ht="15" customHeight="1">
      <c r="A960" t="inlineStr">
        <is>
          <t>A 55992-2022</t>
        </is>
      </c>
      <c r="B960" t="inlineStr">
        <is>
          <t>avverkningsanmälan</t>
        </is>
      </c>
      <c r="C960" t="inlineStr">
        <is>
          <t>Föryngringsavverkning</t>
        </is>
      </c>
      <c r="D960" s="1" t="n">
        <v>44889</v>
      </c>
      <c r="E960" s="1" t="n">
        <v>46222</v>
      </c>
      <c r="F960" t="inlineStr">
        <is>
          <t>GÄVLEBORGS LÄN</t>
        </is>
      </c>
      <c r="G960" t="inlineStr">
        <is>
          <t>OVANÅKER</t>
        </is>
      </c>
      <c r="I960" t="n">
        <v>2.1</v>
      </c>
      <c r="J960" t="n">
        <v>0</v>
      </c>
      <c r="K960" t="n">
        <v>0</v>
      </c>
      <c r="L960" t="n">
        <v>0</v>
      </c>
      <c r="M960" t="n">
        <v>0</v>
      </c>
      <c r="N960" t="n">
        <v>0</v>
      </c>
      <c r="O960" t="n">
        <v>0</v>
      </c>
      <c r="P960" t="n">
        <v>0</v>
      </c>
      <c r="Q960" t="n">
        <v>0</v>
      </c>
      <c r="R960" t="n">
        <v>0</v>
      </c>
      <c r="S960" t="n">
        <v>0</v>
      </c>
      <c r="T960" t="n">
        <v>0</v>
      </c>
      <c r="U960" s="2" t="inlineStr"/>
    </row>
    <row r="961" ht="15" customHeight="1">
      <c r="A961" t="inlineStr">
        <is>
          <t>A 21050-2026</t>
        </is>
      </c>
      <c r="B961" t="inlineStr">
        <is>
          <t>avverkningsanmälan</t>
        </is>
      </c>
      <c r="C961" t="inlineStr">
        <is>
          <t>Föryngringsavverkning</t>
        </is>
      </c>
      <c r="D961" s="1" t="n">
        <v>46146</v>
      </c>
      <c r="E961" s="1" t="n">
        <v>46222</v>
      </c>
      <c r="F961" t="inlineStr">
        <is>
          <t>GÄVLEBORGS LÄN</t>
        </is>
      </c>
      <c r="G961" t="inlineStr">
        <is>
          <t>OVANÅKER</t>
        </is>
      </c>
      <c r="I961" t="n">
        <v>1.6</v>
      </c>
      <c r="J961" t="n">
        <v>0</v>
      </c>
      <c r="K961" t="n">
        <v>0</v>
      </c>
      <c r="L961" t="n">
        <v>0</v>
      </c>
      <c r="M961" t="n">
        <v>0</v>
      </c>
      <c r="N961" t="n">
        <v>0</v>
      </c>
      <c r="O961" t="n">
        <v>0</v>
      </c>
      <c r="P961" t="n">
        <v>0</v>
      </c>
      <c r="Q961" t="n">
        <v>0</v>
      </c>
      <c r="R961" t="n">
        <v>0</v>
      </c>
      <c r="S961" t="n">
        <v>0</v>
      </c>
      <c r="T961" t="n">
        <v>0</v>
      </c>
      <c r="U961" s="2" t="inlineStr"/>
    </row>
    <row r="962" ht="15" customHeight="1">
      <c r="A962" t="inlineStr">
        <is>
          <t>A 31163-2022</t>
        </is>
      </c>
      <c r="B962" t="inlineStr">
        <is>
          <t>avverkningsanmälan</t>
        </is>
      </c>
      <c r="C962" t="inlineStr">
        <is>
          <t>Föryngringsavverkning</t>
        </is>
      </c>
      <c r="D962" s="1" t="n">
        <v>44770</v>
      </c>
      <c r="E962" s="1" t="n">
        <v>46222</v>
      </c>
      <c r="F962" t="inlineStr">
        <is>
          <t>GÄVLEBORGS LÄN</t>
        </is>
      </c>
      <c r="G962" t="inlineStr">
        <is>
          <t>OVANÅKER</t>
        </is>
      </c>
      <c r="H962" t="inlineStr">
        <is>
          <t>Bergvik skog öst AB</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19773-2026</t>
        </is>
      </c>
      <c r="B963" t="inlineStr">
        <is>
          <t>avverkningsanmälan</t>
        </is>
      </c>
      <c r="C963" t="inlineStr">
        <is>
          <t>Föryngringsavverkning</t>
        </is>
      </c>
      <c r="D963" s="1" t="n">
        <v>46135</v>
      </c>
      <c r="E963" s="1" t="n">
        <v>46222</v>
      </c>
      <c r="F963" t="inlineStr">
        <is>
          <t>GÄVLEBORGS LÄN</t>
        </is>
      </c>
      <c r="G963" t="inlineStr">
        <is>
          <t>OVANÅKER</t>
        </is>
      </c>
      <c r="H963" t="inlineStr">
        <is>
          <t>Bergvik skog öst AB</t>
        </is>
      </c>
      <c r="I963" t="n">
        <v>4.5</v>
      </c>
      <c r="J963" t="n">
        <v>0</v>
      </c>
      <c r="K963" t="n">
        <v>0</v>
      </c>
      <c r="L963" t="n">
        <v>0</v>
      </c>
      <c r="M963" t="n">
        <v>0</v>
      </c>
      <c r="N963" t="n">
        <v>0</v>
      </c>
      <c r="O963" t="n">
        <v>0</v>
      </c>
      <c r="P963" t="n">
        <v>0</v>
      </c>
      <c r="Q963" t="n">
        <v>0</v>
      </c>
      <c r="R963" t="n">
        <v>0</v>
      </c>
      <c r="S963" t="n">
        <v>0</v>
      </c>
      <c r="T963" t="n">
        <v>0</v>
      </c>
      <c r="U963" s="2" t="inlineStr"/>
    </row>
    <row r="964" ht="15" customHeight="1">
      <c r="A964" t="inlineStr">
        <is>
          <t>A 19802-2026</t>
        </is>
      </c>
      <c r="B964" t="inlineStr">
        <is>
          <t>avverkningsanmälan</t>
        </is>
      </c>
      <c r="C964" t="inlineStr">
        <is>
          <t>Föryngringsavverkning</t>
        </is>
      </c>
      <c r="D964" s="1" t="n">
        <v>46135</v>
      </c>
      <c r="E964" s="1" t="n">
        <v>46222</v>
      </c>
      <c r="F964" t="inlineStr">
        <is>
          <t>GÄVLEBORGS LÄN</t>
        </is>
      </c>
      <c r="G964" t="inlineStr">
        <is>
          <t>OVANÅKER</t>
        </is>
      </c>
      <c r="H964" t="inlineStr">
        <is>
          <t>Bergvik skog öst AB</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18785-2026</t>
        </is>
      </c>
      <c r="B965" t="inlineStr">
        <is>
          <t>avverkningsanmälan</t>
        </is>
      </c>
      <c r="C965" t="inlineStr">
        <is>
          <t>Föryngringsavverkning</t>
        </is>
      </c>
      <c r="D965" s="1" t="n">
        <v>46128</v>
      </c>
      <c r="E965" s="1" t="n">
        <v>46222</v>
      </c>
      <c r="F965" t="inlineStr">
        <is>
          <t>GÄVLEBORGS LÄN</t>
        </is>
      </c>
      <c r="G965" t="inlineStr">
        <is>
          <t>OVANÅKER</t>
        </is>
      </c>
      <c r="H965" t="inlineStr">
        <is>
          <t>Bergvik skog öst AB</t>
        </is>
      </c>
      <c r="I965" t="n">
        <v>11.5</v>
      </c>
      <c r="J965" t="n">
        <v>0</v>
      </c>
      <c r="K965" t="n">
        <v>0</v>
      </c>
      <c r="L965" t="n">
        <v>0</v>
      </c>
      <c r="M965" t="n">
        <v>0</v>
      </c>
      <c r="N965" t="n">
        <v>0</v>
      </c>
      <c r="O965" t="n">
        <v>0</v>
      </c>
      <c r="P965" t="n">
        <v>0</v>
      </c>
      <c r="Q965" t="n">
        <v>0</v>
      </c>
      <c r="R965" t="n">
        <v>0</v>
      </c>
      <c r="S965" t="n">
        <v>0</v>
      </c>
      <c r="T965" t="n">
        <v>0</v>
      </c>
      <c r="U965" s="2" t="inlineStr"/>
    </row>
    <row r="966" ht="15" customHeight="1">
      <c r="A966" t="inlineStr">
        <is>
          <t>A 21136-2026</t>
        </is>
      </c>
      <c r="B966" t="inlineStr">
        <is>
          <t>avverkningsanmälan</t>
        </is>
      </c>
      <c r="C966" t="inlineStr">
        <is>
          <t>Föryngringsavverkning</t>
        </is>
      </c>
      <c r="D966" s="1" t="n">
        <v>46146</v>
      </c>
      <c r="E966" s="1" t="n">
        <v>46222</v>
      </c>
      <c r="F966" t="inlineStr">
        <is>
          <t>GÄVLEBORGS LÄN</t>
        </is>
      </c>
      <c r="G966" t="inlineStr">
        <is>
          <t>OVANÅKER</t>
        </is>
      </c>
      <c r="H966" t="inlineStr">
        <is>
          <t>Bergvik skog öst AB</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25297-2024</t>
        </is>
      </c>
      <c r="B967" t="inlineStr">
        <is>
          <t>avverkningsanmälan</t>
        </is>
      </c>
      <c r="C967" t="inlineStr">
        <is>
          <t>Föryngringsavverkning</t>
        </is>
      </c>
      <c r="D967" s="1" t="n">
        <v>45462</v>
      </c>
      <c r="E967" s="1" t="n">
        <v>46222</v>
      </c>
      <c r="F967" t="inlineStr">
        <is>
          <t>GÄVLEBORGS LÄN</t>
        </is>
      </c>
      <c r="G967" t="inlineStr">
        <is>
          <t>OVANÅKER</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25299-2024</t>
        </is>
      </c>
      <c r="B968" t="inlineStr">
        <is>
          <t>avverkningsanmälan</t>
        </is>
      </c>
      <c r="C968" t="inlineStr">
        <is>
          <t>Föryngringsavverkning</t>
        </is>
      </c>
      <c r="D968" s="1" t="n">
        <v>45462</v>
      </c>
      <c r="E968" s="1" t="n">
        <v>46222</v>
      </c>
      <c r="F968" t="inlineStr">
        <is>
          <t>GÄVLEBORGS LÄN</t>
        </is>
      </c>
      <c r="G968" t="inlineStr">
        <is>
          <t>OVANÅKER</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18540-2026</t>
        </is>
      </c>
      <c r="B969" t="inlineStr">
        <is>
          <t>avverkningsanmälan</t>
        </is>
      </c>
      <c r="C969" t="inlineStr">
        <is>
          <t>Föryngringsavverkning</t>
        </is>
      </c>
      <c r="D969" s="1" t="n">
        <v>46127</v>
      </c>
      <c r="E969" s="1" t="n">
        <v>46222</v>
      </c>
      <c r="F969" t="inlineStr">
        <is>
          <t>GÄVLEBORGS LÄN</t>
        </is>
      </c>
      <c r="G969" t="inlineStr">
        <is>
          <t>OVANÅKER</t>
        </is>
      </c>
      <c r="H969" t="inlineStr">
        <is>
          <t>Bergvik skog öst AB</t>
        </is>
      </c>
      <c r="I969" t="n">
        <v>3.8</v>
      </c>
      <c r="J969" t="n">
        <v>0</v>
      </c>
      <c r="K969" t="n">
        <v>0</v>
      </c>
      <c r="L969" t="n">
        <v>0</v>
      </c>
      <c r="M969" t="n">
        <v>0</v>
      </c>
      <c r="N969" t="n">
        <v>0</v>
      </c>
      <c r="O969" t="n">
        <v>0</v>
      </c>
      <c r="P969" t="n">
        <v>0</v>
      </c>
      <c r="Q969" t="n">
        <v>0</v>
      </c>
      <c r="R969" t="n">
        <v>0</v>
      </c>
      <c r="S969" t="n">
        <v>0</v>
      </c>
      <c r="T969" t="n">
        <v>0</v>
      </c>
      <c r="U969" s="2" t="inlineStr"/>
    </row>
    <row r="970" ht="15" customHeight="1">
      <c r="A970" t="inlineStr">
        <is>
          <t>A 3324-2024</t>
        </is>
      </c>
      <c r="B970" t="inlineStr">
        <is>
          <t>avverkningsanmälan</t>
        </is>
      </c>
      <c r="C970" t="inlineStr">
        <is>
          <t>Föryngringsavverkning</t>
        </is>
      </c>
      <c r="D970" s="1" t="n">
        <v>45317</v>
      </c>
      <c r="E970" s="1" t="n">
        <v>46222</v>
      </c>
      <c r="F970" t="inlineStr">
        <is>
          <t>GÄVLEBORGS LÄN</t>
        </is>
      </c>
      <c r="G970" t="inlineStr">
        <is>
          <t>OVANÅKER</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18261-2026</t>
        </is>
      </c>
      <c r="B971" t="inlineStr">
        <is>
          <t>avverkningsanmälan</t>
        </is>
      </c>
      <c r="C971" t="inlineStr">
        <is>
          <t>Föryngringsavverkning</t>
        </is>
      </c>
      <c r="D971" s="1" t="n">
        <v>46126</v>
      </c>
      <c r="E971" s="1" t="n">
        <v>46222</v>
      </c>
      <c r="F971" t="inlineStr">
        <is>
          <t>GÄVLEBORGS LÄN</t>
        </is>
      </c>
      <c r="G971" t="inlineStr">
        <is>
          <t>OVANÅKER</t>
        </is>
      </c>
      <c r="H971" t="inlineStr">
        <is>
          <t>Bergvik skog öst AB</t>
        </is>
      </c>
      <c r="I971" t="n">
        <v>6.1</v>
      </c>
      <c r="J971" t="n">
        <v>0</v>
      </c>
      <c r="K971" t="n">
        <v>0</v>
      </c>
      <c r="L971" t="n">
        <v>0</v>
      </c>
      <c r="M971" t="n">
        <v>0</v>
      </c>
      <c r="N971" t="n">
        <v>0</v>
      </c>
      <c r="O971" t="n">
        <v>0</v>
      </c>
      <c r="P971" t="n">
        <v>0</v>
      </c>
      <c r="Q971" t="n">
        <v>0</v>
      </c>
      <c r="R971" t="n">
        <v>0</v>
      </c>
      <c r="S971" t="n">
        <v>0</v>
      </c>
      <c r="T971" t="n">
        <v>0</v>
      </c>
      <c r="U971" s="2" t="inlineStr"/>
    </row>
    <row r="972" ht="15" customHeight="1">
      <c r="A972" t="inlineStr">
        <is>
          <t>A 18264-2026</t>
        </is>
      </c>
      <c r="B972" t="inlineStr">
        <is>
          <t>avverkningsanmälan</t>
        </is>
      </c>
      <c r="C972" t="inlineStr">
        <is>
          <t>Föryngringsavverkning</t>
        </is>
      </c>
      <c r="D972" s="1" t="n">
        <v>46126</v>
      </c>
      <c r="E972" s="1" t="n">
        <v>46222</v>
      </c>
      <c r="F972" t="inlineStr">
        <is>
          <t>GÄVLEBORGS LÄN</t>
        </is>
      </c>
      <c r="G972" t="inlineStr">
        <is>
          <t>OVANÅKER</t>
        </is>
      </c>
      <c r="H972" t="inlineStr">
        <is>
          <t>Bergvik skog öst AB</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21168-2026</t>
        </is>
      </c>
      <c r="B973" t="inlineStr">
        <is>
          <t>avverkningsanmälan</t>
        </is>
      </c>
      <c r="C973" t="inlineStr">
        <is>
          <t>Föryngringsavverkning</t>
        </is>
      </c>
      <c r="D973" s="1" t="n">
        <v>46146</v>
      </c>
      <c r="E973" s="1" t="n">
        <v>46222</v>
      </c>
      <c r="F973" t="inlineStr">
        <is>
          <t>GÄVLEBORGS LÄN</t>
        </is>
      </c>
      <c r="G973" t="inlineStr">
        <is>
          <t>OVANÅKER</t>
        </is>
      </c>
      <c r="H973" t="inlineStr">
        <is>
          <t>Bergvik skog väst AB</t>
        </is>
      </c>
      <c r="I973" t="n">
        <v>1.2</v>
      </c>
      <c r="J973" t="n">
        <v>0</v>
      </c>
      <c r="K973" t="n">
        <v>0</v>
      </c>
      <c r="L973" t="n">
        <v>0</v>
      </c>
      <c r="M973" t="n">
        <v>0</v>
      </c>
      <c r="N973" t="n">
        <v>0</v>
      </c>
      <c r="O973" t="n">
        <v>0</v>
      </c>
      <c r="P973" t="n">
        <v>0</v>
      </c>
      <c r="Q973" t="n">
        <v>0</v>
      </c>
      <c r="R973" t="n">
        <v>0</v>
      </c>
      <c r="S973" t="n">
        <v>0</v>
      </c>
      <c r="T973" t="n">
        <v>0</v>
      </c>
      <c r="U973" s="2" t="inlineStr"/>
    </row>
    <row r="974" ht="15" customHeight="1">
      <c r="A974" t="inlineStr">
        <is>
          <t>A 21100-2026</t>
        </is>
      </c>
      <c r="B974" t="inlineStr">
        <is>
          <t>avverkningsanmälan</t>
        </is>
      </c>
      <c r="C974" t="inlineStr">
        <is>
          <t>Föryngringsavverkning</t>
        </is>
      </c>
      <c r="D974" s="1" t="n">
        <v>46146</v>
      </c>
      <c r="E974" s="1" t="n">
        <v>46222</v>
      </c>
      <c r="F974" t="inlineStr">
        <is>
          <t>GÄVLEBORGS LÄN</t>
        </is>
      </c>
      <c r="G974" t="inlineStr">
        <is>
          <t>OVANÅKER</t>
        </is>
      </c>
      <c r="I974" t="n">
        <v>1.9</v>
      </c>
      <c r="J974" t="n">
        <v>0</v>
      </c>
      <c r="K974" t="n">
        <v>0</v>
      </c>
      <c r="L974" t="n">
        <v>0</v>
      </c>
      <c r="M974" t="n">
        <v>0</v>
      </c>
      <c r="N974" t="n">
        <v>0</v>
      </c>
      <c r="O974" t="n">
        <v>0</v>
      </c>
      <c r="P974" t="n">
        <v>0</v>
      </c>
      <c r="Q974" t="n">
        <v>0</v>
      </c>
      <c r="R974" t="n">
        <v>0</v>
      </c>
      <c r="S974" t="n">
        <v>0</v>
      </c>
      <c r="T974" t="n">
        <v>0</v>
      </c>
      <c r="U974" s="2" t="inlineStr"/>
    </row>
    <row r="975" ht="15" customHeight="1">
      <c r="A975" t="inlineStr">
        <is>
          <t>A 27111-2026</t>
        </is>
      </c>
      <c r="B975" t="inlineStr">
        <is>
          <t>avverkningsanmälan</t>
        </is>
      </c>
      <c r="C975" t="inlineStr">
        <is>
          <t>Föryngringsavverkning</t>
        </is>
      </c>
      <c r="D975" s="1" t="n">
        <v>46188</v>
      </c>
      <c r="E975" s="1" t="n">
        <v>46222</v>
      </c>
      <c r="F975" t="inlineStr">
        <is>
          <t>GÄVLEBORGS LÄN</t>
        </is>
      </c>
      <c r="G975" t="inlineStr">
        <is>
          <t>OVANÅKER</t>
        </is>
      </c>
      <c r="I975" t="n">
        <v>0.7</v>
      </c>
      <c r="J975" t="n">
        <v>0</v>
      </c>
      <c r="K975" t="n">
        <v>0</v>
      </c>
      <c r="L975" t="n">
        <v>0</v>
      </c>
      <c r="M975" t="n">
        <v>0</v>
      </c>
      <c r="N975" t="n">
        <v>0</v>
      </c>
      <c r="O975" t="n">
        <v>0</v>
      </c>
      <c r="P975" t="n">
        <v>0</v>
      </c>
      <c r="Q975" t="n">
        <v>0</v>
      </c>
      <c r="R975" t="n">
        <v>0</v>
      </c>
      <c r="S975" t="n">
        <v>0</v>
      </c>
      <c r="T975" t="n">
        <v>0</v>
      </c>
      <c r="U975" s="2" t="inlineStr"/>
    </row>
    <row r="976" ht="15" customHeight="1">
      <c r="A976" t="inlineStr">
        <is>
          <t>A 20123-2026</t>
        </is>
      </c>
      <c r="B976" t="inlineStr">
        <is>
          <t>avverkningsanmälan</t>
        </is>
      </c>
      <c r="C976" t="inlineStr">
        <is>
          <t>Föryngringsavverkning</t>
        </is>
      </c>
      <c r="D976" s="1" t="n">
        <v>46136</v>
      </c>
      <c r="E976" s="1" t="n">
        <v>46222</v>
      </c>
      <c r="F976" t="inlineStr">
        <is>
          <t>GÄVLEBORGS LÄN</t>
        </is>
      </c>
      <c r="G976" t="inlineStr">
        <is>
          <t>OVANÅKER</t>
        </is>
      </c>
      <c r="I976" t="n">
        <v>1.7</v>
      </c>
      <c r="J976" t="n">
        <v>0</v>
      </c>
      <c r="K976" t="n">
        <v>0</v>
      </c>
      <c r="L976" t="n">
        <v>0</v>
      </c>
      <c r="M976" t="n">
        <v>0</v>
      </c>
      <c r="N976" t="n">
        <v>0</v>
      </c>
      <c r="O976" t="n">
        <v>0</v>
      </c>
      <c r="P976" t="n">
        <v>0</v>
      </c>
      <c r="Q976" t="n">
        <v>0</v>
      </c>
      <c r="R976" t="n">
        <v>0</v>
      </c>
      <c r="S976" t="n">
        <v>0</v>
      </c>
      <c r="T976" t="n">
        <v>0</v>
      </c>
      <c r="U976" s="2" t="inlineStr"/>
    </row>
    <row r="977" ht="15" customHeight="1">
      <c r="A977" t="inlineStr">
        <is>
          <t>A 21245-2026</t>
        </is>
      </c>
      <c r="B977" t="inlineStr">
        <is>
          <t>avverkningsanmälan</t>
        </is>
      </c>
      <c r="C977" t="inlineStr">
        <is>
          <t>Föryngringsavverkning</t>
        </is>
      </c>
      <c r="D977" s="1" t="n">
        <v>46147</v>
      </c>
      <c r="E977" s="1" t="n">
        <v>46222</v>
      </c>
      <c r="F977" t="inlineStr">
        <is>
          <t>GÄVLEBORGS LÄN</t>
        </is>
      </c>
      <c r="G977" t="inlineStr">
        <is>
          <t>OVANÅKER</t>
        </is>
      </c>
      <c r="H977" t="inlineStr">
        <is>
          <t>Bergvik skog öst AB</t>
        </is>
      </c>
      <c r="I977" t="n">
        <v>10.1</v>
      </c>
      <c r="J977" t="n">
        <v>0</v>
      </c>
      <c r="K977" t="n">
        <v>0</v>
      </c>
      <c r="L977" t="n">
        <v>0</v>
      </c>
      <c r="M977" t="n">
        <v>0</v>
      </c>
      <c r="N977" t="n">
        <v>0</v>
      </c>
      <c r="O977" t="n">
        <v>0</v>
      </c>
      <c r="P977" t="n">
        <v>0</v>
      </c>
      <c r="Q977" t="n">
        <v>0</v>
      </c>
      <c r="R977" t="n">
        <v>0</v>
      </c>
      <c r="S977" t="n">
        <v>0</v>
      </c>
      <c r="T977" t="n">
        <v>0</v>
      </c>
      <c r="U977" s="2" t="inlineStr"/>
    </row>
    <row r="978" ht="15" customHeight="1">
      <c r="A978" t="inlineStr">
        <is>
          <t>A 21430-2026</t>
        </is>
      </c>
      <c r="B978" t="inlineStr">
        <is>
          <t>avverkningsanmälan</t>
        </is>
      </c>
      <c r="C978" t="inlineStr">
        <is>
          <t>Föryngringsavverkning</t>
        </is>
      </c>
      <c r="D978" s="1" t="n">
        <v>46148</v>
      </c>
      <c r="E978" s="1" t="n">
        <v>46222</v>
      </c>
      <c r="F978" t="inlineStr">
        <is>
          <t>GÄVLEBORGS LÄN</t>
        </is>
      </c>
      <c r="G978" t="inlineStr">
        <is>
          <t>OVANÅKER</t>
        </is>
      </c>
      <c r="H978" t="inlineStr">
        <is>
          <t>Bergvik skog väst AB</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20116-2026</t>
        </is>
      </c>
      <c r="B979" t="inlineStr">
        <is>
          <t>avverkningsanmälan</t>
        </is>
      </c>
      <c r="C979" t="inlineStr">
        <is>
          <t>Föryngringsavverkning</t>
        </is>
      </c>
      <c r="D979" s="1" t="n">
        <v>46136</v>
      </c>
      <c r="E979" s="1" t="n">
        <v>46222</v>
      </c>
      <c r="F979" t="inlineStr">
        <is>
          <t>GÄVLEBORGS LÄN</t>
        </is>
      </c>
      <c r="G979" t="inlineStr">
        <is>
          <t>OVANÅKER</t>
        </is>
      </c>
      <c r="I979" t="n">
        <v>5.9</v>
      </c>
      <c r="J979" t="n">
        <v>0</v>
      </c>
      <c r="K979" t="n">
        <v>0</v>
      </c>
      <c r="L979" t="n">
        <v>0</v>
      </c>
      <c r="M979" t="n">
        <v>0</v>
      </c>
      <c r="N979" t="n">
        <v>0</v>
      </c>
      <c r="O979" t="n">
        <v>0</v>
      </c>
      <c r="P979" t="n">
        <v>0</v>
      </c>
      <c r="Q979" t="n">
        <v>0</v>
      </c>
      <c r="R979" t="n">
        <v>0</v>
      </c>
      <c r="S979" t="n">
        <v>0</v>
      </c>
      <c r="T979" t="n">
        <v>0</v>
      </c>
      <c r="U979" s="2" t="inlineStr"/>
    </row>
    <row r="980" ht="15" customHeight="1">
      <c r="A980" t="inlineStr">
        <is>
          <t>A 21342-2026</t>
        </is>
      </c>
      <c r="B980" t="inlineStr">
        <is>
          <t>avverkningsanmälan</t>
        </is>
      </c>
      <c r="C980" t="inlineStr">
        <is>
          <t>Föryngringsavverkning</t>
        </is>
      </c>
      <c r="D980" s="1" t="n">
        <v>46147</v>
      </c>
      <c r="E980" s="1" t="n">
        <v>46222</v>
      </c>
      <c r="F980" t="inlineStr">
        <is>
          <t>GÄVLEBORGS LÄN</t>
        </is>
      </c>
      <c r="G980" t="inlineStr">
        <is>
          <t>OVANÅKER</t>
        </is>
      </c>
      <c r="H980" t="inlineStr">
        <is>
          <t>Bergvik skog väst AB</t>
        </is>
      </c>
      <c r="I980" t="n">
        <v>1.2</v>
      </c>
      <c r="J980" t="n">
        <v>0</v>
      </c>
      <c r="K980" t="n">
        <v>0</v>
      </c>
      <c r="L980" t="n">
        <v>0</v>
      </c>
      <c r="M980" t="n">
        <v>0</v>
      </c>
      <c r="N980" t="n">
        <v>0</v>
      </c>
      <c r="O980" t="n">
        <v>0</v>
      </c>
      <c r="P980" t="n">
        <v>0</v>
      </c>
      <c r="Q980" t="n">
        <v>0</v>
      </c>
      <c r="R980" t="n">
        <v>0</v>
      </c>
      <c r="S980" t="n">
        <v>0</v>
      </c>
      <c r="T980" t="n">
        <v>0</v>
      </c>
      <c r="U980" s="2" t="inlineStr"/>
    </row>
    <row r="981" ht="15" customHeight="1">
      <c r="A981" t="inlineStr">
        <is>
          <t>A 27549-2026</t>
        </is>
      </c>
      <c r="B981" t="inlineStr">
        <is>
          <t>avverkningsanmälan</t>
        </is>
      </c>
      <c r="C981" t="inlineStr">
        <is>
          <t>Föryngringsavverkning</t>
        </is>
      </c>
      <c r="D981" s="1" t="n">
        <v>46190</v>
      </c>
      <c r="E981" s="1" t="n">
        <v>46222</v>
      </c>
      <c r="F981" t="inlineStr">
        <is>
          <t>GÄVLEBORGS LÄN</t>
        </is>
      </c>
      <c r="G981" t="inlineStr">
        <is>
          <t>OVANÅKER</t>
        </is>
      </c>
      <c r="I981" t="n">
        <v>1.2</v>
      </c>
      <c r="J981" t="n">
        <v>0</v>
      </c>
      <c r="K981" t="n">
        <v>0</v>
      </c>
      <c r="L981" t="n">
        <v>0</v>
      </c>
      <c r="M981" t="n">
        <v>0</v>
      </c>
      <c r="N981" t="n">
        <v>0</v>
      </c>
      <c r="O981" t="n">
        <v>0</v>
      </c>
      <c r="P981" t="n">
        <v>0</v>
      </c>
      <c r="Q981" t="n">
        <v>0</v>
      </c>
      <c r="R981" t="n">
        <v>0</v>
      </c>
      <c r="S981" t="n">
        <v>0</v>
      </c>
      <c r="T981" t="n">
        <v>0</v>
      </c>
      <c r="U981" s="2" t="inlineStr"/>
    </row>
    <row r="982" ht="15" customHeight="1">
      <c r="A982" t="inlineStr">
        <is>
          <t>A 27500-2026</t>
        </is>
      </c>
      <c r="B982" t="inlineStr">
        <is>
          <t>avverkningsanmälan</t>
        </is>
      </c>
      <c r="C982" t="inlineStr">
        <is>
          <t>Föryngringsavverkning</t>
        </is>
      </c>
      <c r="D982" s="1" t="n">
        <v>46189</v>
      </c>
      <c r="E982" s="1" t="n">
        <v>46222</v>
      </c>
      <c r="F982" t="inlineStr">
        <is>
          <t>GÄVLEBORGS LÄN</t>
        </is>
      </c>
      <c r="G982" t="inlineStr">
        <is>
          <t>OVANÅKER</t>
        </is>
      </c>
      <c r="I982" t="n">
        <v>1.6</v>
      </c>
      <c r="J982" t="n">
        <v>0</v>
      </c>
      <c r="K982" t="n">
        <v>0</v>
      </c>
      <c r="L982" t="n">
        <v>0</v>
      </c>
      <c r="M982" t="n">
        <v>0</v>
      </c>
      <c r="N982" t="n">
        <v>0</v>
      </c>
      <c r="O982" t="n">
        <v>0</v>
      </c>
      <c r="P982" t="n">
        <v>0</v>
      </c>
      <c r="Q982" t="n">
        <v>0</v>
      </c>
      <c r="R982" t="n">
        <v>0</v>
      </c>
      <c r="S982" t="n">
        <v>0</v>
      </c>
      <c r="T982" t="n">
        <v>0</v>
      </c>
      <c r="U982" s="2" t="inlineStr"/>
    </row>
    <row r="983" ht="15" customHeight="1">
      <c r="A983" t="inlineStr">
        <is>
          <t>A 27414-2026</t>
        </is>
      </c>
      <c r="B983" t="inlineStr">
        <is>
          <t>avverkningsanmälan</t>
        </is>
      </c>
      <c r="C983" t="inlineStr">
        <is>
          <t>Föryngringsavverkning</t>
        </is>
      </c>
      <c r="D983" s="1" t="n">
        <v>46189</v>
      </c>
      <c r="E983" s="1" t="n">
        <v>46222</v>
      </c>
      <c r="F983" t="inlineStr">
        <is>
          <t>GÄVLEBORGS LÄN</t>
        </is>
      </c>
      <c r="G983" t="inlineStr">
        <is>
          <t>OVANÅKER</t>
        </is>
      </c>
      <c r="I983" t="n">
        <v>7.7</v>
      </c>
      <c r="J983" t="n">
        <v>0</v>
      </c>
      <c r="K983" t="n">
        <v>0</v>
      </c>
      <c r="L983" t="n">
        <v>0</v>
      </c>
      <c r="M983" t="n">
        <v>0</v>
      </c>
      <c r="N983" t="n">
        <v>0</v>
      </c>
      <c r="O983" t="n">
        <v>0</v>
      </c>
      <c r="P983" t="n">
        <v>0</v>
      </c>
      <c r="Q983" t="n">
        <v>0</v>
      </c>
      <c r="R983" t="n">
        <v>0</v>
      </c>
      <c r="S983" t="n">
        <v>0</v>
      </c>
      <c r="T983" t="n">
        <v>0</v>
      </c>
      <c r="U983" s="2" t="inlineStr"/>
    </row>
    <row r="984" ht="15" customHeight="1">
      <c r="A984" t="inlineStr">
        <is>
          <t>A 21266-2026</t>
        </is>
      </c>
      <c r="B984" t="inlineStr">
        <is>
          <t>avverkningsanmälan</t>
        </is>
      </c>
      <c r="C984" t="inlineStr">
        <is>
          <t>Föryngringsavverkning</t>
        </is>
      </c>
      <c r="D984" s="1" t="n">
        <v>46147</v>
      </c>
      <c r="E984" s="1" t="n">
        <v>46222</v>
      </c>
      <c r="F984" t="inlineStr">
        <is>
          <t>GÄVLEBORGS LÄN</t>
        </is>
      </c>
      <c r="G984" t="inlineStr">
        <is>
          <t>OVANÅKER</t>
        </is>
      </c>
      <c r="H984" t="inlineStr">
        <is>
          <t>Bergvik skog öst AB</t>
        </is>
      </c>
      <c r="I984" t="n">
        <v>2.2</v>
      </c>
      <c r="J984" t="n">
        <v>0</v>
      </c>
      <c r="K984" t="n">
        <v>0</v>
      </c>
      <c r="L984" t="n">
        <v>0</v>
      </c>
      <c r="M984" t="n">
        <v>0</v>
      </c>
      <c r="N984" t="n">
        <v>0</v>
      </c>
      <c r="O984" t="n">
        <v>0</v>
      </c>
      <c r="P984" t="n">
        <v>0</v>
      </c>
      <c r="Q984" t="n">
        <v>0</v>
      </c>
      <c r="R984" t="n">
        <v>0</v>
      </c>
      <c r="S984" t="n">
        <v>0</v>
      </c>
      <c r="T984" t="n">
        <v>0</v>
      </c>
      <c r="U984" s="2" t="inlineStr"/>
    </row>
    <row r="985" ht="15" customHeight="1">
      <c r="A985" t="inlineStr">
        <is>
          <t>A 27504-2026</t>
        </is>
      </c>
      <c r="B985" t="inlineStr">
        <is>
          <t>avverkningsanmälan</t>
        </is>
      </c>
      <c r="C985" t="inlineStr">
        <is>
          <t>Föryngringsavverkning</t>
        </is>
      </c>
      <c r="D985" s="1" t="n">
        <v>46189</v>
      </c>
      <c r="E985" s="1" t="n">
        <v>46222</v>
      </c>
      <c r="F985" t="inlineStr">
        <is>
          <t>GÄVLEBORGS LÄN</t>
        </is>
      </c>
      <c r="G985" t="inlineStr">
        <is>
          <t>OVANÅKER</t>
        </is>
      </c>
      <c r="I985" t="n">
        <v>1.4</v>
      </c>
      <c r="J985" t="n">
        <v>0</v>
      </c>
      <c r="K985" t="n">
        <v>0</v>
      </c>
      <c r="L985" t="n">
        <v>0</v>
      </c>
      <c r="M985" t="n">
        <v>0</v>
      </c>
      <c r="N985" t="n">
        <v>0</v>
      </c>
      <c r="O985" t="n">
        <v>0</v>
      </c>
      <c r="P985" t="n">
        <v>0</v>
      </c>
      <c r="Q985" t="n">
        <v>0</v>
      </c>
      <c r="R985" t="n">
        <v>0</v>
      </c>
      <c r="S985" t="n">
        <v>0</v>
      </c>
      <c r="T985" t="n">
        <v>0</v>
      </c>
      <c r="U985" s="2" t="inlineStr"/>
    </row>
    <row r="986" ht="15" customHeight="1">
      <c r="A986" t="inlineStr">
        <is>
          <t>A 27509-2026</t>
        </is>
      </c>
      <c r="B986" t="inlineStr">
        <is>
          <t>avverkningsanmälan</t>
        </is>
      </c>
      <c r="C986" t="inlineStr">
        <is>
          <t>Föryngringsavverkning</t>
        </is>
      </c>
      <c r="D986" s="1" t="n">
        <v>46189</v>
      </c>
      <c r="E986" s="1" t="n">
        <v>46222</v>
      </c>
      <c r="F986" t="inlineStr">
        <is>
          <t>GÄVLEBORGS LÄN</t>
        </is>
      </c>
      <c r="G986" t="inlineStr">
        <is>
          <t>OVANÅKER</t>
        </is>
      </c>
      <c r="I986" t="n">
        <v>12.6</v>
      </c>
      <c r="J986" t="n">
        <v>0</v>
      </c>
      <c r="K986" t="n">
        <v>0</v>
      </c>
      <c r="L986" t="n">
        <v>0</v>
      </c>
      <c r="M986" t="n">
        <v>0</v>
      </c>
      <c r="N986" t="n">
        <v>0</v>
      </c>
      <c r="O986" t="n">
        <v>0</v>
      </c>
      <c r="P986" t="n">
        <v>0</v>
      </c>
      <c r="Q986" t="n">
        <v>0</v>
      </c>
      <c r="R986" t="n">
        <v>0</v>
      </c>
      <c r="S986" t="n">
        <v>0</v>
      </c>
      <c r="T986" t="n">
        <v>0</v>
      </c>
      <c r="U986" s="2" t="inlineStr"/>
    </row>
    <row r="987" ht="15" customHeight="1">
      <c r="A987" t="inlineStr">
        <is>
          <t>A 27502-2026</t>
        </is>
      </c>
      <c r="B987" t="inlineStr">
        <is>
          <t>avverkningsanmälan</t>
        </is>
      </c>
      <c r="C987" t="inlineStr">
        <is>
          <t>Föryngringsavverkning</t>
        </is>
      </c>
      <c r="D987" s="1" t="n">
        <v>46189</v>
      </c>
      <c r="E987" s="1" t="n">
        <v>46222</v>
      </c>
      <c r="F987" t="inlineStr">
        <is>
          <t>GÄVLEBORGS LÄN</t>
        </is>
      </c>
      <c r="G987" t="inlineStr">
        <is>
          <t>OVANÅKER</t>
        </is>
      </c>
      <c r="I987" t="n">
        <v>1.5</v>
      </c>
      <c r="J987" t="n">
        <v>0</v>
      </c>
      <c r="K987" t="n">
        <v>0</v>
      </c>
      <c r="L987" t="n">
        <v>0</v>
      </c>
      <c r="M987" t="n">
        <v>0</v>
      </c>
      <c r="N987" t="n">
        <v>0</v>
      </c>
      <c r="O987" t="n">
        <v>0</v>
      </c>
      <c r="P987" t="n">
        <v>0</v>
      </c>
      <c r="Q987" t="n">
        <v>0</v>
      </c>
      <c r="R987" t="n">
        <v>0</v>
      </c>
      <c r="S987" t="n">
        <v>0</v>
      </c>
      <c r="T987" t="n">
        <v>0</v>
      </c>
      <c r="U987" s="2" t="inlineStr"/>
    </row>
    <row r="988" ht="15" customHeight="1">
      <c r="A988" t="inlineStr">
        <is>
          <t>A 27507-2026</t>
        </is>
      </c>
      <c r="B988" t="inlineStr">
        <is>
          <t>avverkningsanmälan</t>
        </is>
      </c>
      <c r="C988" t="inlineStr">
        <is>
          <t>Föryngringsavverkning</t>
        </is>
      </c>
      <c r="D988" s="1" t="n">
        <v>46189</v>
      </c>
      <c r="E988" s="1" t="n">
        <v>46222</v>
      </c>
      <c r="F988" t="inlineStr">
        <is>
          <t>GÄVLEBORGS LÄN</t>
        </is>
      </c>
      <c r="G988" t="inlineStr">
        <is>
          <t>OVANÅKER</t>
        </is>
      </c>
      <c r="I988" t="n">
        <v>3.5</v>
      </c>
      <c r="J988" t="n">
        <v>0</v>
      </c>
      <c r="K988" t="n">
        <v>0</v>
      </c>
      <c r="L988" t="n">
        <v>0</v>
      </c>
      <c r="M988" t="n">
        <v>0</v>
      </c>
      <c r="N988" t="n">
        <v>0</v>
      </c>
      <c r="O988" t="n">
        <v>0</v>
      </c>
      <c r="P988" t="n">
        <v>0</v>
      </c>
      <c r="Q988" t="n">
        <v>0</v>
      </c>
      <c r="R988" t="n">
        <v>0</v>
      </c>
      <c r="S988" t="n">
        <v>0</v>
      </c>
      <c r="T988" t="n">
        <v>0</v>
      </c>
      <c r="U988" s="2" t="inlineStr"/>
    </row>
    <row r="989" ht="15" customHeight="1">
      <c r="A989" t="inlineStr">
        <is>
          <t>A 27450-2026</t>
        </is>
      </c>
      <c r="B989" t="inlineStr">
        <is>
          <t>avverkningsanmälan</t>
        </is>
      </c>
      <c r="C989" t="inlineStr">
        <is>
          <t>Föryngringsavverkning</t>
        </is>
      </c>
      <c r="D989" s="1" t="n">
        <v>46189</v>
      </c>
      <c r="E989" s="1" t="n">
        <v>46222</v>
      </c>
      <c r="F989" t="inlineStr">
        <is>
          <t>GÄVLEBORGS LÄN</t>
        </is>
      </c>
      <c r="G989" t="inlineStr">
        <is>
          <t>OVANÅKER</t>
        </is>
      </c>
      <c r="I989" t="n">
        <v>4.1</v>
      </c>
      <c r="J989" t="n">
        <v>0</v>
      </c>
      <c r="K989" t="n">
        <v>0</v>
      </c>
      <c r="L989" t="n">
        <v>0</v>
      </c>
      <c r="M989" t="n">
        <v>0</v>
      </c>
      <c r="N989" t="n">
        <v>0</v>
      </c>
      <c r="O989" t="n">
        <v>0</v>
      </c>
      <c r="P989" t="n">
        <v>0</v>
      </c>
      <c r="Q989" t="n">
        <v>0</v>
      </c>
      <c r="R989" t="n">
        <v>0</v>
      </c>
      <c r="S989" t="n">
        <v>0</v>
      </c>
      <c r="T989" t="n">
        <v>0</v>
      </c>
      <c r="U989" s="2" t="inlineStr"/>
    </row>
    <row r="990" ht="15" customHeight="1">
      <c r="A990" t="inlineStr">
        <is>
          <t>A 21458-2026</t>
        </is>
      </c>
      <c r="B990" t="inlineStr">
        <is>
          <t>avverkningsanmälan</t>
        </is>
      </c>
      <c r="C990" t="inlineStr">
        <is>
          <t>Föryngringsavverkning</t>
        </is>
      </c>
      <c r="D990" s="1" t="n">
        <v>46148</v>
      </c>
      <c r="E990" s="1" t="n">
        <v>46222</v>
      </c>
      <c r="F990" t="inlineStr">
        <is>
          <t>GÄVLEBORGS LÄN</t>
        </is>
      </c>
      <c r="G990" t="inlineStr">
        <is>
          <t>OVANÅKER</t>
        </is>
      </c>
      <c r="H990" t="inlineStr">
        <is>
          <t>Bergvik skog väst AB</t>
        </is>
      </c>
      <c r="I990" t="n">
        <v>0.7</v>
      </c>
      <c r="J990" t="n">
        <v>0</v>
      </c>
      <c r="K990" t="n">
        <v>0</v>
      </c>
      <c r="L990" t="n">
        <v>0</v>
      </c>
      <c r="M990" t="n">
        <v>0</v>
      </c>
      <c r="N990" t="n">
        <v>0</v>
      </c>
      <c r="O990" t="n">
        <v>0</v>
      </c>
      <c r="P990" t="n">
        <v>0</v>
      </c>
      <c r="Q990" t="n">
        <v>0</v>
      </c>
      <c r="R990" t="n">
        <v>0</v>
      </c>
      <c r="S990" t="n">
        <v>0</v>
      </c>
      <c r="T990" t="n">
        <v>0</v>
      </c>
      <c r="U990" s="2" t="inlineStr"/>
    </row>
    <row r="991" ht="15" customHeight="1">
      <c r="A991" t="inlineStr">
        <is>
          <t>A 21855-2026</t>
        </is>
      </c>
      <c r="B991" t="inlineStr">
        <is>
          <t>avverkningsanmälan</t>
        </is>
      </c>
      <c r="C991" t="inlineStr">
        <is>
          <t>Föryngringsavverkning</t>
        </is>
      </c>
      <c r="D991" s="1" t="n">
        <v>46150</v>
      </c>
      <c r="E991" s="1" t="n">
        <v>46222</v>
      </c>
      <c r="F991" t="inlineStr">
        <is>
          <t>GÄVLEBORGS LÄN</t>
        </is>
      </c>
      <c r="G991" t="inlineStr">
        <is>
          <t>OVANÅKER</t>
        </is>
      </c>
      <c r="I991" t="n">
        <v>0.9</v>
      </c>
      <c r="J991" t="n">
        <v>0</v>
      </c>
      <c r="K991" t="n">
        <v>0</v>
      </c>
      <c r="L991" t="n">
        <v>0</v>
      </c>
      <c r="M991" t="n">
        <v>0</v>
      </c>
      <c r="N991" t="n">
        <v>0</v>
      </c>
      <c r="O991" t="n">
        <v>0</v>
      </c>
      <c r="P991" t="n">
        <v>0</v>
      </c>
      <c r="Q991" t="n">
        <v>0</v>
      </c>
      <c r="R991" t="n">
        <v>0</v>
      </c>
      <c r="S991" t="n">
        <v>0</v>
      </c>
      <c r="T991" t="n">
        <v>0</v>
      </c>
      <c r="U991" s="2" t="inlineStr"/>
    </row>
    <row r="992" ht="15" customHeight="1">
      <c r="A992" t="inlineStr">
        <is>
          <t>A 12325-2025</t>
        </is>
      </c>
      <c r="B992" t="inlineStr">
        <is>
          <t>avverkningsanmälan</t>
        </is>
      </c>
      <c r="C992" t="inlineStr">
        <is>
          <t>Föryngringsavverkning</t>
        </is>
      </c>
      <c r="D992" s="1" t="n">
        <v>45730</v>
      </c>
      <c r="E992" s="1" t="n">
        <v>46222</v>
      </c>
      <c r="F992" t="inlineStr">
        <is>
          <t>GÄVLEBORGS LÄN</t>
        </is>
      </c>
      <c r="G992" t="inlineStr">
        <is>
          <t>OVANÅKER</t>
        </is>
      </c>
      <c r="I992" t="n">
        <v>4</v>
      </c>
      <c r="J992" t="n">
        <v>0</v>
      </c>
      <c r="K992" t="n">
        <v>0</v>
      </c>
      <c r="L992" t="n">
        <v>0</v>
      </c>
      <c r="M992" t="n">
        <v>0</v>
      </c>
      <c r="N992" t="n">
        <v>0</v>
      </c>
      <c r="O992" t="n">
        <v>0</v>
      </c>
      <c r="P992" t="n">
        <v>0</v>
      </c>
      <c r="Q992" t="n">
        <v>0</v>
      </c>
      <c r="R992" t="n">
        <v>0</v>
      </c>
      <c r="S992" t="n">
        <v>0</v>
      </c>
      <c r="T992" t="n">
        <v>0</v>
      </c>
      <c r="U992" s="2" t="inlineStr"/>
    </row>
    <row r="993" ht="15" customHeight="1">
      <c r="A993" t="inlineStr">
        <is>
          <t>A 12326-2025</t>
        </is>
      </c>
      <c r="B993" t="inlineStr">
        <is>
          <t>avverkningsanmälan</t>
        </is>
      </c>
      <c r="C993" t="inlineStr">
        <is>
          <t>Föryngringsavverkning</t>
        </is>
      </c>
      <c r="D993" s="1" t="n">
        <v>45730</v>
      </c>
      <c r="E993" s="1" t="n">
        <v>46222</v>
      </c>
      <c r="F993" t="inlineStr">
        <is>
          <t>GÄVLEBORGS LÄN</t>
        </is>
      </c>
      <c r="G993" t="inlineStr">
        <is>
          <t>OVANÅKER</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5719-2023</t>
        </is>
      </c>
      <c r="B994" t="inlineStr">
        <is>
          <t>avverkningsanmälan</t>
        </is>
      </c>
      <c r="C994" t="inlineStr">
        <is>
          <t>Föryngringsavverkning</t>
        </is>
      </c>
      <c r="D994" s="1" t="n">
        <v>44961</v>
      </c>
      <c r="E994" s="1" t="n">
        <v>46222</v>
      </c>
      <c r="F994" t="inlineStr">
        <is>
          <t>GÄVLEBORGS LÄN</t>
        </is>
      </c>
      <c r="G994" t="inlineStr">
        <is>
          <t>OVANÅKER</t>
        </is>
      </c>
      <c r="I994" t="n">
        <v>0.9</v>
      </c>
      <c r="J994" t="n">
        <v>0</v>
      </c>
      <c r="K994" t="n">
        <v>0</v>
      </c>
      <c r="L994" t="n">
        <v>0</v>
      </c>
      <c r="M994" t="n">
        <v>0</v>
      </c>
      <c r="N994" t="n">
        <v>0</v>
      </c>
      <c r="O994" t="n">
        <v>0</v>
      </c>
      <c r="P994" t="n">
        <v>0</v>
      </c>
      <c r="Q994" t="n">
        <v>0</v>
      </c>
      <c r="R994" t="n">
        <v>0</v>
      </c>
      <c r="S994" t="n">
        <v>0</v>
      </c>
      <c r="T994" t="n">
        <v>0</v>
      </c>
      <c r="U994" s="2" t="inlineStr"/>
    </row>
    <row r="995" ht="15" customHeight="1">
      <c r="A995" t="inlineStr">
        <is>
          <t>A 17523-2025</t>
        </is>
      </c>
      <c r="B995" t="inlineStr">
        <is>
          <t>avverkningsanmälan</t>
        </is>
      </c>
      <c r="C995" t="inlineStr">
        <is>
          <t>Föryngringsavverkning</t>
        </is>
      </c>
      <c r="D995" s="1" t="n">
        <v>45757</v>
      </c>
      <c r="E995" s="1" t="n">
        <v>46222</v>
      </c>
      <c r="F995" t="inlineStr">
        <is>
          <t>GÄVLEBORGS LÄN</t>
        </is>
      </c>
      <c r="G995" t="inlineStr">
        <is>
          <t>OVANÅKER</t>
        </is>
      </c>
      <c r="H995" t="inlineStr">
        <is>
          <t>Bergvik skog öst AB</t>
        </is>
      </c>
      <c r="I995" t="n">
        <v>3.1</v>
      </c>
      <c r="J995" t="n">
        <v>0</v>
      </c>
      <c r="K995" t="n">
        <v>0</v>
      </c>
      <c r="L995" t="n">
        <v>0</v>
      </c>
      <c r="M995" t="n">
        <v>0</v>
      </c>
      <c r="N995" t="n">
        <v>0</v>
      </c>
      <c r="O995" t="n">
        <v>0</v>
      </c>
      <c r="P995" t="n">
        <v>0</v>
      </c>
      <c r="Q995" t="n">
        <v>0</v>
      </c>
      <c r="R995" t="n">
        <v>0</v>
      </c>
      <c r="S995" t="n">
        <v>0</v>
      </c>
      <c r="T995" t="n">
        <v>0</v>
      </c>
      <c r="U995" s="2" t="inlineStr"/>
    </row>
    <row r="996" ht="15" customHeight="1">
      <c r="A996" t="inlineStr">
        <is>
          <t>A 61526-2023</t>
        </is>
      </c>
      <c r="B996" t="inlineStr">
        <is>
          <t>avverkningsanmälan</t>
        </is>
      </c>
      <c r="C996" t="inlineStr">
        <is>
          <t>Föryngringsavverkning</t>
        </is>
      </c>
      <c r="D996" s="1" t="n">
        <v>45265</v>
      </c>
      <c r="E996" s="1" t="n">
        <v>46222</v>
      </c>
      <c r="F996" t="inlineStr">
        <is>
          <t>GÄVLEBORGS LÄN</t>
        </is>
      </c>
      <c r="G996" t="inlineStr">
        <is>
          <t>OVANÅKER</t>
        </is>
      </c>
      <c r="I996" t="n">
        <v>1.5</v>
      </c>
      <c r="J996" t="n">
        <v>0</v>
      </c>
      <c r="K996" t="n">
        <v>0</v>
      </c>
      <c r="L996" t="n">
        <v>0</v>
      </c>
      <c r="M996" t="n">
        <v>0</v>
      </c>
      <c r="N996" t="n">
        <v>0</v>
      </c>
      <c r="O996" t="n">
        <v>0</v>
      </c>
      <c r="P996" t="n">
        <v>0</v>
      </c>
      <c r="Q996" t="n">
        <v>0</v>
      </c>
      <c r="R996" t="n">
        <v>0</v>
      </c>
      <c r="S996" t="n">
        <v>0</v>
      </c>
      <c r="T996" t="n">
        <v>0</v>
      </c>
      <c r="U996" s="2" t="inlineStr"/>
    </row>
    <row r="997" ht="15" customHeight="1">
      <c r="A997" t="inlineStr">
        <is>
          <t>A 22165-2026</t>
        </is>
      </c>
      <c r="B997" t="inlineStr">
        <is>
          <t>avverkningsanmälan</t>
        </is>
      </c>
      <c r="C997" t="inlineStr">
        <is>
          <t>Föryngringsavverkning</t>
        </is>
      </c>
      <c r="D997" s="1" t="n">
        <v>46153</v>
      </c>
      <c r="E997" s="1" t="n">
        <v>46222</v>
      </c>
      <c r="F997" t="inlineStr">
        <is>
          <t>GÄVLEBORGS LÄN</t>
        </is>
      </c>
      <c r="G997" t="inlineStr">
        <is>
          <t>OVANÅKER</t>
        </is>
      </c>
      <c r="H997" t="inlineStr">
        <is>
          <t>Bergvik skog väst AB</t>
        </is>
      </c>
      <c r="I997" t="n">
        <v>0.9</v>
      </c>
      <c r="J997" t="n">
        <v>0</v>
      </c>
      <c r="K997" t="n">
        <v>0</v>
      </c>
      <c r="L997" t="n">
        <v>0</v>
      </c>
      <c r="M997" t="n">
        <v>0</v>
      </c>
      <c r="N997" t="n">
        <v>0</v>
      </c>
      <c r="O997" t="n">
        <v>0</v>
      </c>
      <c r="P997" t="n">
        <v>0</v>
      </c>
      <c r="Q997" t="n">
        <v>0</v>
      </c>
      <c r="R997" t="n">
        <v>0</v>
      </c>
      <c r="S997" t="n">
        <v>0</v>
      </c>
      <c r="T997" t="n">
        <v>0</v>
      </c>
      <c r="U997" s="2" t="inlineStr"/>
    </row>
    <row r="998" ht="15" customHeight="1">
      <c r="A998" t="inlineStr">
        <is>
          <t>A 7450-2026</t>
        </is>
      </c>
      <c r="B998" t="inlineStr">
        <is>
          <t>avverkningsanmälan</t>
        </is>
      </c>
      <c r="C998" t="inlineStr">
        <is>
          <t>Föryngringsavverkning</t>
        </is>
      </c>
      <c r="D998" s="1" t="n">
        <v>46059</v>
      </c>
      <c r="E998" s="1" t="n">
        <v>46222</v>
      </c>
      <c r="F998" t="inlineStr">
        <is>
          <t>GÄVLEBORGS LÄN</t>
        </is>
      </c>
      <c r="G998" t="inlineStr">
        <is>
          <t>OVANÅKER</t>
        </is>
      </c>
      <c r="I998" t="n">
        <v>4.5</v>
      </c>
      <c r="J998" t="n">
        <v>0</v>
      </c>
      <c r="K998" t="n">
        <v>0</v>
      </c>
      <c r="L998" t="n">
        <v>0</v>
      </c>
      <c r="M998" t="n">
        <v>0</v>
      </c>
      <c r="N998" t="n">
        <v>0</v>
      </c>
      <c r="O998" t="n">
        <v>0</v>
      </c>
      <c r="P998" t="n">
        <v>0</v>
      </c>
      <c r="Q998" t="n">
        <v>0</v>
      </c>
      <c r="R998" t="n">
        <v>0</v>
      </c>
      <c r="S998" t="n">
        <v>0</v>
      </c>
      <c r="T998" t="n">
        <v>0</v>
      </c>
      <c r="U998" s="2" t="inlineStr"/>
    </row>
    <row r="999" ht="15" customHeight="1">
      <c r="A999" t="inlineStr">
        <is>
          <t>A 63703-2023</t>
        </is>
      </c>
      <c r="B999" t="inlineStr">
        <is>
          <t>avverkningsanmälan</t>
        </is>
      </c>
      <c r="C999" t="inlineStr">
        <is>
          <t>Föryngringsavverkning</t>
        </is>
      </c>
      <c r="D999" s="1" t="n">
        <v>45275</v>
      </c>
      <c r="E999" s="1" t="n">
        <v>46222</v>
      </c>
      <c r="F999" t="inlineStr">
        <is>
          <t>GÄVLEBORGS LÄN</t>
        </is>
      </c>
      <c r="G999" t="inlineStr">
        <is>
          <t>OVANÅKER</t>
        </is>
      </c>
      <c r="I999" t="n">
        <v>1.3</v>
      </c>
      <c r="J999" t="n">
        <v>0</v>
      </c>
      <c r="K999" t="n">
        <v>0</v>
      </c>
      <c r="L999" t="n">
        <v>0</v>
      </c>
      <c r="M999" t="n">
        <v>0</v>
      </c>
      <c r="N999" t="n">
        <v>0</v>
      </c>
      <c r="O999" t="n">
        <v>0</v>
      </c>
      <c r="P999" t="n">
        <v>0</v>
      </c>
      <c r="Q999" t="n">
        <v>0</v>
      </c>
      <c r="R999" t="n">
        <v>0</v>
      </c>
      <c r="S999" t="n">
        <v>0</v>
      </c>
      <c r="T999" t="n">
        <v>0</v>
      </c>
      <c r="U999" s="2" t="inlineStr"/>
    </row>
    <row r="1000" ht="15" customHeight="1">
      <c r="A1000" t="inlineStr">
        <is>
          <t>A 7294-2026</t>
        </is>
      </c>
      <c r="B1000" t="inlineStr">
        <is>
          <t>avverkningsanmälan</t>
        </is>
      </c>
      <c r="C1000" t="inlineStr">
        <is>
          <t>Föryngringsavverkning</t>
        </is>
      </c>
      <c r="D1000" s="1" t="n">
        <v>46058</v>
      </c>
      <c r="E1000" s="1" t="n">
        <v>46222</v>
      </c>
      <c r="F1000" t="inlineStr">
        <is>
          <t>GÄVLEBORGS LÄN</t>
        </is>
      </c>
      <c r="G1000" t="inlineStr">
        <is>
          <t>OVANÅKER</t>
        </is>
      </c>
      <c r="I1000" t="n">
        <v>30.5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8334-2026</t>
        </is>
      </c>
      <c r="B1001" t="inlineStr">
        <is>
          <t>avverkningsanmälan</t>
        </is>
      </c>
      <c r="C1001" t="inlineStr">
        <is>
          <t>Föryngringsavverkning</t>
        </is>
      </c>
      <c r="D1001" s="1" t="n">
        <v>46064</v>
      </c>
      <c r="E1001" s="1" t="n">
        <v>46222</v>
      </c>
      <c r="F1001" t="inlineStr">
        <is>
          <t>GÄVLEBORGS LÄN</t>
        </is>
      </c>
      <c r="G1001" t="inlineStr">
        <is>
          <t>OVANÅKER</t>
        </is>
      </c>
      <c r="I1001" t="n">
        <v>2.3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22237-2026</t>
        </is>
      </c>
      <c r="B1002" t="inlineStr">
        <is>
          <t>avverkningsanmälan</t>
        </is>
      </c>
      <c r="C1002" t="inlineStr">
        <is>
          <t>Föryngringsavverkning</t>
        </is>
      </c>
      <c r="D1002" s="1" t="n">
        <v>46154</v>
      </c>
      <c r="E1002" s="1" t="n">
        <v>46222</v>
      </c>
      <c r="F1002" t="inlineStr">
        <is>
          <t>GÄVLEBORGS LÄN</t>
        </is>
      </c>
      <c r="G1002" t="inlineStr">
        <is>
          <t>OVANÅKER</t>
        </is>
      </c>
      <c r="H1002" t="inlineStr">
        <is>
          <t>Bergvik skog väst AB</t>
        </is>
      </c>
      <c r="I1002" t="n">
        <v>1.2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22236-2026</t>
        </is>
      </c>
      <c r="B1003" t="inlineStr">
        <is>
          <t>avverkningsanmälan</t>
        </is>
      </c>
      <c r="C1003" t="inlineStr">
        <is>
          <t>Föryngringsavverkning</t>
        </is>
      </c>
      <c r="D1003" s="1" t="n">
        <v>46154</v>
      </c>
      <c r="E1003" s="1" t="n">
        <v>46222</v>
      </c>
      <c r="F1003" t="inlineStr">
        <is>
          <t>GÄVLEBORGS LÄN</t>
        </is>
      </c>
      <c r="G1003" t="inlineStr">
        <is>
          <t>OVANÅKER</t>
        </is>
      </c>
      <c r="H1003" t="inlineStr">
        <is>
          <t>Bergvik skog väst AB</t>
        </is>
      </c>
      <c r="I1003" t="n">
        <v>0.9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6115-2026</t>
        </is>
      </c>
      <c r="B1004" t="inlineStr">
        <is>
          <t>avverkningsanmälan</t>
        </is>
      </c>
      <c r="C1004" t="inlineStr">
        <is>
          <t>Föryngringsavverkning</t>
        </is>
      </c>
      <c r="D1004" s="1" t="n">
        <v>46053</v>
      </c>
      <c r="E1004" s="1" t="n">
        <v>46222</v>
      </c>
      <c r="F1004" t="inlineStr">
        <is>
          <t>GÄVLEBORGS LÄN</t>
        </is>
      </c>
      <c r="G1004" t="inlineStr">
        <is>
          <t>OVANÅKER</t>
        </is>
      </c>
      <c r="I1004" t="n">
        <v>1.6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953-2026</t>
        </is>
      </c>
      <c r="B1005" t="inlineStr">
        <is>
          <t>avverkningsanmälan</t>
        </is>
      </c>
      <c r="C1005" t="inlineStr">
        <is>
          <t>Föryngringsavverkning</t>
        </is>
      </c>
      <c r="D1005" s="1" t="n">
        <v>46030</v>
      </c>
      <c r="E1005" s="1" t="n">
        <v>46222</v>
      </c>
      <c r="F1005" t="inlineStr">
        <is>
          <t>GÄVLEBORGS LÄN</t>
        </is>
      </c>
      <c r="G1005" t="inlineStr">
        <is>
          <t>OVANÅKER</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1457-2026</t>
        </is>
      </c>
      <c r="B1006" t="inlineStr">
        <is>
          <t>avverkningsanmälan</t>
        </is>
      </c>
      <c r="C1006" t="inlineStr">
        <is>
          <t>Föryngringsavverkning</t>
        </is>
      </c>
      <c r="D1006" s="1" t="n">
        <v>46033</v>
      </c>
      <c r="E1006" s="1" t="n">
        <v>46222</v>
      </c>
      <c r="F1006" t="inlineStr">
        <is>
          <t>GÄVLEBORGS LÄN</t>
        </is>
      </c>
      <c r="G1006" t="inlineStr">
        <is>
          <t>OVANÅKER</t>
        </is>
      </c>
      <c r="I1006" t="n">
        <v>1.8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41512-2023</t>
        </is>
      </c>
      <c r="B1007" t="inlineStr">
        <is>
          <t>avverkningsanmälan</t>
        </is>
      </c>
      <c r="C1007" t="inlineStr">
        <is>
          <t>Föryngringsavverkning</t>
        </is>
      </c>
      <c r="D1007" s="1" t="n">
        <v>45175</v>
      </c>
      <c r="E1007" s="1" t="n">
        <v>46222</v>
      </c>
      <c r="F1007" t="inlineStr">
        <is>
          <t>GÄVLEBORGS LÄN</t>
        </is>
      </c>
      <c r="G1007" t="inlineStr">
        <is>
          <t>OVANÅKER</t>
        </is>
      </c>
      <c r="I1007" t="n">
        <v>7.7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21953-2026</t>
        </is>
      </c>
      <c r="B1008" t="inlineStr">
        <is>
          <t>avverkningsanmälan</t>
        </is>
      </c>
      <c r="C1008" t="inlineStr">
        <is>
          <t>Föryngringsavverkning</t>
        </is>
      </c>
      <c r="D1008" s="1" t="n">
        <v>46152</v>
      </c>
      <c r="E1008" s="1" t="n">
        <v>46222</v>
      </c>
      <c r="F1008" t="inlineStr">
        <is>
          <t>GÄVLEBORGS LÄN</t>
        </is>
      </c>
      <c r="G1008" t="inlineStr">
        <is>
          <t>OVANÅKER</t>
        </is>
      </c>
      <c r="I1008" t="n">
        <v>10</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21957-2026</t>
        </is>
      </c>
      <c r="B1009" t="inlineStr">
        <is>
          <t>avverkningsanmälan</t>
        </is>
      </c>
      <c r="C1009" t="inlineStr">
        <is>
          <t>Föryngringsavverkning</t>
        </is>
      </c>
      <c r="D1009" s="1" t="n">
        <v>46152</v>
      </c>
      <c r="E1009" s="1" t="n">
        <v>46222</v>
      </c>
      <c r="F1009" t="inlineStr">
        <is>
          <t>GÄVLEBORGS LÄN</t>
        </is>
      </c>
      <c r="G1009" t="inlineStr">
        <is>
          <t>OVANÅKER</t>
        </is>
      </c>
      <c r="I1009" t="n">
        <v>0.6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12016-2026</t>
        </is>
      </c>
      <c r="B1010" t="inlineStr">
        <is>
          <t>avverkningsanmälan</t>
        </is>
      </c>
      <c r="C1010" t="inlineStr">
        <is>
          <t>Föryngringsavverkning</t>
        </is>
      </c>
      <c r="D1010" s="1" t="n">
        <v>46085</v>
      </c>
      <c r="E1010" s="1" t="n">
        <v>46222</v>
      </c>
      <c r="F1010" t="inlineStr">
        <is>
          <t>GÄVLEBORGS LÄN</t>
        </is>
      </c>
      <c r="G1010" t="inlineStr">
        <is>
          <t>OVANÅKER</t>
        </is>
      </c>
      <c r="I1010" t="n">
        <v>9.199999999999999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13938-2026</t>
        </is>
      </c>
      <c r="B1011" t="inlineStr">
        <is>
          <t>avverkningsanmälan</t>
        </is>
      </c>
      <c r="C1011" t="inlineStr">
        <is>
          <t>Föryngringsavverkning</t>
        </is>
      </c>
      <c r="D1011" s="1" t="n">
        <v>46098</v>
      </c>
      <c r="E1011" s="1" t="n">
        <v>46222</v>
      </c>
      <c r="F1011" t="inlineStr">
        <is>
          <t>GÄVLEBORGS LÄN</t>
        </is>
      </c>
      <c r="G1011" t="inlineStr">
        <is>
          <t>OVANÅKER</t>
        </is>
      </c>
      <c r="I1011" t="n">
        <v>3.2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22252-2026</t>
        </is>
      </c>
      <c r="B1012" t="inlineStr">
        <is>
          <t>avverkningsanmälan</t>
        </is>
      </c>
      <c r="C1012" t="inlineStr">
        <is>
          <t>Föryngringsavverkning</t>
        </is>
      </c>
      <c r="D1012" s="1" t="n">
        <v>46154</v>
      </c>
      <c r="E1012" s="1" t="n">
        <v>46222</v>
      </c>
      <c r="F1012" t="inlineStr">
        <is>
          <t>GÄVLEBORGS LÄN</t>
        </is>
      </c>
      <c r="G1012" t="inlineStr">
        <is>
          <t>OVANÅKER</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8888-2026</t>
        </is>
      </c>
      <c r="B1013" t="inlineStr">
        <is>
          <t>avverkningsanmälan</t>
        </is>
      </c>
      <c r="C1013" t="inlineStr">
        <is>
          <t>Föryngringsavverkning</t>
        </is>
      </c>
      <c r="D1013" s="1" t="n">
        <v>46068</v>
      </c>
      <c r="E1013" s="1" t="n">
        <v>46222</v>
      </c>
      <c r="F1013" t="inlineStr">
        <is>
          <t>GÄVLEBORGS LÄN</t>
        </is>
      </c>
      <c r="G1013" t="inlineStr">
        <is>
          <t>OVANÅKER</t>
        </is>
      </c>
      <c r="I1013" t="n">
        <v>2.6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42324-2024</t>
        </is>
      </c>
      <c r="B1014" t="inlineStr">
        <is>
          <t>avverkningsanmälan</t>
        </is>
      </c>
      <c r="C1014" t="inlineStr">
        <is>
          <t>Föryngringsavverkning</t>
        </is>
      </c>
      <c r="D1014" s="1" t="n">
        <v>45562</v>
      </c>
      <c r="E1014" s="1" t="n">
        <v>46222</v>
      </c>
      <c r="F1014" t="inlineStr">
        <is>
          <t>GÄVLEBORGS LÄN</t>
        </is>
      </c>
      <c r="G1014" t="inlineStr">
        <is>
          <t>OVANÅKER</t>
        </is>
      </c>
      <c r="I1014" t="n">
        <v>0.4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35348-2022</t>
        </is>
      </c>
      <c r="B1015" t="inlineStr">
        <is>
          <t>avverkningsanmälan</t>
        </is>
      </c>
      <c r="C1015" t="inlineStr">
        <is>
          <t>Föryngringsavverkning</t>
        </is>
      </c>
      <c r="D1015" s="1" t="n">
        <v>44798</v>
      </c>
      <c r="E1015" s="1" t="n">
        <v>46222</v>
      </c>
      <c r="F1015" t="inlineStr">
        <is>
          <t>GÄVLEBORGS LÄN</t>
        </is>
      </c>
      <c r="G1015" t="inlineStr">
        <is>
          <t>OVANÅKER</t>
        </is>
      </c>
      <c r="I1015" t="n">
        <v>0.5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31875-2023</t>
        </is>
      </c>
      <c r="B1016" t="inlineStr">
        <is>
          <t>avverkningsanmälan</t>
        </is>
      </c>
      <c r="C1016" t="inlineStr">
        <is>
          <t>Avverkning för annat ändamål</t>
        </is>
      </c>
      <c r="D1016" s="1" t="n">
        <v>45118</v>
      </c>
      <c r="E1016" s="1" t="n">
        <v>46222</v>
      </c>
      <c r="F1016" t="inlineStr">
        <is>
          <t>GÄVLEBORGS LÄN</t>
        </is>
      </c>
      <c r="G1016" t="inlineStr">
        <is>
          <t>OVANÅKER</t>
        </is>
      </c>
      <c r="I1016" t="n">
        <v>1.3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22150-2026</t>
        </is>
      </c>
      <c r="B1017" t="inlineStr">
        <is>
          <t>avverkningsanmälan</t>
        </is>
      </c>
      <c r="C1017" t="inlineStr">
        <is>
          <t>Föryngringsavverkning</t>
        </is>
      </c>
      <c r="D1017" s="1" t="n">
        <v>46153</v>
      </c>
      <c r="E1017" s="1" t="n">
        <v>46222</v>
      </c>
      <c r="F1017" t="inlineStr">
        <is>
          <t>GÄVLEBORGS LÄN</t>
        </is>
      </c>
      <c r="G1017" t="inlineStr">
        <is>
          <t>OVANÅKER</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28035-2026</t>
        </is>
      </c>
      <c r="B1018" t="inlineStr">
        <is>
          <t>avverkningsanmälan</t>
        </is>
      </c>
      <c r="C1018" t="inlineStr">
        <is>
          <t>Föryngringsavverkning</t>
        </is>
      </c>
      <c r="D1018" s="1" t="n">
        <v>46195</v>
      </c>
      <c r="E1018" s="1" t="n">
        <v>46222</v>
      </c>
      <c r="F1018" t="inlineStr">
        <is>
          <t>GÄVLEBORGS LÄN</t>
        </is>
      </c>
      <c r="G1018" t="inlineStr">
        <is>
          <t>OVANÅKER</t>
        </is>
      </c>
      <c r="H1018" t="inlineStr">
        <is>
          <t>Bergvik skog väst AB</t>
        </is>
      </c>
      <c r="I1018" t="n">
        <v>0.9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28072-2026</t>
        </is>
      </c>
      <c r="B1019" t="inlineStr">
        <is>
          <t>avverkningsanmälan</t>
        </is>
      </c>
      <c r="C1019" t="inlineStr">
        <is>
          <t>Föryngringsavverkning</t>
        </is>
      </c>
      <c r="D1019" s="1" t="n">
        <v>46195</v>
      </c>
      <c r="E1019" s="1" t="n">
        <v>46222</v>
      </c>
      <c r="F1019" t="inlineStr">
        <is>
          <t>GÄVLEBORGS LÄN</t>
        </is>
      </c>
      <c r="G1019" t="inlineStr">
        <is>
          <t>OVANÅKER</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18063-2026</t>
        </is>
      </c>
      <c r="B1020" t="inlineStr">
        <is>
          <t>avverkningsanmälan</t>
        </is>
      </c>
      <c r="C1020" t="inlineStr">
        <is>
          <t>Föryngringsavverkning</t>
        </is>
      </c>
      <c r="D1020" s="1" t="n">
        <v>46125</v>
      </c>
      <c r="E1020" s="1" t="n">
        <v>46222</v>
      </c>
      <c r="F1020" t="inlineStr">
        <is>
          <t>GÄVLEBORGS LÄN</t>
        </is>
      </c>
      <c r="G1020" t="inlineStr">
        <is>
          <t>OVANÅKER</t>
        </is>
      </c>
      <c r="I1020" t="n">
        <v>3.8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33634-2024</t>
        </is>
      </c>
      <c r="B1021" t="inlineStr">
        <is>
          <t>avverkningsanmälan</t>
        </is>
      </c>
      <c r="C1021" t="inlineStr">
        <is>
          <t>Föryngringsavverkning</t>
        </is>
      </c>
      <c r="D1021" s="1" t="n">
        <v>45520</v>
      </c>
      <c r="E1021" s="1" t="n">
        <v>46222</v>
      </c>
      <c r="F1021" t="inlineStr">
        <is>
          <t>GÄVLEBORGS LÄN</t>
        </is>
      </c>
      <c r="G1021" t="inlineStr">
        <is>
          <t>OVANÅKER</t>
        </is>
      </c>
      <c r="H1021" t="inlineStr">
        <is>
          <t>Bergvik skog öst AB</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16798-2026</t>
        </is>
      </c>
      <c r="B1022" t="inlineStr">
        <is>
          <t>avverkningsanmälan</t>
        </is>
      </c>
      <c r="C1022" t="inlineStr">
        <is>
          <t>Föryngringsavverkning</t>
        </is>
      </c>
      <c r="D1022" s="1" t="n">
        <v>46113</v>
      </c>
      <c r="E1022" s="1" t="n">
        <v>46222</v>
      </c>
      <c r="F1022" t="inlineStr">
        <is>
          <t>GÄVLEBORGS LÄN</t>
        </is>
      </c>
      <c r="G1022" t="inlineStr">
        <is>
          <t>OVANÅKER</t>
        </is>
      </c>
      <c r="I1022" t="n">
        <v>2.7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21956-2026</t>
        </is>
      </c>
      <c r="B1023" t="inlineStr">
        <is>
          <t>avverkningsanmälan</t>
        </is>
      </c>
      <c r="C1023" t="inlineStr">
        <is>
          <t>Föryngringsavverkning</t>
        </is>
      </c>
      <c r="D1023" s="1" t="n">
        <v>46152</v>
      </c>
      <c r="E1023" s="1" t="n">
        <v>46222</v>
      </c>
      <c r="F1023" t="inlineStr">
        <is>
          <t>GÄVLEBORGS LÄN</t>
        </is>
      </c>
      <c r="G1023" t="inlineStr">
        <is>
          <t>OVANÅKER</t>
        </is>
      </c>
      <c r="I1023" t="n">
        <v>1.4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21958-2026</t>
        </is>
      </c>
      <c r="B1024" t="inlineStr">
        <is>
          <t>avverkningsanmälan</t>
        </is>
      </c>
      <c r="C1024" t="inlineStr">
        <is>
          <t>Föryngringsavverkning</t>
        </is>
      </c>
      <c r="D1024" s="1" t="n">
        <v>46152</v>
      </c>
      <c r="E1024" s="1" t="n">
        <v>46222</v>
      </c>
      <c r="F1024" t="inlineStr">
        <is>
          <t>GÄVLEBORGS LÄN</t>
        </is>
      </c>
      <c r="G1024" t="inlineStr">
        <is>
          <t>OVANÅKER</t>
        </is>
      </c>
      <c r="I1024" t="n">
        <v>1.4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55811-2023</t>
        </is>
      </c>
      <c r="B1025" t="inlineStr">
        <is>
          <t>avverkningsanmälan</t>
        </is>
      </c>
      <c r="C1025" t="inlineStr">
        <is>
          <t>Föryngringsavverkning</t>
        </is>
      </c>
      <c r="D1025" s="1" t="n">
        <v>45239</v>
      </c>
      <c r="E1025" s="1" t="n">
        <v>46222</v>
      </c>
      <c r="F1025" t="inlineStr">
        <is>
          <t>GÄVLEBORGS LÄN</t>
        </is>
      </c>
      <c r="G1025" t="inlineStr">
        <is>
          <t>OVANÅKER</t>
        </is>
      </c>
      <c r="I1025" t="n">
        <v>2.1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21955-2026</t>
        </is>
      </c>
      <c r="B1026" t="inlineStr">
        <is>
          <t>avverkningsanmälan</t>
        </is>
      </c>
      <c r="C1026" t="inlineStr">
        <is>
          <t>Föryngringsavverkning</t>
        </is>
      </c>
      <c r="D1026" s="1" t="n">
        <v>46152</v>
      </c>
      <c r="E1026" s="1" t="n">
        <v>46222</v>
      </c>
      <c r="F1026" t="inlineStr">
        <is>
          <t>GÄVLEBORGS LÄN</t>
        </is>
      </c>
      <c r="G1026" t="inlineStr">
        <is>
          <t>OVANÅKER</t>
        </is>
      </c>
      <c r="I1026" t="n">
        <v>1.8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21954-2026</t>
        </is>
      </c>
      <c r="B1027" t="inlineStr">
        <is>
          <t>avverkningsanmälan</t>
        </is>
      </c>
      <c r="C1027" t="inlineStr">
        <is>
          <t>Föryngringsavverkning</t>
        </is>
      </c>
      <c r="D1027" s="1" t="n">
        <v>46152</v>
      </c>
      <c r="E1027" s="1" t="n">
        <v>46222</v>
      </c>
      <c r="F1027" t="inlineStr">
        <is>
          <t>GÄVLEBORGS LÄN</t>
        </is>
      </c>
      <c r="G1027" t="inlineStr">
        <is>
          <t>OVANÅKER</t>
        </is>
      </c>
      <c r="I1027" t="n">
        <v>4.3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15569-2026</t>
        </is>
      </c>
      <c r="B1028" t="inlineStr">
        <is>
          <t>avverkningsanmälan</t>
        </is>
      </c>
      <c r="C1028" t="inlineStr">
        <is>
          <t>Föryngringsavverkning</t>
        </is>
      </c>
      <c r="D1028" s="1" t="n">
        <v>46106</v>
      </c>
      <c r="E1028" s="1" t="n">
        <v>46222</v>
      </c>
      <c r="F1028" t="inlineStr">
        <is>
          <t>GÄVLEBORGS LÄN</t>
        </is>
      </c>
      <c r="G1028" t="inlineStr">
        <is>
          <t>OVANÅKER</t>
        </is>
      </c>
      <c r="H1028" t="inlineStr">
        <is>
          <t>Bergvik skog öst AB</t>
        </is>
      </c>
      <c r="I1028" t="n">
        <v>18.9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1893-2026</t>
        </is>
      </c>
      <c r="B1029" t="inlineStr">
        <is>
          <t>avverkningsanmälan</t>
        </is>
      </c>
      <c r="C1029" t="inlineStr">
        <is>
          <t>Föryngringsavverkning</t>
        </is>
      </c>
      <c r="D1029" s="1" t="n">
        <v>46035</v>
      </c>
      <c r="E1029" s="1" t="n">
        <v>46222</v>
      </c>
      <c r="F1029" t="inlineStr">
        <is>
          <t>GÄVLEBORGS LÄN</t>
        </is>
      </c>
      <c r="G1029" t="inlineStr">
        <is>
          <t>OVANÅKER</t>
        </is>
      </c>
      <c r="I1029" t="n">
        <v>2.6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28064-2026</t>
        </is>
      </c>
      <c r="B1030" t="inlineStr">
        <is>
          <t>avverkningsanmälan</t>
        </is>
      </c>
      <c r="C1030" t="inlineStr">
        <is>
          <t>Föryngringsavverkning</t>
        </is>
      </c>
      <c r="D1030" s="1" t="n">
        <v>46195</v>
      </c>
      <c r="E1030" s="1" t="n">
        <v>46222</v>
      </c>
      <c r="F1030" t="inlineStr">
        <is>
          <t>GÄVLEBORGS LÄN</t>
        </is>
      </c>
      <c r="G1030" t="inlineStr">
        <is>
          <t>OVANÅKER</t>
        </is>
      </c>
      <c r="I1030" t="n">
        <v>2.9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22437-2026</t>
        </is>
      </c>
      <c r="B1031" t="inlineStr">
        <is>
          <t>avverkningsanmälan</t>
        </is>
      </c>
      <c r="C1031" t="inlineStr">
        <is>
          <t>Föryngringsavverkning</t>
        </is>
      </c>
      <c r="D1031" s="1" t="n">
        <v>46155</v>
      </c>
      <c r="E1031" s="1" t="n">
        <v>46222</v>
      </c>
      <c r="F1031" t="inlineStr">
        <is>
          <t>GÄVLEBORGS LÄN</t>
        </is>
      </c>
      <c r="G1031" t="inlineStr">
        <is>
          <t>OVANÅKER</t>
        </is>
      </c>
      <c r="I1031" t="n">
        <v>0.7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22635-2026</t>
        </is>
      </c>
      <c r="B1032" t="inlineStr">
        <is>
          <t>avverkningsanmälan</t>
        </is>
      </c>
      <c r="C1032" t="inlineStr">
        <is>
          <t>Föryngringsavverkning</t>
        </is>
      </c>
      <c r="D1032" s="1" t="n">
        <v>46155</v>
      </c>
      <c r="E1032" s="1" t="n">
        <v>46222</v>
      </c>
      <c r="F1032" t="inlineStr">
        <is>
          <t>GÄVLEBORGS LÄN</t>
        </is>
      </c>
      <c r="G1032" t="inlineStr">
        <is>
          <t>OVANÅKER</t>
        </is>
      </c>
      <c r="I1032" t="n">
        <v>5.1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28365-2026</t>
        </is>
      </c>
      <c r="B1033" t="inlineStr">
        <is>
          <t>avverkningsanmälan</t>
        </is>
      </c>
      <c r="C1033" t="inlineStr">
        <is>
          <t>Föryngringsavverkning</t>
        </is>
      </c>
      <c r="D1033" s="1" t="n">
        <v>46196</v>
      </c>
      <c r="E1033" s="1" t="n">
        <v>46222</v>
      </c>
      <c r="F1033" t="inlineStr">
        <is>
          <t>GÄVLEBORGS LÄN</t>
        </is>
      </c>
      <c r="G1033" t="inlineStr">
        <is>
          <t>OVANÅKER</t>
        </is>
      </c>
      <c r="I1033" t="n">
        <v>1.5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3877-2024</t>
        </is>
      </c>
      <c r="B1034" t="inlineStr">
        <is>
          <t>avverkningsanmälan</t>
        </is>
      </c>
      <c r="C1034" t="inlineStr">
        <is>
          <t>Föryngringsavverkning</t>
        </is>
      </c>
      <c r="D1034" s="1" t="n">
        <v>45322</v>
      </c>
      <c r="E1034" s="1" t="n">
        <v>46222</v>
      </c>
      <c r="F1034" t="inlineStr">
        <is>
          <t>GÄVLEBORGS LÄN</t>
        </is>
      </c>
      <c r="G1034" t="inlineStr">
        <is>
          <t>OVANÅKER</t>
        </is>
      </c>
      <c r="I1034" t="n">
        <v>2.3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28518-2026</t>
        </is>
      </c>
      <c r="B1035" t="inlineStr">
        <is>
          <t>avverkningsanmälan</t>
        </is>
      </c>
      <c r="C1035" t="inlineStr">
        <is>
          <t>Föryngringsavverkning</t>
        </is>
      </c>
      <c r="D1035" s="1" t="n">
        <v>46197</v>
      </c>
      <c r="E1035" s="1" t="n">
        <v>46222</v>
      </c>
      <c r="F1035" t="inlineStr">
        <is>
          <t>GÄVLEBORGS LÄN</t>
        </is>
      </c>
      <c r="G1035" t="inlineStr">
        <is>
          <t>OVANÅKER</t>
        </is>
      </c>
      <c r="I1035" t="n">
        <v>2.3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96-2026</t>
        </is>
      </c>
      <c r="B1036" t="inlineStr">
        <is>
          <t>avverkningsanmälan</t>
        </is>
      </c>
      <c r="C1036" t="inlineStr">
        <is>
          <t>Föryngringsavverkning</t>
        </is>
      </c>
      <c r="D1036" s="1" t="n">
        <v>46024</v>
      </c>
      <c r="E1036" s="1" t="n">
        <v>46222</v>
      </c>
      <c r="F1036" t="inlineStr">
        <is>
          <t>GÄVLEBORGS LÄN</t>
        </is>
      </c>
      <c r="G1036" t="inlineStr">
        <is>
          <t>OVANÅKER</t>
        </is>
      </c>
      <c r="I1036" t="n">
        <v>4.4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28832-2026</t>
        </is>
      </c>
      <c r="B1037" t="inlineStr">
        <is>
          <t>avverkningsanmälan</t>
        </is>
      </c>
      <c r="C1037" t="inlineStr">
        <is>
          <t>Föryngringsavverkning</t>
        </is>
      </c>
      <c r="D1037" s="1" t="n">
        <v>46198</v>
      </c>
      <c r="E1037" s="1" t="n">
        <v>46222</v>
      </c>
      <c r="F1037" t="inlineStr">
        <is>
          <t>GÄVLEBORGS LÄN</t>
        </is>
      </c>
      <c r="G1037" t="inlineStr">
        <is>
          <t>OVANÅKER</t>
        </is>
      </c>
      <c r="I1037" t="n">
        <v>6.9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28542-2026</t>
        </is>
      </c>
      <c r="B1038" t="inlineStr">
        <is>
          <t>avverkningsanmälan</t>
        </is>
      </c>
      <c r="C1038" t="inlineStr">
        <is>
          <t>Föryngringsavverkning</t>
        </is>
      </c>
      <c r="D1038" s="1" t="n">
        <v>46197</v>
      </c>
      <c r="E1038" s="1" t="n">
        <v>46222</v>
      </c>
      <c r="F1038" t="inlineStr">
        <is>
          <t>GÄVLEBORGS LÄN</t>
        </is>
      </c>
      <c r="G1038" t="inlineStr">
        <is>
          <t>OVANÅKER</t>
        </is>
      </c>
      <c r="I1038" t="n">
        <v>2.3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28547-2026</t>
        </is>
      </c>
      <c r="B1039" t="inlineStr">
        <is>
          <t>avverkningsanmälan</t>
        </is>
      </c>
      <c r="C1039" t="inlineStr">
        <is>
          <t>Föryngringsavverkning</t>
        </is>
      </c>
      <c r="D1039" s="1" t="n">
        <v>46197</v>
      </c>
      <c r="E1039" s="1" t="n">
        <v>46222</v>
      </c>
      <c r="F1039" t="inlineStr">
        <is>
          <t>GÄVLEBORGS LÄN</t>
        </is>
      </c>
      <c r="G1039" t="inlineStr">
        <is>
          <t>OVANÅKER</t>
        </is>
      </c>
      <c r="I1039" t="n">
        <v>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22597-2026</t>
        </is>
      </c>
      <c r="B1040" t="inlineStr">
        <is>
          <t>avverkningsanmälan</t>
        </is>
      </c>
      <c r="C1040" t="inlineStr">
        <is>
          <t>Föryngringsavverkning</t>
        </is>
      </c>
      <c r="D1040" s="1" t="n">
        <v>46155</v>
      </c>
      <c r="E1040" s="1" t="n">
        <v>46222</v>
      </c>
      <c r="F1040" t="inlineStr">
        <is>
          <t>GÄVLEBORGS LÄN</t>
        </is>
      </c>
      <c r="G1040" t="inlineStr">
        <is>
          <t>OVANÅKER</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28484-2026</t>
        </is>
      </c>
      <c r="B1041" t="inlineStr">
        <is>
          <t>avverkningsanmälan</t>
        </is>
      </c>
      <c r="C1041" t="inlineStr">
        <is>
          <t>Föryngringsavverkning</t>
        </is>
      </c>
      <c r="D1041" s="1" t="n">
        <v>46197</v>
      </c>
      <c r="E1041" s="1" t="n">
        <v>46222</v>
      </c>
      <c r="F1041" t="inlineStr">
        <is>
          <t>GÄVLEBORGS LÄN</t>
        </is>
      </c>
      <c r="G1041" t="inlineStr">
        <is>
          <t>OVANÅKER</t>
        </is>
      </c>
      <c r="I1041" t="n">
        <v>1.7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22637-2026</t>
        </is>
      </c>
      <c r="B1042" t="inlineStr">
        <is>
          <t>avverkningsanmälan</t>
        </is>
      </c>
      <c r="C1042" t="inlineStr">
        <is>
          <t>Föryngringsavverkning</t>
        </is>
      </c>
      <c r="D1042" s="1" t="n">
        <v>46155</v>
      </c>
      <c r="E1042" s="1" t="n">
        <v>46222</v>
      </c>
      <c r="F1042" t="inlineStr">
        <is>
          <t>GÄVLEBORGS LÄN</t>
        </is>
      </c>
      <c r="G1042" t="inlineStr">
        <is>
          <t>OVANÅKER</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22675-2026</t>
        </is>
      </c>
      <c r="B1043" t="inlineStr">
        <is>
          <t>avverkningsanmälan</t>
        </is>
      </c>
      <c r="C1043" t="inlineStr">
        <is>
          <t>Föryngringsavverkning</t>
        </is>
      </c>
      <c r="D1043" s="1" t="n">
        <v>46156</v>
      </c>
      <c r="E1043" s="1" t="n">
        <v>46222</v>
      </c>
      <c r="F1043" t="inlineStr">
        <is>
          <t>GÄVLEBORGS LÄN</t>
        </is>
      </c>
      <c r="G1043" t="inlineStr">
        <is>
          <t>OVANÅKER</t>
        </is>
      </c>
      <c r="H1043" t="inlineStr">
        <is>
          <t>Bergvik skog väst AB</t>
        </is>
      </c>
      <c r="I1043" t="n">
        <v>0.7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14289-2026</t>
        </is>
      </c>
      <c r="B1044" t="inlineStr">
        <is>
          <t>avverkningsanmälan</t>
        </is>
      </c>
      <c r="C1044" t="inlineStr">
        <is>
          <t>Föryngringsavverkning</t>
        </is>
      </c>
      <c r="D1044" s="1" t="n">
        <v>46099</v>
      </c>
      <c r="E1044" s="1" t="n">
        <v>46222</v>
      </c>
      <c r="F1044" t="inlineStr">
        <is>
          <t>GÄVLEBORGS LÄN</t>
        </is>
      </c>
      <c r="G1044" t="inlineStr">
        <is>
          <t>OVANÅKER</t>
        </is>
      </c>
      <c r="I1044" t="n">
        <v>3.4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55477-2022</t>
        </is>
      </c>
      <c r="B1045" t="inlineStr">
        <is>
          <t>avverkningsanmälan</t>
        </is>
      </c>
      <c r="C1045" t="inlineStr">
        <is>
          <t>Föryngringsavverkning</t>
        </is>
      </c>
      <c r="D1045" s="1" t="n">
        <v>44887</v>
      </c>
      <c r="E1045" s="1" t="n">
        <v>46222</v>
      </c>
      <c r="F1045" t="inlineStr">
        <is>
          <t>GÄVLEBORGS LÄN</t>
        </is>
      </c>
      <c r="G1045" t="inlineStr">
        <is>
          <t>OVANÅKER</t>
        </is>
      </c>
      <c r="I1045" t="n">
        <v>1.4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28536-2026</t>
        </is>
      </c>
      <c r="B1046" t="inlineStr">
        <is>
          <t>avverkningsanmälan</t>
        </is>
      </c>
      <c r="C1046" t="inlineStr">
        <is>
          <t>Föryngringsavverkning</t>
        </is>
      </c>
      <c r="D1046" s="1" t="n">
        <v>46197</v>
      </c>
      <c r="E1046" s="1" t="n">
        <v>46222</v>
      </c>
      <c r="F1046" t="inlineStr">
        <is>
          <t>GÄVLEBORGS LÄN</t>
        </is>
      </c>
      <c r="G1046" t="inlineStr">
        <is>
          <t>OVANÅKER</t>
        </is>
      </c>
      <c r="I1046" t="n">
        <v>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28535-2026</t>
        </is>
      </c>
      <c r="B1047" t="inlineStr">
        <is>
          <t>avverkningsanmälan</t>
        </is>
      </c>
      <c r="C1047" t="inlineStr">
        <is>
          <t>Föryngringsavverkning</t>
        </is>
      </c>
      <c r="D1047" s="1" t="n">
        <v>46197</v>
      </c>
      <c r="E1047" s="1" t="n">
        <v>46222</v>
      </c>
      <c r="F1047" t="inlineStr">
        <is>
          <t>GÄVLEBORGS LÄN</t>
        </is>
      </c>
      <c r="G1047" t="inlineStr">
        <is>
          <t>OVANÅKER</t>
        </is>
      </c>
      <c r="I1047" t="n">
        <v>4.4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40476-2024</t>
        </is>
      </c>
      <c r="B1048" t="inlineStr">
        <is>
          <t>avverkningsanmälan</t>
        </is>
      </c>
      <c r="C1048" t="inlineStr">
        <is>
          <t>Föryngringsavverkning</t>
        </is>
      </c>
      <c r="D1048" s="1" t="n">
        <v>45555</v>
      </c>
      <c r="E1048" s="1" t="n">
        <v>46222</v>
      </c>
      <c r="F1048" t="inlineStr">
        <is>
          <t>GÄVLEBORGS LÄN</t>
        </is>
      </c>
      <c r="G1048" t="inlineStr">
        <is>
          <t>OVANÅKER</t>
        </is>
      </c>
      <c r="I1048" t="n">
        <v>0.6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29273-2026</t>
        </is>
      </c>
      <c r="B1049" t="inlineStr">
        <is>
          <t>avverkningsanmälan</t>
        </is>
      </c>
      <c r="C1049" t="inlineStr">
        <is>
          <t>Föryngringsavverkning</t>
        </is>
      </c>
      <c r="D1049" s="1" t="n">
        <v>46202</v>
      </c>
      <c r="E1049" s="1" t="n">
        <v>46222</v>
      </c>
      <c r="F1049" t="inlineStr">
        <is>
          <t>GÄVLEBORGS LÄN</t>
        </is>
      </c>
      <c r="G1049" t="inlineStr">
        <is>
          <t>OVANÅKER</t>
        </is>
      </c>
      <c r="H1049" t="inlineStr">
        <is>
          <t>Sveaskog</t>
        </is>
      </c>
      <c r="I1049" t="n">
        <v>7.4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59718-2021</t>
        </is>
      </c>
      <c r="B1050" t="inlineStr">
        <is>
          <t>avverkningsanmälan</t>
        </is>
      </c>
      <c r="C1050" t="inlineStr">
        <is>
          <t>Föryngringsavverkning</t>
        </is>
      </c>
      <c r="D1050" s="1" t="n">
        <v>44494</v>
      </c>
      <c r="E1050" s="1" t="n">
        <v>46222</v>
      </c>
      <c r="F1050" t="inlineStr">
        <is>
          <t>GÄVLEBORGS LÄN</t>
        </is>
      </c>
      <c r="G1050" t="inlineStr">
        <is>
          <t>OVANÅKER</t>
        </is>
      </c>
      <c r="I1050" t="n">
        <v>2.1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28606-2023</t>
        </is>
      </c>
      <c r="B1051" t="inlineStr">
        <is>
          <t>avverkningsanmälan</t>
        </is>
      </c>
      <c r="C1051" t="inlineStr">
        <is>
          <t>Avverkning för annat ändamål</t>
        </is>
      </c>
      <c r="D1051" s="1" t="n">
        <v>45103</v>
      </c>
      <c r="E1051" s="1" t="n">
        <v>46222</v>
      </c>
      <c r="F1051" t="inlineStr">
        <is>
          <t>GÄVLEBORGS LÄN</t>
        </is>
      </c>
      <c r="G1051" t="inlineStr">
        <is>
          <t>OVANÅKER</t>
        </is>
      </c>
      <c r="I1051" t="n">
        <v>0.9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62362-2022</t>
        </is>
      </c>
      <c r="B1052" t="inlineStr">
        <is>
          <t>avverkningsanmälan</t>
        </is>
      </c>
      <c r="C1052" t="inlineStr">
        <is>
          <t>Föryngringsavverkning</t>
        </is>
      </c>
      <c r="D1052" s="1" t="n">
        <v>44923</v>
      </c>
      <c r="E1052" s="1" t="n">
        <v>46222</v>
      </c>
      <c r="F1052" t="inlineStr">
        <is>
          <t>GÄVLEBORGS LÄN</t>
        </is>
      </c>
      <c r="G1052" t="inlineStr">
        <is>
          <t>OVANÅKER</t>
        </is>
      </c>
      <c r="I1052" t="n">
        <v>1.1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1198-2024</t>
        </is>
      </c>
      <c r="B1053" t="inlineStr">
        <is>
          <t>avverkningsanmälan</t>
        </is>
      </c>
      <c r="C1053" t="inlineStr">
        <is>
          <t>Föryngringsavverkning</t>
        </is>
      </c>
      <c r="D1053" s="1" t="n">
        <v>45302</v>
      </c>
      <c r="E1053" s="1" t="n">
        <v>46222</v>
      </c>
      <c r="F1053" t="inlineStr">
        <is>
          <t>GÄVLEBORGS LÄN</t>
        </is>
      </c>
      <c r="G1053" t="inlineStr">
        <is>
          <t>OVANÅKER</t>
        </is>
      </c>
      <c r="H1053" t="inlineStr">
        <is>
          <t>Bergvik skog väst AB</t>
        </is>
      </c>
      <c r="I1053" t="n">
        <v>0.6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45778-2022</t>
        </is>
      </c>
      <c r="B1054" t="inlineStr">
        <is>
          <t>avverkningsanmälan</t>
        </is>
      </c>
      <c r="C1054" t="inlineStr">
        <is>
          <t>Föryngringsavverkning</t>
        </is>
      </c>
      <c r="D1054" s="1" t="n">
        <v>44846</v>
      </c>
      <c r="E1054" s="1" t="n">
        <v>46222</v>
      </c>
      <c r="F1054" t="inlineStr">
        <is>
          <t>GÄVLEBORGS LÄN</t>
        </is>
      </c>
      <c r="G1054" t="inlineStr">
        <is>
          <t>OVANÅKER</t>
        </is>
      </c>
      <c r="I1054" t="n">
        <v>1.7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33225-2023</t>
        </is>
      </c>
      <c r="B1055" t="inlineStr">
        <is>
          <t>avverkningsanmälan</t>
        </is>
      </c>
      <c r="C1055" t="inlineStr">
        <is>
          <t>Föryngringsavverkning</t>
        </is>
      </c>
      <c r="D1055" s="1" t="n">
        <v>45127</v>
      </c>
      <c r="E1055" s="1" t="n">
        <v>46222</v>
      </c>
      <c r="F1055" t="inlineStr">
        <is>
          <t>GÄVLEBORGS LÄN</t>
        </is>
      </c>
      <c r="G1055" t="inlineStr">
        <is>
          <t>OVANÅKER</t>
        </is>
      </c>
      <c r="H1055" t="inlineStr">
        <is>
          <t>Bergvik skog öst AB</t>
        </is>
      </c>
      <c r="I1055" t="n">
        <v>19.8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17137-2024</t>
        </is>
      </c>
      <c r="B1056" t="inlineStr">
        <is>
          <t>avverkningsanmälan</t>
        </is>
      </c>
      <c r="C1056" t="inlineStr">
        <is>
          <t>Föryngringsavverkning</t>
        </is>
      </c>
      <c r="D1056" s="1" t="n">
        <v>45412</v>
      </c>
      <c r="E1056" s="1" t="n">
        <v>46222</v>
      </c>
      <c r="F1056" t="inlineStr">
        <is>
          <t>GÄVLEBORGS LÄN</t>
        </is>
      </c>
      <c r="G1056" t="inlineStr">
        <is>
          <t>OVANÅKER</t>
        </is>
      </c>
      <c r="I1056" t="n">
        <v>0.5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22970-2026</t>
        </is>
      </c>
      <c r="B1057" t="inlineStr">
        <is>
          <t>avverkningsanmälan</t>
        </is>
      </c>
      <c r="C1057" t="inlineStr">
        <is>
          <t>Föryngringsavverkning</t>
        </is>
      </c>
      <c r="D1057" s="1" t="n">
        <v>46160</v>
      </c>
      <c r="E1057" s="1" t="n">
        <v>46222</v>
      </c>
      <c r="F1057" t="inlineStr">
        <is>
          <t>GÄVLEBORGS LÄN</t>
        </is>
      </c>
      <c r="G1057" t="inlineStr">
        <is>
          <t>OVANÅKER</t>
        </is>
      </c>
      <c r="I1057" t="n">
        <v>6.3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22897-2026</t>
        </is>
      </c>
      <c r="B1058" t="inlineStr">
        <is>
          <t>avverkningsanmälan</t>
        </is>
      </c>
      <c r="C1058" t="inlineStr">
        <is>
          <t>Föryngringsavverkning</t>
        </is>
      </c>
      <c r="D1058" s="1" t="n">
        <v>46160</v>
      </c>
      <c r="E1058" s="1" t="n">
        <v>46222</v>
      </c>
      <c r="F1058" t="inlineStr">
        <is>
          <t>GÄVLEBORGS LÄN</t>
        </is>
      </c>
      <c r="G1058" t="inlineStr">
        <is>
          <t>OVANÅKER</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50637-2022</t>
        </is>
      </c>
      <c r="B1059" t="inlineStr">
        <is>
          <t>avverkningsanmälan</t>
        </is>
      </c>
      <c r="C1059" t="inlineStr">
        <is>
          <t>Föryngringsavverkning</t>
        </is>
      </c>
      <c r="D1059" s="1" t="n">
        <v>44866</v>
      </c>
      <c r="E1059" s="1" t="n">
        <v>46222</v>
      </c>
      <c r="F1059" t="inlineStr">
        <is>
          <t>GÄVLEBORGS LÄN</t>
        </is>
      </c>
      <c r="G1059" t="inlineStr">
        <is>
          <t>OVANÅKER</t>
        </is>
      </c>
      <c r="I1059" t="n">
        <v>3.3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22884-2026</t>
        </is>
      </c>
      <c r="B1060" t="inlineStr">
        <is>
          <t>avverkningsanmälan</t>
        </is>
      </c>
      <c r="C1060" t="inlineStr">
        <is>
          <t>Föryngringsavverkning</t>
        </is>
      </c>
      <c r="D1060" s="1" t="n">
        <v>46160</v>
      </c>
      <c r="E1060" s="1" t="n">
        <v>46222</v>
      </c>
      <c r="F1060" t="inlineStr">
        <is>
          <t>GÄVLEBORGS LÄN</t>
        </is>
      </c>
      <c r="G1060" t="inlineStr">
        <is>
          <t>OVANÅKER</t>
        </is>
      </c>
      <c r="I1060" t="n">
        <v>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22969-2026</t>
        </is>
      </c>
      <c r="B1061" t="inlineStr">
        <is>
          <t>avverkningsanmälan</t>
        </is>
      </c>
      <c r="C1061" t="inlineStr">
        <is>
          <t>Föryngringsavverkning</t>
        </is>
      </c>
      <c r="D1061" s="1" t="n">
        <v>46160</v>
      </c>
      <c r="E1061" s="1" t="n">
        <v>46222</v>
      </c>
      <c r="F1061" t="inlineStr">
        <is>
          <t>GÄVLEBORGS LÄN</t>
        </is>
      </c>
      <c r="G1061" t="inlineStr">
        <is>
          <t>OVANÅKER</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22960-2026</t>
        </is>
      </c>
      <c r="B1062" t="inlineStr">
        <is>
          <t>avverkningsanmälan</t>
        </is>
      </c>
      <c r="C1062" t="inlineStr">
        <is>
          <t>Föryngringsavverkning</t>
        </is>
      </c>
      <c r="D1062" s="1" t="n">
        <v>46160</v>
      </c>
      <c r="E1062" s="1" t="n">
        <v>46222</v>
      </c>
      <c r="F1062" t="inlineStr">
        <is>
          <t>GÄVLEBORGS LÄN</t>
        </is>
      </c>
      <c r="G1062" t="inlineStr">
        <is>
          <t>OVANÅKER</t>
        </is>
      </c>
      <c r="I1062" t="n">
        <v>2.8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926-2022</t>
        </is>
      </c>
      <c r="B1063" t="inlineStr">
        <is>
          <t>avverkningsanmälan</t>
        </is>
      </c>
      <c r="C1063" t="inlineStr">
        <is>
          <t>Föryngringsavverkning</t>
        </is>
      </c>
      <c r="D1063" s="1" t="n">
        <v>44571</v>
      </c>
      <c r="E1063" s="1" t="n">
        <v>46222</v>
      </c>
      <c r="F1063" t="inlineStr">
        <is>
          <t>GÄVLEBORGS LÄN</t>
        </is>
      </c>
      <c r="G1063" t="inlineStr">
        <is>
          <t>OVANÅKER</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3453-2023</t>
        </is>
      </c>
      <c r="B1064" t="inlineStr">
        <is>
          <t>avverkningsanmälan</t>
        </is>
      </c>
      <c r="C1064" t="inlineStr">
        <is>
          <t>Föryngringsavverkning</t>
        </is>
      </c>
      <c r="D1064" s="1" t="n">
        <v>44949</v>
      </c>
      <c r="E1064" s="1" t="n">
        <v>46222</v>
      </c>
      <c r="F1064" t="inlineStr">
        <is>
          <t>GÄVLEBORGS LÄN</t>
        </is>
      </c>
      <c r="G1064" t="inlineStr">
        <is>
          <t>OVANÅKER</t>
        </is>
      </c>
      <c r="I1064" t="n">
        <v>0.8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13047-2023</t>
        </is>
      </c>
      <c r="B1065" t="inlineStr">
        <is>
          <t>avverkningsanmälan</t>
        </is>
      </c>
      <c r="C1065" t="inlineStr">
        <is>
          <t>Föryngringsavverkning</t>
        </is>
      </c>
      <c r="D1065" s="1" t="n">
        <v>45002</v>
      </c>
      <c r="E1065" s="1" t="n">
        <v>46222</v>
      </c>
      <c r="F1065" t="inlineStr">
        <is>
          <t>GÄVLEBORGS LÄN</t>
        </is>
      </c>
      <c r="G1065" t="inlineStr">
        <is>
          <t>OVANÅKER</t>
        </is>
      </c>
      <c r="I1065" t="n">
        <v>0.2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23161-2026</t>
        </is>
      </c>
      <c r="B1066" t="inlineStr">
        <is>
          <t>avverkningsanmälan</t>
        </is>
      </c>
      <c r="C1066" t="inlineStr">
        <is>
          <t>Föryngringsavverkning</t>
        </is>
      </c>
      <c r="D1066" s="1" t="n">
        <v>46161</v>
      </c>
      <c r="E1066" s="1" t="n">
        <v>46222</v>
      </c>
      <c r="F1066" t="inlineStr">
        <is>
          <t>GÄVLEBORGS LÄN</t>
        </is>
      </c>
      <c r="G1066" t="inlineStr">
        <is>
          <t>OVANÅKER</t>
        </is>
      </c>
      <c r="I1066" t="n">
        <v>5.7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15620-2026</t>
        </is>
      </c>
      <c r="B1067" t="inlineStr">
        <is>
          <t>avverkningsanmälan</t>
        </is>
      </c>
      <c r="C1067" t="inlineStr">
        <is>
          <t>Föryngringsavverkning</t>
        </is>
      </c>
      <c r="D1067" s="1" t="n">
        <v>46106</v>
      </c>
      <c r="E1067" s="1" t="n">
        <v>46222</v>
      </c>
      <c r="F1067" t="inlineStr">
        <is>
          <t>GÄVLEBORGS LÄN</t>
        </is>
      </c>
      <c r="G1067" t="inlineStr">
        <is>
          <t>OVANÅKER</t>
        </is>
      </c>
      <c r="H1067" t="inlineStr">
        <is>
          <t>Bergvik skog öst AB</t>
        </is>
      </c>
      <c r="I1067" t="n">
        <v>0.6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23329-2026</t>
        </is>
      </c>
      <c r="B1068" t="inlineStr">
        <is>
          <t>avverkningsanmälan</t>
        </is>
      </c>
      <c r="C1068" t="inlineStr">
        <is>
          <t>Föryngringsavverkning</t>
        </is>
      </c>
      <c r="D1068" s="1" t="n">
        <v>46162</v>
      </c>
      <c r="E1068" s="1" t="n">
        <v>46222</v>
      </c>
      <c r="F1068" t="inlineStr">
        <is>
          <t>GÄVLEBORGS LÄN</t>
        </is>
      </c>
      <c r="G1068" t="inlineStr">
        <is>
          <t>OVANÅKER</t>
        </is>
      </c>
      <c r="H1068" t="inlineStr">
        <is>
          <t>Bergvik skog öst AB</t>
        </is>
      </c>
      <c r="I1068" t="n">
        <v>2.2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23348-2026</t>
        </is>
      </c>
      <c r="B1069" t="inlineStr">
        <is>
          <t>avverkningsanmälan</t>
        </is>
      </c>
      <c r="C1069" t="inlineStr">
        <is>
          <t>Föryngringsavverkning</t>
        </is>
      </c>
      <c r="D1069" s="1" t="n">
        <v>46162</v>
      </c>
      <c r="E1069" s="1" t="n">
        <v>46222</v>
      </c>
      <c r="F1069" t="inlineStr">
        <is>
          <t>GÄVLEBORGS LÄN</t>
        </is>
      </c>
      <c r="G1069" t="inlineStr">
        <is>
          <t>OVANÅKER</t>
        </is>
      </c>
      <c r="H1069" t="inlineStr">
        <is>
          <t>Kyrkan</t>
        </is>
      </c>
      <c r="I1069" t="n">
        <v>2.6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59186-2022</t>
        </is>
      </c>
      <c r="B1070" t="inlineStr">
        <is>
          <t>avverkningsanmälan</t>
        </is>
      </c>
      <c r="C1070" t="inlineStr">
        <is>
          <t>Föryngringsavverkning</t>
        </is>
      </c>
      <c r="D1070" s="1" t="n">
        <v>44904</v>
      </c>
      <c r="E1070" s="1" t="n">
        <v>46222</v>
      </c>
      <c r="F1070" t="inlineStr">
        <is>
          <t>GÄVLEBORGS LÄN</t>
        </is>
      </c>
      <c r="G1070" t="inlineStr">
        <is>
          <t>OVANÅKER</t>
        </is>
      </c>
      <c r="I1070" t="n">
        <v>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23361-2026</t>
        </is>
      </c>
      <c r="B1071" t="inlineStr">
        <is>
          <t>avverkningsanmälan</t>
        </is>
      </c>
      <c r="C1071" t="inlineStr">
        <is>
          <t>Föryngringsavverkning</t>
        </is>
      </c>
      <c r="D1071" s="1" t="n">
        <v>46162</v>
      </c>
      <c r="E1071" s="1" t="n">
        <v>46222</v>
      </c>
      <c r="F1071" t="inlineStr">
        <is>
          <t>GÄVLEBORGS LÄN</t>
        </is>
      </c>
      <c r="G1071" t="inlineStr">
        <is>
          <t>OVANÅKER</t>
        </is>
      </c>
      <c r="H1071" t="inlineStr">
        <is>
          <t>Bergvik skog väst AB</t>
        </is>
      </c>
      <c r="I1071" t="n">
        <v>1.9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23011-2026</t>
        </is>
      </c>
      <c r="B1072" t="inlineStr">
        <is>
          <t>avverkningsanmälan</t>
        </is>
      </c>
      <c r="C1072" t="inlineStr">
        <is>
          <t>Föryngringsavverkning</t>
        </is>
      </c>
      <c r="D1072" s="1" t="n">
        <v>46161</v>
      </c>
      <c r="E1072" s="1" t="n">
        <v>46222</v>
      </c>
      <c r="F1072" t="inlineStr">
        <is>
          <t>GÄVLEBORGS LÄN</t>
        </is>
      </c>
      <c r="G1072" t="inlineStr">
        <is>
          <t>OVANÅKER</t>
        </is>
      </c>
      <c r="H1072" t="inlineStr">
        <is>
          <t>Bergvik skog väst AB</t>
        </is>
      </c>
      <c r="I1072" t="n">
        <v>4.3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29458-2026</t>
        </is>
      </c>
      <c r="B1073" t="inlineStr">
        <is>
          <t>avverkningsanmälan</t>
        </is>
      </c>
      <c r="C1073" t="inlineStr">
        <is>
          <t>Föryngringsavverkning</t>
        </is>
      </c>
      <c r="D1073" s="1" t="n">
        <v>46203</v>
      </c>
      <c r="E1073" s="1" t="n">
        <v>46222</v>
      </c>
      <c r="F1073" t="inlineStr">
        <is>
          <t>GÄVLEBORGS LÄN</t>
        </is>
      </c>
      <c r="G1073" t="inlineStr">
        <is>
          <t>OVANÅKER</t>
        </is>
      </c>
      <c r="I1073" t="n">
        <v>1.9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10888-2025</t>
        </is>
      </c>
      <c r="B1074" t="inlineStr">
        <is>
          <t>avverkningsanmälan</t>
        </is>
      </c>
      <c r="C1074" t="inlineStr">
        <is>
          <t>Föryngringsavverkning</t>
        </is>
      </c>
      <c r="D1074" s="1" t="n">
        <v>45722</v>
      </c>
      <c r="E1074" s="1" t="n">
        <v>46222</v>
      </c>
      <c r="F1074" t="inlineStr">
        <is>
          <t>GÄVLEBORGS LÄN</t>
        </is>
      </c>
      <c r="G1074" t="inlineStr">
        <is>
          <t>OVANÅKER</t>
        </is>
      </c>
      <c r="H1074" t="inlineStr">
        <is>
          <t>Bergvik skog öst AB</t>
        </is>
      </c>
      <c r="I1074" t="n">
        <v>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30893-2023</t>
        </is>
      </c>
      <c r="B1075" t="inlineStr">
        <is>
          <t>avverkningsanmälan</t>
        </is>
      </c>
      <c r="C1075" t="inlineStr">
        <is>
          <t>Föryngringsavverkning</t>
        </is>
      </c>
      <c r="D1075" s="1" t="n">
        <v>45113</v>
      </c>
      <c r="E1075" s="1" t="n">
        <v>46222</v>
      </c>
      <c r="F1075" t="inlineStr">
        <is>
          <t>GÄVLEBORGS LÄN</t>
        </is>
      </c>
      <c r="G1075" t="inlineStr">
        <is>
          <t>OVANÅKER</t>
        </is>
      </c>
      <c r="I1075" t="n">
        <v>1.5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23441-2026</t>
        </is>
      </c>
      <c r="B1076" t="inlineStr">
        <is>
          <t>avverkningsanmälan</t>
        </is>
      </c>
      <c r="C1076" t="inlineStr">
        <is>
          <t>Föryngringsavverkning</t>
        </is>
      </c>
      <c r="D1076" s="1" t="n">
        <v>46163</v>
      </c>
      <c r="E1076" s="1" t="n">
        <v>46222</v>
      </c>
      <c r="F1076" t="inlineStr">
        <is>
          <t>GÄVLEBORGS LÄN</t>
        </is>
      </c>
      <c r="G1076" t="inlineStr">
        <is>
          <t>OVANÅKER</t>
        </is>
      </c>
      <c r="H1076" t="inlineStr">
        <is>
          <t>Bergvik skog öst AB</t>
        </is>
      </c>
      <c r="I1076" t="n">
        <v>0.7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66403-2021</t>
        </is>
      </c>
      <c r="B1077" t="inlineStr">
        <is>
          <t>avverkningsanmälan</t>
        </is>
      </c>
      <c r="C1077" t="inlineStr">
        <is>
          <t>Föryngringsavverkning</t>
        </is>
      </c>
      <c r="D1077" s="1" t="n">
        <v>44518</v>
      </c>
      <c r="E1077" s="1" t="n">
        <v>46222</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29967-2026</t>
        </is>
      </c>
      <c r="B1078" t="inlineStr">
        <is>
          <t>avverkningsanmälan</t>
        </is>
      </c>
      <c r="C1078" t="inlineStr">
        <is>
          <t>Föryngringsavverkning</t>
        </is>
      </c>
      <c r="D1078" s="1" t="n">
        <v>46205</v>
      </c>
      <c r="E1078" s="1" t="n">
        <v>46222</v>
      </c>
      <c r="F1078" t="inlineStr">
        <is>
          <t>GÄVLEBORGS LÄN</t>
        </is>
      </c>
      <c r="G1078" t="inlineStr">
        <is>
          <t>OVANÅKER</t>
        </is>
      </c>
      <c r="I1078" t="n">
        <v>0.5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29968-2026</t>
        </is>
      </c>
      <c r="B1079" t="inlineStr">
        <is>
          <t>avverkningsanmälan</t>
        </is>
      </c>
      <c r="C1079" t="inlineStr">
        <is>
          <t>Föryngringsavverkning</t>
        </is>
      </c>
      <c r="D1079" s="1" t="n">
        <v>46205</v>
      </c>
      <c r="E1079" s="1" t="n">
        <v>46222</v>
      </c>
      <c r="F1079" t="inlineStr">
        <is>
          <t>GÄVLEBORGS LÄN</t>
        </is>
      </c>
      <c r="G1079" t="inlineStr">
        <is>
          <t>OVANÅKER</t>
        </is>
      </c>
      <c r="I1079" t="n">
        <v>1.1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23580-2026</t>
        </is>
      </c>
      <c r="B1080" t="inlineStr">
        <is>
          <t>avverkningsanmälan</t>
        </is>
      </c>
      <c r="C1080" t="inlineStr">
        <is>
          <t>Föryngringsavverkning</t>
        </is>
      </c>
      <c r="D1080" s="1" t="n">
        <v>46163</v>
      </c>
      <c r="E1080" s="1" t="n">
        <v>46222</v>
      </c>
      <c r="F1080" t="inlineStr">
        <is>
          <t>GÄVLEBORGS LÄN</t>
        </is>
      </c>
      <c r="G1080" t="inlineStr">
        <is>
          <t>OVANÅKER</t>
        </is>
      </c>
      <c r="I1080" t="n">
        <v>1.9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46210-2023</t>
        </is>
      </c>
      <c r="B1081" t="inlineStr">
        <is>
          <t>avverkningsanmälan</t>
        </is>
      </c>
      <c r="C1081" t="inlineStr">
        <is>
          <t>Föryngringsavverkning</t>
        </is>
      </c>
      <c r="D1081" s="1" t="n">
        <v>45196</v>
      </c>
      <c r="E1081" s="1" t="n">
        <v>46222</v>
      </c>
      <c r="F1081" t="inlineStr">
        <is>
          <t>GÄVLEBORGS LÄN</t>
        </is>
      </c>
      <c r="G1081" t="inlineStr">
        <is>
          <t>OVANÅKER</t>
        </is>
      </c>
      <c r="I1081" t="n">
        <v>5.9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23543-2026</t>
        </is>
      </c>
      <c r="B1082" t="inlineStr">
        <is>
          <t>avverkningsanmälan</t>
        </is>
      </c>
      <c r="C1082" t="inlineStr">
        <is>
          <t>Föryngringsavverkning</t>
        </is>
      </c>
      <c r="D1082" s="1" t="n">
        <v>46163</v>
      </c>
      <c r="E1082" s="1" t="n">
        <v>46222</v>
      </c>
      <c r="F1082" t="inlineStr">
        <is>
          <t>GÄVLEBORGS LÄN</t>
        </is>
      </c>
      <c r="G1082" t="inlineStr">
        <is>
          <t>OVANÅKER</t>
        </is>
      </c>
      <c r="I1082" t="n">
        <v>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23550-2026</t>
        </is>
      </c>
      <c r="B1083" t="inlineStr">
        <is>
          <t>avverkningsanmälan</t>
        </is>
      </c>
      <c r="C1083" t="inlineStr">
        <is>
          <t>Föryngringsavverkning</t>
        </is>
      </c>
      <c r="D1083" s="1" t="n">
        <v>46163</v>
      </c>
      <c r="E1083" s="1" t="n">
        <v>46222</v>
      </c>
      <c r="F1083" t="inlineStr">
        <is>
          <t>GÄVLEBORGS LÄN</t>
        </is>
      </c>
      <c r="G1083" t="inlineStr">
        <is>
          <t>OVANÅKER</t>
        </is>
      </c>
      <c r="H1083" t="inlineStr">
        <is>
          <t>Bergvik skog öst AB</t>
        </is>
      </c>
      <c r="I1083" t="n">
        <v>3.2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23553-2026</t>
        </is>
      </c>
      <c r="B1084" t="inlineStr">
        <is>
          <t>avverkningsanmälan</t>
        </is>
      </c>
      <c r="C1084" t="inlineStr">
        <is>
          <t>Föryngringsavverkning</t>
        </is>
      </c>
      <c r="D1084" s="1" t="n">
        <v>46163</v>
      </c>
      <c r="E1084" s="1" t="n">
        <v>46222</v>
      </c>
      <c r="F1084" t="inlineStr">
        <is>
          <t>GÄVLEBORGS LÄN</t>
        </is>
      </c>
      <c r="G1084" t="inlineStr">
        <is>
          <t>OVANÅKER</t>
        </is>
      </c>
      <c r="H1084" t="inlineStr">
        <is>
          <t>Kyrkan</t>
        </is>
      </c>
      <c r="I1084" t="n">
        <v>3.5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30007-2026</t>
        </is>
      </c>
      <c r="B1085" t="inlineStr">
        <is>
          <t>avverkningsanmälan</t>
        </is>
      </c>
      <c r="C1085" t="inlineStr">
        <is>
          <t>Föryngringsavverkning</t>
        </is>
      </c>
      <c r="D1085" s="1" t="n">
        <v>46205</v>
      </c>
      <c r="E1085" s="1" t="n">
        <v>46222</v>
      </c>
      <c r="F1085" t="inlineStr">
        <is>
          <t>GÄVLEBORGS LÄN</t>
        </is>
      </c>
      <c r="G1085" t="inlineStr">
        <is>
          <t>OVANÅKER</t>
        </is>
      </c>
      <c r="I1085" t="n">
        <v>5.3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22447-2026</t>
        </is>
      </c>
      <c r="B1086" t="inlineStr">
        <is>
          <t>avverkningsanmälan</t>
        </is>
      </c>
      <c r="C1086" t="inlineStr">
        <is>
          <t>Föryngringsavverkning</t>
        </is>
      </c>
      <c r="D1086" s="1" t="n">
        <v>46155</v>
      </c>
      <c r="E1086" s="1" t="n">
        <v>46222</v>
      </c>
      <c r="F1086" t="inlineStr">
        <is>
          <t>GÄVLEBORGS LÄN</t>
        </is>
      </c>
      <c r="G1086" t="inlineStr">
        <is>
          <t>OVANÅKER</t>
        </is>
      </c>
      <c r="H1086" t="inlineStr">
        <is>
          <t>Bergvik skog väst AB</t>
        </is>
      </c>
      <c r="I1086" t="n">
        <v>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23280-2026</t>
        </is>
      </c>
      <c r="B1087" t="inlineStr">
        <is>
          <t>avverkningsanmälan</t>
        </is>
      </c>
      <c r="C1087" t="inlineStr">
        <is>
          <t>Föryngringsavverkning</t>
        </is>
      </c>
      <c r="D1087" s="1" t="n">
        <v>46162</v>
      </c>
      <c r="E1087" s="1" t="n">
        <v>46222</v>
      </c>
      <c r="F1087" t="inlineStr">
        <is>
          <t>GÄVLEBORGS LÄN</t>
        </is>
      </c>
      <c r="G1087" t="inlineStr">
        <is>
          <t>OVANÅKER</t>
        </is>
      </c>
      <c r="I1087" t="n">
        <v>5.4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23765-2026</t>
        </is>
      </c>
      <c r="B1088" t="inlineStr">
        <is>
          <t>avverkningsanmälan</t>
        </is>
      </c>
      <c r="C1088" t="inlineStr">
        <is>
          <t>Föryngringsavverkning</t>
        </is>
      </c>
      <c r="D1088" s="1" t="n">
        <v>46164</v>
      </c>
      <c r="E1088" s="1" t="n">
        <v>46222</v>
      </c>
      <c r="F1088" t="inlineStr">
        <is>
          <t>GÄVLEBORGS LÄN</t>
        </is>
      </c>
      <c r="G1088" t="inlineStr">
        <is>
          <t>OVANÅKER</t>
        </is>
      </c>
      <c r="I1088" t="n">
        <v>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23653-2026</t>
        </is>
      </c>
      <c r="B1089" t="inlineStr">
        <is>
          <t>avverkningsanmälan</t>
        </is>
      </c>
      <c r="C1089" t="inlineStr">
        <is>
          <t>Föryngringsavverkning</t>
        </is>
      </c>
      <c r="D1089" s="1" t="n">
        <v>46164</v>
      </c>
      <c r="E1089" s="1" t="n">
        <v>46222</v>
      </c>
      <c r="F1089" t="inlineStr">
        <is>
          <t>GÄVLEBORGS LÄN</t>
        </is>
      </c>
      <c r="G1089" t="inlineStr">
        <is>
          <t>OVANÅKER</t>
        </is>
      </c>
      <c r="I1089" t="n">
        <v>1.5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23426-2026</t>
        </is>
      </c>
      <c r="B1090" t="inlineStr">
        <is>
          <t>avverkningsanmälan</t>
        </is>
      </c>
      <c r="C1090" t="inlineStr">
        <is>
          <t>Föryngringsavverkning</t>
        </is>
      </c>
      <c r="D1090" s="1" t="n">
        <v>46163</v>
      </c>
      <c r="E1090" s="1" t="n">
        <v>46222</v>
      </c>
      <c r="F1090" t="inlineStr">
        <is>
          <t>GÄVLEBORGS LÄN</t>
        </is>
      </c>
      <c r="G1090" t="inlineStr">
        <is>
          <t>OVANÅKER</t>
        </is>
      </c>
      <c r="H1090" t="inlineStr">
        <is>
          <t>Bergvik skog väst AB</t>
        </is>
      </c>
      <c r="I1090" t="n">
        <v>1.4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49178-2023</t>
        </is>
      </c>
      <c r="B1091" t="inlineStr">
        <is>
          <t>avverkningsanmälan</t>
        </is>
      </c>
      <c r="C1091" t="inlineStr">
        <is>
          <t>Avverkning för att bevara och utveckla /försöksver</t>
        </is>
      </c>
      <c r="D1091" s="1" t="n">
        <v>45210</v>
      </c>
      <c r="E1091" s="1" t="n">
        <v>46222</v>
      </c>
      <c r="F1091" t="inlineStr">
        <is>
          <t>GÄVLEBORGS LÄN</t>
        </is>
      </c>
      <c r="G1091" t="inlineStr">
        <is>
          <t>OVANÅKER</t>
        </is>
      </c>
      <c r="H1091" t="inlineStr">
        <is>
          <t>Bergvik skog öst AB</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23763-2026</t>
        </is>
      </c>
      <c r="B1092" t="inlineStr">
        <is>
          <t>avverkningsanmälan</t>
        </is>
      </c>
      <c r="C1092" t="inlineStr">
        <is>
          <t>Föryngringsavverkning</t>
        </is>
      </c>
      <c r="D1092" s="1" t="n">
        <v>46164</v>
      </c>
      <c r="E1092" s="1" t="n">
        <v>46222</v>
      </c>
      <c r="F1092" t="inlineStr">
        <is>
          <t>GÄVLEBORGS LÄN</t>
        </is>
      </c>
      <c r="G1092" t="inlineStr">
        <is>
          <t>OVANÅKER</t>
        </is>
      </c>
      <c r="I1092" t="n">
        <v>2.2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1072-2025</t>
        </is>
      </c>
      <c r="B1093" t="inlineStr">
        <is>
          <t>avverkningsanmälan</t>
        </is>
      </c>
      <c r="C1093" t="inlineStr">
        <is>
          <t>Föryngringsavverkning</t>
        </is>
      </c>
      <c r="D1093" s="1" t="n">
        <v>45666</v>
      </c>
      <c r="E1093" s="1" t="n">
        <v>46222</v>
      </c>
      <c r="F1093" t="inlineStr">
        <is>
          <t>GÄVLEBORGS LÄN</t>
        </is>
      </c>
      <c r="G1093" t="inlineStr">
        <is>
          <t>OVANÅKER</t>
        </is>
      </c>
      <c r="I1093" t="n">
        <v>0.5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59729-2023</t>
        </is>
      </c>
      <c r="B1094" t="inlineStr">
        <is>
          <t>avverkningsanmälan</t>
        </is>
      </c>
      <c r="C1094" t="inlineStr">
        <is>
          <t>Föryngringsavverkning</t>
        </is>
      </c>
      <c r="D1094" s="1" t="n">
        <v>45257</v>
      </c>
      <c r="E1094" s="1" t="n">
        <v>46222</v>
      </c>
      <c r="F1094" t="inlineStr">
        <is>
          <t>GÄVLEBORGS LÄN</t>
        </is>
      </c>
      <c r="G1094" t="inlineStr">
        <is>
          <t>OVANÅKER</t>
        </is>
      </c>
      <c r="I1094" t="n">
        <v>1.8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50769-2023</t>
        </is>
      </c>
      <c r="B1095" t="inlineStr">
        <is>
          <t>avverkningsanmälan</t>
        </is>
      </c>
      <c r="C1095" t="inlineStr">
        <is>
          <t>Föryngringsavverkning</t>
        </is>
      </c>
      <c r="D1095" s="1" t="n">
        <v>45217</v>
      </c>
      <c r="E1095" s="1" t="n">
        <v>46222</v>
      </c>
      <c r="F1095" t="inlineStr">
        <is>
          <t>GÄVLEBORGS LÄN</t>
        </is>
      </c>
      <c r="G1095" t="inlineStr">
        <is>
          <t>OVANÅKER</t>
        </is>
      </c>
      <c r="I1095" t="n">
        <v>1.6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52608-2021</t>
        </is>
      </c>
      <c r="B1096" t="inlineStr">
        <is>
          <t>avverkningsanmälan</t>
        </is>
      </c>
      <c r="C1096" t="inlineStr">
        <is>
          <t>Föryngringsavverkning</t>
        </is>
      </c>
      <c r="D1096" s="1" t="n">
        <v>44466</v>
      </c>
      <c r="E1096" s="1" t="n">
        <v>46222</v>
      </c>
      <c r="F1096" t="inlineStr">
        <is>
          <t>GÄVLEBORGS LÄN</t>
        </is>
      </c>
      <c r="G1096" t="inlineStr">
        <is>
          <t>OVANÅKER</t>
        </is>
      </c>
      <c r="I1096" t="n">
        <v>1.3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69007-2021</t>
        </is>
      </c>
      <c r="B1097" t="inlineStr">
        <is>
          <t>avverkningsanmälan</t>
        </is>
      </c>
      <c r="C1097" t="inlineStr">
        <is>
          <t>Föryngringsavverkning</t>
        </is>
      </c>
      <c r="D1097" s="1" t="n">
        <v>44530</v>
      </c>
      <c r="E1097" s="1" t="n">
        <v>46222</v>
      </c>
      <c r="F1097" t="inlineStr">
        <is>
          <t>GÄVLEBORGS LÄN</t>
        </is>
      </c>
      <c r="G1097" t="inlineStr">
        <is>
          <t>OVANÅKER</t>
        </is>
      </c>
      <c r="I1097" t="n">
        <v>0.9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30204-2026</t>
        </is>
      </c>
      <c r="B1098" t="inlineStr">
        <is>
          <t>avverkningsanmälan</t>
        </is>
      </c>
      <c r="C1098" t="inlineStr">
        <is>
          <t>Föryngringsavverkning</t>
        </is>
      </c>
      <c r="D1098" s="1" t="n">
        <v>46206</v>
      </c>
      <c r="E1098" s="1" t="n">
        <v>46222</v>
      </c>
      <c r="F1098" t="inlineStr">
        <is>
          <t>GÄVLEBORGS LÄN</t>
        </is>
      </c>
      <c r="G1098" t="inlineStr">
        <is>
          <t>OVANÅKER</t>
        </is>
      </c>
      <c r="I1098" t="n">
        <v>1.2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23431-2026</t>
        </is>
      </c>
      <c r="B1099" t="inlineStr">
        <is>
          <t>avverkningsanmälan</t>
        </is>
      </c>
      <c r="C1099" t="inlineStr">
        <is>
          <t>Föryngringsavverkning</t>
        </is>
      </c>
      <c r="D1099" s="1" t="n">
        <v>46163</v>
      </c>
      <c r="E1099" s="1" t="n">
        <v>46222</v>
      </c>
      <c r="F1099" t="inlineStr">
        <is>
          <t>GÄVLEBORGS LÄN</t>
        </is>
      </c>
      <c r="G1099" t="inlineStr">
        <is>
          <t>OVANÅKER</t>
        </is>
      </c>
      <c r="H1099" t="inlineStr">
        <is>
          <t>Bergvik skog väst AB</t>
        </is>
      </c>
      <c r="I1099" t="n">
        <v>0.7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16968-2023</t>
        </is>
      </c>
      <c r="B1100" t="inlineStr">
        <is>
          <t>avverkningsanmälan</t>
        </is>
      </c>
      <c r="C1100" t="inlineStr">
        <is>
          <t>Föryngringsavverkning</t>
        </is>
      </c>
      <c r="D1100" s="1" t="n">
        <v>45033</v>
      </c>
      <c r="E1100" s="1" t="n">
        <v>46222</v>
      </c>
      <c r="F1100" t="inlineStr">
        <is>
          <t>GÄVLEBORGS LÄN</t>
        </is>
      </c>
      <c r="G1100" t="inlineStr">
        <is>
          <t>OVANÅKER</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28027-2026</t>
        </is>
      </c>
      <c r="B1101" t="inlineStr">
        <is>
          <t>avverkningsanmälan</t>
        </is>
      </c>
      <c r="C1101" t="inlineStr">
        <is>
          <t>Föryngringsavverkning</t>
        </is>
      </c>
      <c r="D1101" s="1" t="n">
        <v>46195</v>
      </c>
      <c r="E1101" s="1" t="n">
        <v>46222</v>
      </c>
      <c r="F1101" t="inlineStr">
        <is>
          <t>GÄVLEBORGS LÄN</t>
        </is>
      </c>
      <c r="G1101" t="inlineStr">
        <is>
          <t>OVANÅKER</t>
        </is>
      </c>
      <c r="H1101" t="inlineStr">
        <is>
          <t>Bergvik skog väst AB</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29910-2026</t>
        </is>
      </c>
      <c r="B1102" t="inlineStr">
        <is>
          <t>avverkningsanmälan</t>
        </is>
      </c>
      <c r="C1102" t="inlineStr">
        <is>
          <t>Föryngringsavverkning</t>
        </is>
      </c>
      <c r="D1102" s="1" t="n">
        <v>46205</v>
      </c>
      <c r="E1102" s="1" t="n">
        <v>46222</v>
      </c>
      <c r="F1102" t="inlineStr">
        <is>
          <t>GÄVLEBORGS LÄN</t>
        </is>
      </c>
      <c r="G1102" t="inlineStr">
        <is>
          <t>OVANÅKER</t>
        </is>
      </c>
      <c r="H1102" t="inlineStr">
        <is>
          <t>Sveaskog</t>
        </is>
      </c>
      <c r="I1102" t="n">
        <v>10.8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9010-2023</t>
        </is>
      </c>
      <c r="B1103" t="inlineStr">
        <is>
          <t>avverkningsanmälan</t>
        </is>
      </c>
      <c r="C1103" t="inlineStr">
        <is>
          <t>Föryngringsavverkning</t>
        </is>
      </c>
      <c r="D1103" s="1" t="n">
        <v>44979</v>
      </c>
      <c r="E1103" s="1" t="n">
        <v>46222</v>
      </c>
      <c r="F1103" t="inlineStr">
        <is>
          <t>GÄVLEBORGS LÄN</t>
        </is>
      </c>
      <c r="G1103" t="inlineStr">
        <is>
          <t>OVANÅKER</t>
        </is>
      </c>
      <c r="I1103" t="n">
        <v>0.8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19261-2026</t>
        </is>
      </c>
      <c r="B1104" t="inlineStr">
        <is>
          <t>avverkningsanmälan</t>
        </is>
      </c>
      <c r="C1104" t="inlineStr">
        <is>
          <t>Föryngringsavverkning</t>
        </is>
      </c>
      <c r="D1104" s="1" t="n">
        <v>46132</v>
      </c>
      <c r="E1104" s="1" t="n">
        <v>46222</v>
      </c>
      <c r="F1104" t="inlineStr">
        <is>
          <t>GÄVLEBORGS LÄN</t>
        </is>
      </c>
      <c r="G1104" t="inlineStr">
        <is>
          <t>OVANÅKER</t>
        </is>
      </c>
      <c r="I1104" t="n">
        <v>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24137-2026</t>
        </is>
      </c>
      <c r="B1105" t="inlineStr">
        <is>
          <t>avverkningsanmälan</t>
        </is>
      </c>
      <c r="C1105" t="inlineStr">
        <is>
          <t>Föryngringsavverkning</t>
        </is>
      </c>
      <c r="D1105" s="1" t="n">
        <v>46168</v>
      </c>
      <c r="E1105" s="1" t="n">
        <v>46222</v>
      </c>
      <c r="F1105" t="inlineStr">
        <is>
          <t>GÄVLEBORGS LÄN</t>
        </is>
      </c>
      <c r="G1105" t="inlineStr">
        <is>
          <t>OVANÅKER</t>
        </is>
      </c>
      <c r="I1105" t="n">
        <v>0.7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24200-2026</t>
        </is>
      </c>
      <c r="B1106" t="inlineStr">
        <is>
          <t>avverkningsanmälan</t>
        </is>
      </c>
      <c r="C1106" t="inlineStr">
        <is>
          <t>Föryngringsavverkning</t>
        </is>
      </c>
      <c r="D1106" s="1" t="n">
        <v>46168</v>
      </c>
      <c r="E1106" s="1" t="n">
        <v>46222</v>
      </c>
      <c r="F1106" t="inlineStr">
        <is>
          <t>GÄVLEBORGS LÄN</t>
        </is>
      </c>
      <c r="G1106" t="inlineStr">
        <is>
          <t>OVANÅKER</t>
        </is>
      </c>
      <c r="I1106" t="n">
        <v>1.9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7961-2026</t>
        </is>
      </c>
      <c r="B1107" t="inlineStr">
        <is>
          <t>avverkningsanmälan</t>
        </is>
      </c>
      <c r="C1107" t="inlineStr">
        <is>
          <t>Föryngringsavverkning</t>
        </is>
      </c>
      <c r="D1107" s="1" t="n">
        <v>46063</v>
      </c>
      <c r="E1107" s="1" t="n">
        <v>46222</v>
      </c>
      <c r="F1107" t="inlineStr">
        <is>
          <t>GÄVLEBORGS LÄN</t>
        </is>
      </c>
      <c r="G1107" t="inlineStr">
        <is>
          <t>OVANÅKER</t>
        </is>
      </c>
      <c r="H1107" t="inlineStr">
        <is>
          <t>Sveaskog</t>
        </is>
      </c>
      <c r="I1107" t="n">
        <v>2.1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23908-2026</t>
        </is>
      </c>
      <c r="B1108" t="inlineStr">
        <is>
          <t>avverkningsanmälan</t>
        </is>
      </c>
      <c r="C1108" t="inlineStr">
        <is>
          <t>Föryngringsavverkning</t>
        </is>
      </c>
      <c r="D1108" s="1" t="n">
        <v>46167</v>
      </c>
      <c r="E1108" s="1" t="n">
        <v>46222</v>
      </c>
      <c r="F1108" t="inlineStr">
        <is>
          <t>GÄVLEBORGS LÄN</t>
        </is>
      </c>
      <c r="G1108" t="inlineStr">
        <is>
          <t>OVANÅKER</t>
        </is>
      </c>
      <c r="I1108" t="n">
        <v>6.4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45947-2022</t>
        </is>
      </c>
      <c r="B1109" t="inlineStr">
        <is>
          <t>avverkningsanmälan</t>
        </is>
      </c>
      <c r="C1109" t="inlineStr">
        <is>
          <t>Föryngringsavverkning</t>
        </is>
      </c>
      <c r="D1109" s="1" t="n">
        <v>44846</v>
      </c>
      <c r="E1109" s="1" t="n">
        <v>46222</v>
      </c>
      <c r="F1109" t="inlineStr">
        <is>
          <t>GÄVLEBORGS LÄN</t>
        </is>
      </c>
      <c r="G1109" t="inlineStr">
        <is>
          <t>OVANÅKER</t>
        </is>
      </c>
      <c r="I1109" t="n">
        <v>4.4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25058-2022</t>
        </is>
      </c>
      <c r="B1110" t="inlineStr">
        <is>
          <t>avverkningsanmälan</t>
        </is>
      </c>
      <c r="C1110" t="inlineStr">
        <is>
          <t>Föryngringsavverkning</t>
        </is>
      </c>
      <c r="D1110" s="1" t="n">
        <v>44729</v>
      </c>
      <c r="E1110" s="1" t="n">
        <v>46222</v>
      </c>
      <c r="F1110" t="inlineStr">
        <is>
          <t>GÄVLEBORGS LÄN</t>
        </is>
      </c>
      <c r="G1110" t="inlineStr">
        <is>
          <t>OVANÅKER</t>
        </is>
      </c>
      <c r="I1110" t="n">
        <v>2.5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30443-2026</t>
        </is>
      </c>
      <c r="B1111" t="inlineStr">
        <is>
          <t>avverkningsanmälan</t>
        </is>
      </c>
      <c r="C1111" t="inlineStr">
        <is>
          <t>Föryngringsavverkning</t>
        </is>
      </c>
      <c r="D1111" s="1" t="n">
        <v>46209</v>
      </c>
      <c r="E1111" s="1" t="n">
        <v>46222</v>
      </c>
      <c r="F1111" t="inlineStr">
        <is>
          <t>GÄVLEBORGS LÄN</t>
        </is>
      </c>
      <c r="G1111" t="inlineStr">
        <is>
          <t>OVANÅKER</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30488-2026</t>
        </is>
      </c>
      <c r="B1112" t="inlineStr">
        <is>
          <t>avverkningsanmälan</t>
        </is>
      </c>
      <c r="C1112" t="inlineStr">
        <is>
          <t>Föryngringsavverkning</t>
        </is>
      </c>
      <c r="D1112" s="1" t="n">
        <v>46210</v>
      </c>
      <c r="E1112" s="1" t="n">
        <v>46222</v>
      </c>
      <c r="F1112" t="inlineStr">
        <is>
          <t>GÄVLEBORGS LÄN</t>
        </is>
      </c>
      <c r="G1112" t="inlineStr">
        <is>
          <t>OVANÅKER</t>
        </is>
      </c>
      <c r="H1112" t="inlineStr">
        <is>
          <t>Bergvik skog väst AB</t>
        </is>
      </c>
      <c r="I1112" t="n">
        <v>0.9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30487-2026</t>
        </is>
      </c>
      <c r="B1113" t="inlineStr">
        <is>
          <t>avverkningsanmälan</t>
        </is>
      </c>
      <c r="C1113" t="inlineStr">
        <is>
          <t>Föryngringsavverkning</t>
        </is>
      </c>
      <c r="D1113" s="1" t="n">
        <v>46210</v>
      </c>
      <c r="E1113" s="1" t="n">
        <v>46222</v>
      </c>
      <c r="F1113" t="inlineStr">
        <is>
          <t>GÄVLEBORGS LÄN</t>
        </is>
      </c>
      <c r="G1113" t="inlineStr">
        <is>
          <t>OVANÅKER</t>
        </is>
      </c>
      <c r="I1113" t="n">
        <v>1.2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23879-2026</t>
        </is>
      </c>
      <c r="B1114" t="inlineStr">
        <is>
          <t>avverkningsanmälan</t>
        </is>
      </c>
      <c r="C1114" t="inlineStr">
        <is>
          <t>Föryngringsavverkning</t>
        </is>
      </c>
      <c r="D1114" s="1" t="n">
        <v>46167</v>
      </c>
      <c r="E1114" s="1" t="n">
        <v>46222</v>
      </c>
      <c r="F1114" t="inlineStr">
        <is>
          <t>GÄVLEBORGS LÄN</t>
        </is>
      </c>
      <c r="G1114" t="inlineStr">
        <is>
          <t>OVANÅKER</t>
        </is>
      </c>
      <c r="I1114" t="n">
        <v>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19163-2024</t>
        </is>
      </c>
      <c r="B1115" t="inlineStr">
        <is>
          <t>avverkningsanmälan</t>
        </is>
      </c>
      <c r="C1115" t="inlineStr">
        <is>
          <t>Föryngringsavverkning</t>
        </is>
      </c>
      <c r="D1115" s="1" t="n">
        <v>45428</v>
      </c>
      <c r="E1115" s="1" t="n">
        <v>46222</v>
      </c>
      <c r="F1115" t="inlineStr">
        <is>
          <t>GÄVLEBORGS LÄN</t>
        </is>
      </c>
      <c r="G1115" t="inlineStr">
        <is>
          <t>OVANÅKER</t>
        </is>
      </c>
      <c r="I1115" t="n">
        <v>0.9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30494-2026</t>
        </is>
      </c>
      <c r="B1116" t="inlineStr">
        <is>
          <t>avverkningsanmälan</t>
        </is>
      </c>
      <c r="C1116" t="inlineStr">
        <is>
          <t>Föryngringsavverkning</t>
        </is>
      </c>
      <c r="D1116" s="1" t="n">
        <v>46210</v>
      </c>
      <c r="E1116" s="1" t="n">
        <v>46222</v>
      </c>
      <c r="F1116" t="inlineStr">
        <is>
          <t>GÄVLEBORGS LÄN</t>
        </is>
      </c>
      <c r="G1116" t="inlineStr">
        <is>
          <t>OVANÅKER</t>
        </is>
      </c>
      <c r="H1116" t="inlineStr">
        <is>
          <t>Bergvik skog väst AB</t>
        </is>
      </c>
      <c r="I1116" t="n">
        <v>1.8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18545-2025</t>
        </is>
      </c>
      <c r="B1117" t="inlineStr">
        <is>
          <t>avverkningsanmälan</t>
        </is>
      </c>
      <c r="C1117" t="inlineStr">
        <is>
          <t>Föryngringsavverkning</t>
        </is>
      </c>
      <c r="D1117" s="1" t="n">
        <v>45763</v>
      </c>
      <c r="E1117" s="1" t="n">
        <v>46222</v>
      </c>
      <c r="F1117" t="inlineStr">
        <is>
          <t>GÄVLEBORGS LÄN</t>
        </is>
      </c>
      <c r="G1117" t="inlineStr">
        <is>
          <t>OVANÅKER</t>
        </is>
      </c>
      <c r="H1117" t="inlineStr">
        <is>
          <t>Holmen skog AB</t>
        </is>
      </c>
      <c r="I1117" t="n">
        <v>2.6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31175-2024</t>
        </is>
      </c>
      <c r="B1118" t="inlineStr">
        <is>
          <t>avverkningsanmälan</t>
        </is>
      </c>
      <c r="C1118" t="inlineStr">
        <is>
          <t>Föryngringsavverkning</t>
        </is>
      </c>
      <c r="D1118" s="1" t="n">
        <v>45503</v>
      </c>
      <c r="E1118" s="1" t="n">
        <v>46222</v>
      </c>
      <c r="F1118" t="inlineStr">
        <is>
          <t>GÄVLEBORGS LÄN</t>
        </is>
      </c>
      <c r="G1118" t="inlineStr">
        <is>
          <t>OVANÅKER</t>
        </is>
      </c>
      <c r="H1118" t="inlineStr">
        <is>
          <t>Bergvik skog väst AB</t>
        </is>
      </c>
      <c r="I1118" t="n">
        <v>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24032-2024</t>
        </is>
      </c>
      <c r="B1119" t="inlineStr">
        <is>
          <t>avverkningsanmälan</t>
        </is>
      </c>
      <c r="C1119" t="inlineStr">
        <is>
          <t>Föryngringsavverkning</t>
        </is>
      </c>
      <c r="D1119" s="1" t="n">
        <v>45456</v>
      </c>
      <c r="E1119" s="1" t="n">
        <v>46222</v>
      </c>
      <c r="F1119" t="inlineStr">
        <is>
          <t>GÄVLEBORGS LÄN</t>
        </is>
      </c>
      <c r="G1119" t="inlineStr">
        <is>
          <t>OVANÅKER</t>
        </is>
      </c>
      <c r="H1119" t="inlineStr">
        <is>
          <t>Bergvik skog väst AB</t>
        </is>
      </c>
      <c r="I1119" t="n">
        <v>1.3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964-2026</t>
        </is>
      </c>
      <c r="B1120" t="inlineStr">
        <is>
          <t>avverkningsanmälan</t>
        </is>
      </c>
      <c r="C1120" t="inlineStr">
        <is>
          <t>Föryngringsavverkning</t>
        </is>
      </c>
      <c r="D1120" s="1" t="n">
        <v>46030</v>
      </c>
      <c r="E1120" s="1" t="n">
        <v>46222</v>
      </c>
      <c r="F1120" t="inlineStr">
        <is>
          <t>GÄVLEBORGS LÄN</t>
        </is>
      </c>
      <c r="G1120" t="inlineStr">
        <is>
          <t>OVANÅKER</t>
        </is>
      </c>
      <c r="I1120" t="n">
        <v>1.1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2755-2026</t>
        </is>
      </c>
      <c r="B1121" t="inlineStr">
        <is>
          <t>avverkningsanmälan</t>
        </is>
      </c>
      <c r="C1121" t="inlineStr">
        <is>
          <t>Föryngringsavverkning</t>
        </is>
      </c>
      <c r="D1121" s="1" t="n">
        <v>46038</v>
      </c>
      <c r="E1121" s="1" t="n">
        <v>46222</v>
      </c>
      <c r="F1121" t="inlineStr">
        <is>
          <t>GÄVLEBORGS LÄN</t>
        </is>
      </c>
      <c r="G1121" t="inlineStr">
        <is>
          <t>OVANÅKER</t>
        </is>
      </c>
      <c r="I1121" t="n">
        <v>0.9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36794-2023</t>
        </is>
      </c>
      <c r="B1122" t="inlineStr">
        <is>
          <t>avverkningsanmälan</t>
        </is>
      </c>
      <c r="C1122" t="inlineStr">
        <is>
          <t>Föryngringsavverkning</t>
        </is>
      </c>
      <c r="D1122" s="1" t="n">
        <v>45154</v>
      </c>
      <c r="E1122" s="1" t="n">
        <v>46222</v>
      </c>
      <c r="F1122" t="inlineStr">
        <is>
          <t>GÄVLEBORGS LÄN</t>
        </is>
      </c>
      <c r="G1122" t="inlineStr">
        <is>
          <t>OVANÅKER</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10542-2026</t>
        </is>
      </c>
      <c r="B1123" t="inlineStr">
        <is>
          <t>avverkningsanmälan</t>
        </is>
      </c>
      <c r="C1123" t="inlineStr">
        <is>
          <t>Föryngringsavverkning</t>
        </is>
      </c>
      <c r="D1123" s="1" t="n">
        <v>46077</v>
      </c>
      <c r="E1123" s="1" t="n">
        <v>46222</v>
      </c>
      <c r="F1123" t="inlineStr">
        <is>
          <t>GÄVLEBORGS LÄN</t>
        </is>
      </c>
      <c r="G1123" t="inlineStr">
        <is>
          <t>OVANÅKER</t>
        </is>
      </c>
      <c r="I1123" t="n">
        <v>4.2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23887-2026</t>
        </is>
      </c>
      <c r="B1124" t="inlineStr">
        <is>
          <t>avverkningsanmälan</t>
        </is>
      </c>
      <c r="C1124" t="inlineStr">
        <is>
          <t>Föryngringsavverkning</t>
        </is>
      </c>
      <c r="D1124" s="1" t="n">
        <v>46167</v>
      </c>
      <c r="E1124" s="1" t="n">
        <v>46222</v>
      </c>
      <c r="F1124" t="inlineStr">
        <is>
          <t>GÄVLEBORGS LÄN</t>
        </is>
      </c>
      <c r="G1124" t="inlineStr">
        <is>
          <t>OVANÅKER</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8403-2026</t>
        </is>
      </c>
      <c r="B1125" t="inlineStr">
        <is>
          <t>avverkningsanmälan</t>
        </is>
      </c>
      <c r="C1125" t="inlineStr">
        <is>
          <t>Föryngringsavverkning</t>
        </is>
      </c>
      <c r="D1125" s="1" t="n">
        <v>46065</v>
      </c>
      <c r="E1125" s="1" t="n">
        <v>46222</v>
      </c>
      <c r="F1125" t="inlineStr">
        <is>
          <t>GÄVLEBORGS LÄN</t>
        </is>
      </c>
      <c r="G1125" t="inlineStr">
        <is>
          <t>OVANÅKER</t>
        </is>
      </c>
      <c r="I1125" t="n">
        <v>6.3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8619-2026</t>
        </is>
      </c>
      <c r="B1126" t="inlineStr">
        <is>
          <t>avverkningsanmälan</t>
        </is>
      </c>
      <c r="C1126" t="inlineStr">
        <is>
          <t>Föryngringsavverkning</t>
        </is>
      </c>
      <c r="D1126" s="1" t="n">
        <v>46066</v>
      </c>
      <c r="E1126" s="1" t="n">
        <v>46222</v>
      </c>
      <c r="F1126" t="inlineStr">
        <is>
          <t>GÄVLEBORGS LÄN</t>
        </is>
      </c>
      <c r="G1126" t="inlineStr">
        <is>
          <t>OVANÅKER</t>
        </is>
      </c>
      <c r="I1126" t="n">
        <v>3.5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48267-2023</t>
        </is>
      </c>
      <c r="B1127" t="inlineStr">
        <is>
          <t>avverkningsanmälan</t>
        </is>
      </c>
      <c r="C1127" t="inlineStr">
        <is>
          <t>Föryngringsavverkning</t>
        </is>
      </c>
      <c r="D1127" s="1" t="n">
        <v>45205</v>
      </c>
      <c r="E1127" s="1" t="n">
        <v>46222</v>
      </c>
      <c r="F1127" t="inlineStr">
        <is>
          <t>GÄVLEBORGS LÄN</t>
        </is>
      </c>
      <c r="G1127" t="inlineStr">
        <is>
          <t>OVANÅKER</t>
        </is>
      </c>
      <c r="I1127" t="n">
        <v>1.7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44347-2023</t>
        </is>
      </c>
      <c r="B1128" t="inlineStr">
        <is>
          <t>avverkningsanmälan</t>
        </is>
      </c>
      <c r="C1128" t="inlineStr">
        <is>
          <t>Föryngringsavverkning</t>
        </is>
      </c>
      <c r="D1128" s="1" t="n">
        <v>45188</v>
      </c>
      <c r="E1128" s="1" t="n">
        <v>46222</v>
      </c>
      <c r="F1128" t="inlineStr">
        <is>
          <t>GÄVLEBORGS LÄN</t>
        </is>
      </c>
      <c r="G1128" t="inlineStr">
        <is>
          <t>OVANÅKER</t>
        </is>
      </c>
      <c r="I1128" t="n">
        <v>4.1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30630-2026</t>
        </is>
      </c>
      <c r="B1129" t="inlineStr">
        <is>
          <t>avverkningsanmälan</t>
        </is>
      </c>
      <c r="C1129" t="inlineStr">
        <is>
          <t>Föryngringsavverkning</t>
        </is>
      </c>
      <c r="D1129" s="1" t="n">
        <v>46211</v>
      </c>
      <c r="E1129" s="1" t="n">
        <v>46222</v>
      </c>
      <c r="F1129" t="inlineStr">
        <is>
          <t>GÄVLEBORGS LÄN</t>
        </is>
      </c>
      <c r="G1129" t="inlineStr">
        <is>
          <t>OVANÅKER</t>
        </is>
      </c>
      <c r="H1129" t="inlineStr">
        <is>
          <t>Sveaskog</t>
        </is>
      </c>
      <c r="I1129" t="n">
        <v>5.4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25411-2024</t>
        </is>
      </c>
      <c r="B1130" t="inlineStr">
        <is>
          <t>avverkningsanmälan</t>
        </is>
      </c>
      <c r="C1130" t="inlineStr">
        <is>
          <t>Föryngringsavverkning</t>
        </is>
      </c>
      <c r="D1130" s="1" t="n">
        <v>45463</v>
      </c>
      <c r="E1130" s="1" t="n">
        <v>46222</v>
      </c>
      <c r="F1130" t="inlineStr">
        <is>
          <t>GÄVLEBORGS LÄN</t>
        </is>
      </c>
      <c r="G1130" t="inlineStr">
        <is>
          <t>OVANÅKER</t>
        </is>
      </c>
      <c r="H1130" t="inlineStr">
        <is>
          <t>Bergvik skog öst AB</t>
        </is>
      </c>
      <c r="I1130" t="n">
        <v>1.5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39249-2024</t>
        </is>
      </c>
      <c r="B1131" t="inlineStr">
        <is>
          <t>avverkningsanmälan</t>
        </is>
      </c>
      <c r="C1131" t="inlineStr">
        <is>
          <t>Föryngringsavverkning</t>
        </is>
      </c>
      <c r="D1131" s="1" t="n">
        <v>45551</v>
      </c>
      <c r="E1131" s="1" t="n">
        <v>46222</v>
      </c>
      <c r="F1131" t="inlineStr">
        <is>
          <t>GÄVLEBORGS LÄN</t>
        </is>
      </c>
      <c r="G1131" t="inlineStr">
        <is>
          <t>OVANÅKER</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27320-2023</t>
        </is>
      </c>
      <c r="B1132" t="inlineStr">
        <is>
          <t>avverkningsanmälan</t>
        </is>
      </c>
      <c r="C1132" t="inlineStr">
        <is>
          <t>Föryngringsavverkning</t>
        </is>
      </c>
      <c r="D1132" s="1" t="n">
        <v>45096</v>
      </c>
      <c r="E1132" s="1" t="n">
        <v>46222</v>
      </c>
      <c r="F1132" t="inlineStr">
        <is>
          <t>GÄVLEBORGS LÄN</t>
        </is>
      </c>
      <c r="G1132" t="inlineStr">
        <is>
          <t>OVANÅKER</t>
        </is>
      </c>
      <c r="I1132" t="n">
        <v>0.7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24433-2026</t>
        </is>
      </c>
      <c r="B1133" t="inlineStr">
        <is>
          <t>avverkningsanmälan</t>
        </is>
      </c>
      <c r="C1133" t="inlineStr">
        <is>
          <t>Föryngringsavverkning</t>
        </is>
      </c>
      <c r="D1133" s="1" t="n">
        <v>46170</v>
      </c>
      <c r="E1133" s="1" t="n">
        <v>46222</v>
      </c>
      <c r="F1133" t="inlineStr">
        <is>
          <t>GÄVLEBORGS LÄN</t>
        </is>
      </c>
      <c r="G1133" t="inlineStr">
        <is>
          <t>OVANÅKER</t>
        </is>
      </c>
      <c r="I1133" t="n">
        <v>3.5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24257-2026</t>
        </is>
      </c>
      <c r="B1134" t="inlineStr">
        <is>
          <t>avverkningsanmälan</t>
        </is>
      </c>
      <c r="C1134" t="inlineStr">
        <is>
          <t>Föryngringsavverkning</t>
        </is>
      </c>
      <c r="D1134" s="1" t="n">
        <v>46169</v>
      </c>
      <c r="E1134" s="1" t="n">
        <v>46222</v>
      </c>
      <c r="F1134" t="inlineStr">
        <is>
          <t>GÄVLEBORGS LÄN</t>
        </is>
      </c>
      <c r="G1134" t="inlineStr">
        <is>
          <t>OVANÅKER</t>
        </is>
      </c>
      <c r="I1134" t="n">
        <v>1.9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18980-2026</t>
        </is>
      </c>
      <c r="B1135" t="inlineStr">
        <is>
          <t>avverkningsanmälan</t>
        </is>
      </c>
      <c r="C1135" t="inlineStr">
        <is>
          <t>Föryngringsavverkning</t>
        </is>
      </c>
      <c r="D1135" s="1" t="n">
        <v>46129</v>
      </c>
      <c r="E1135" s="1" t="n">
        <v>46222</v>
      </c>
      <c r="F1135" t="inlineStr">
        <is>
          <t>GÄVLEBORGS LÄN</t>
        </is>
      </c>
      <c r="G1135" t="inlineStr">
        <is>
          <t>OVANÅKER</t>
        </is>
      </c>
      <c r="I1135" t="n">
        <v>1.8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53174-2022</t>
        </is>
      </c>
      <c r="B1136" t="inlineStr">
        <is>
          <t>avverkningsanmälan</t>
        </is>
      </c>
      <c r="C1136" t="inlineStr">
        <is>
          <t>Föryngringsavverkning</t>
        </is>
      </c>
      <c r="D1136" s="1" t="n">
        <v>44876</v>
      </c>
      <c r="E1136" s="1" t="n">
        <v>46222</v>
      </c>
      <c r="F1136" t="inlineStr">
        <is>
          <t>GÄVLEBORGS LÄN</t>
        </is>
      </c>
      <c r="G1136" t="inlineStr">
        <is>
          <t>OVANÅKER</t>
        </is>
      </c>
      <c r="I1136" t="n">
        <v>6.4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29446-2026</t>
        </is>
      </c>
      <c r="B1137" t="inlineStr">
        <is>
          <t>avverkningsanmälan</t>
        </is>
      </c>
      <c r="C1137" t="inlineStr">
        <is>
          <t>Föryngringsavverkning</t>
        </is>
      </c>
      <c r="D1137" s="1" t="n">
        <v>46203</v>
      </c>
      <c r="E1137" s="1" t="n">
        <v>46222</v>
      </c>
      <c r="F1137" t="inlineStr">
        <is>
          <t>GÄVLEBORGS LÄN</t>
        </is>
      </c>
      <c r="G1137" t="inlineStr">
        <is>
          <t>OVANÅKER</t>
        </is>
      </c>
      <c r="H1137" t="inlineStr">
        <is>
          <t>Bergvik skog väst AB</t>
        </is>
      </c>
      <c r="I1137" t="n">
        <v>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48282-2023</t>
        </is>
      </c>
      <c r="B1138" t="inlineStr">
        <is>
          <t>avverkningsanmälan</t>
        </is>
      </c>
      <c r="C1138" t="inlineStr">
        <is>
          <t>Föryngringsavverkning</t>
        </is>
      </c>
      <c r="D1138" s="1" t="n">
        <v>45205</v>
      </c>
      <c r="E1138" s="1" t="n">
        <v>46222</v>
      </c>
      <c r="F1138" t="inlineStr">
        <is>
          <t>GÄVLEBORGS LÄN</t>
        </is>
      </c>
      <c r="G1138" t="inlineStr">
        <is>
          <t>OVANÅKER</t>
        </is>
      </c>
      <c r="I1138" t="n">
        <v>0.4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57776-2022</t>
        </is>
      </c>
      <c r="B1139" t="inlineStr">
        <is>
          <t>avverkningsanmälan</t>
        </is>
      </c>
      <c r="C1139" t="inlineStr">
        <is>
          <t>Föryngringsavverkning</t>
        </is>
      </c>
      <c r="D1139" s="1" t="n">
        <v>44897</v>
      </c>
      <c r="E1139" s="1" t="n">
        <v>46222</v>
      </c>
      <c r="F1139" t="inlineStr">
        <is>
          <t>GÄVLEBORGS LÄN</t>
        </is>
      </c>
      <c r="G1139" t="inlineStr">
        <is>
          <t>OVANÅKER</t>
        </is>
      </c>
      <c r="I1139" t="n">
        <v>0.7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24517-2026</t>
        </is>
      </c>
      <c r="B1140" t="inlineStr">
        <is>
          <t>avverkningsanmälan</t>
        </is>
      </c>
      <c r="C1140" t="inlineStr">
        <is>
          <t>Föryngringsavverkning</t>
        </is>
      </c>
      <c r="D1140" s="1" t="n">
        <v>46170</v>
      </c>
      <c r="E1140" s="1" t="n">
        <v>46222</v>
      </c>
      <c r="F1140" t="inlineStr">
        <is>
          <t>GÄVLEBORGS LÄN</t>
        </is>
      </c>
      <c r="G1140" t="inlineStr">
        <is>
          <t>OVANÅKER</t>
        </is>
      </c>
      <c r="I1140" t="n">
        <v>0.9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30992-2026</t>
        </is>
      </c>
      <c r="B1141" t="inlineStr">
        <is>
          <t>avverkningsanmälan</t>
        </is>
      </c>
      <c r="C1141" t="inlineStr">
        <is>
          <t>Föryngringsavverkning</t>
        </is>
      </c>
      <c r="D1141" s="1" t="n">
        <v>46213</v>
      </c>
      <c r="E1141" s="1" t="n">
        <v>46222</v>
      </c>
      <c r="F1141" t="inlineStr">
        <is>
          <t>GÄVLEBORGS LÄN</t>
        </is>
      </c>
      <c r="G1141" t="inlineStr">
        <is>
          <t>OVANÅKER</t>
        </is>
      </c>
      <c r="I1141" t="n">
        <v>0.9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17384-2023</t>
        </is>
      </c>
      <c r="B1142" t="inlineStr">
        <is>
          <t>avverkningsanmälan</t>
        </is>
      </c>
      <c r="C1142" t="inlineStr">
        <is>
          <t>Föryngringsavverkning</t>
        </is>
      </c>
      <c r="D1142" s="1" t="n">
        <v>45035</v>
      </c>
      <c r="E1142" s="1" t="n">
        <v>46222</v>
      </c>
      <c r="F1142" t="inlineStr">
        <is>
          <t>GÄVLEBORGS LÄN</t>
        </is>
      </c>
      <c r="G1142" t="inlineStr">
        <is>
          <t>OVANÅKER</t>
        </is>
      </c>
      <c r="I1142" t="n">
        <v>1.6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30987-2026</t>
        </is>
      </c>
      <c r="B1143" t="inlineStr">
        <is>
          <t>avverkningsanmälan</t>
        </is>
      </c>
      <c r="C1143" t="inlineStr">
        <is>
          <t>Föryngringsavverkning</t>
        </is>
      </c>
      <c r="D1143" s="1" t="n">
        <v>46213</v>
      </c>
      <c r="E1143" s="1" t="n">
        <v>46222</v>
      </c>
      <c r="F1143" t="inlineStr">
        <is>
          <t>GÄVLEBORGS LÄN</t>
        </is>
      </c>
      <c r="G1143" t="inlineStr">
        <is>
          <t>OVANÅKER</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24973-2026</t>
        </is>
      </c>
      <c r="B1144" t="inlineStr">
        <is>
          <t>avverkningsanmälan</t>
        </is>
      </c>
      <c r="C1144" t="inlineStr">
        <is>
          <t>Föryngringsavverkning</t>
        </is>
      </c>
      <c r="D1144" s="1" t="n">
        <v>46174</v>
      </c>
      <c r="E1144" s="1" t="n">
        <v>46222</v>
      </c>
      <c r="F1144" t="inlineStr">
        <is>
          <t>GÄVLEBORGS LÄN</t>
        </is>
      </c>
      <c r="G1144" t="inlineStr">
        <is>
          <t>OVANÅKER</t>
        </is>
      </c>
      <c r="H1144" t="inlineStr">
        <is>
          <t>Bergvik skog väst AB</t>
        </is>
      </c>
      <c r="I1144" t="n">
        <v>4.6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25137-2026</t>
        </is>
      </c>
      <c r="B1145" t="inlineStr">
        <is>
          <t>avverkningsanmälan</t>
        </is>
      </c>
      <c r="C1145" t="inlineStr">
        <is>
          <t>Föryngringsavverkning</t>
        </is>
      </c>
      <c r="D1145" s="1" t="n">
        <v>46175</v>
      </c>
      <c r="E1145" s="1" t="n">
        <v>46222</v>
      </c>
      <c r="F1145" t="inlineStr">
        <is>
          <t>GÄVLEBORGS LÄN</t>
        </is>
      </c>
      <c r="G1145" t="inlineStr">
        <is>
          <t>OVANÅKER</t>
        </is>
      </c>
      <c r="I1145" t="n">
        <v>0.7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31273-2026</t>
        </is>
      </c>
      <c r="B1146" t="inlineStr">
        <is>
          <t>avverkningsanmälan</t>
        </is>
      </c>
      <c r="C1146" t="inlineStr">
        <is>
          <t>Föryngringsavverkning</t>
        </is>
      </c>
      <c r="D1146" s="1" t="n">
        <v>46218</v>
      </c>
      <c r="E1146" s="1" t="n">
        <v>46222</v>
      </c>
      <c r="F1146" t="inlineStr">
        <is>
          <t>GÄVLEBORGS LÄN</t>
        </is>
      </c>
      <c r="G1146" t="inlineStr">
        <is>
          <t>OVANÅKER</t>
        </is>
      </c>
      <c r="I1146" t="n">
        <v>16.6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25266-2026</t>
        </is>
      </c>
      <c r="B1147" t="inlineStr">
        <is>
          <t>avverkningsanmälan</t>
        </is>
      </c>
      <c r="C1147" t="inlineStr">
        <is>
          <t>Föryngringsavverkning</t>
        </is>
      </c>
      <c r="D1147" s="1" t="n">
        <v>46175</v>
      </c>
      <c r="E1147" s="1" t="n">
        <v>46222</v>
      </c>
      <c r="F1147" t="inlineStr">
        <is>
          <t>GÄVLEBORGS LÄN</t>
        </is>
      </c>
      <c r="G1147" t="inlineStr">
        <is>
          <t>OVANÅKER</t>
        </is>
      </c>
      <c r="I1147" t="n">
        <v>3.4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38144-2023</t>
        </is>
      </c>
      <c r="B1148" t="inlineStr">
        <is>
          <t>avverkningsanmälan</t>
        </is>
      </c>
      <c r="C1148" t="inlineStr">
        <is>
          <t>Föryngringsavverkning</t>
        </is>
      </c>
      <c r="D1148" s="1" t="n">
        <v>45161</v>
      </c>
      <c r="E1148" s="1" t="n">
        <v>46222</v>
      </c>
      <c r="F1148" t="inlineStr">
        <is>
          <t>GÄVLEBORGS LÄN</t>
        </is>
      </c>
      <c r="G1148" t="inlineStr">
        <is>
          <t>OVANÅKER</t>
        </is>
      </c>
      <c r="I1148" t="n">
        <v>1.2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39540-2024</t>
        </is>
      </c>
      <c r="B1149" t="inlineStr">
        <is>
          <t>avverkningsanmälan</t>
        </is>
      </c>
      <c r="C1149" t="inlineStr">
        <is>
          <t>Föryngringsavverkning</t>
        </is>
      </c>
      <c r="D1149" s="1" t="n">
        <v>45551</v>
      </c>
      <c r="E1149" s="1" t="n">
        <v>46222</v>
      </c>
      <c r="F1149" t="inlineStr">
        <is>
          <t>GÄVLEBORGS LÄN</t>
        </is>
      </c>
      <c r="G1149" t="inlineStr">
        <is>
          <t>OVANÅKER</t>
        </is>
      </c>
      <c r="I1149" t="n">
        <v>1.2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24967-2026</t>
        </is>
      </c>
      <c r="B1150" t="inlineStr">
        <is>
          <t>avverkningsanmälan</t>
        </is>
      </c>
      <c r="C1150" t="inlineStr">
        <is>
          <t>Föryngringsavverkning</t>
        </is>
      </c>
      <c r="D1150" s="1" t="n">
        <v>46174</v>
      </c>
      <c r="E1150" s="1" t="n">
        <v>46222</v>
      </c>
      <c r="F1150" t="inlineStr">
        <is>
          <t>GÄVLEBORGS LÄN</t>
        </is>
      </c>
      <c r="G1150" t="inlineStr">
        <is>
          <t>OVANÅKER</t>
        </is>
      </c>
      <c r="H1150" t="inlineStr">
        <is>
          <t>Bergvik skog väst AB</t>
        </is>
      </c>
      <c r="I1150" t="n">
        <v>7.3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25218-2026</t>
        </is>
      </c>
      <c r="B1151" t="inlineStr">
        <is>
          <t>avverkningsanmälan</t>
        </is>
      </c>
      <c r="C1151" t="inlineStr">
        <is>
          <t>Föryngringsavverkning</t>
        </is>
      </c>
      <c r="D1151" s="1" t="n">
        <v>46175</v>
      </c>
      <c r="E1151" s="1" t="n">
        <v>46222</v>
      </c>
      <c r="F1151" t="inlineStr">
        <is>
          <t>GÄVLEBORGS LÄN</t>
        </is>
      </c>
      <c r="G1151" t="inlineStr">
        <is>
          <t>OVANÅKER</t>
        </is>
      </c>
      <c r="I1151" t="n">
        <v>9.4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18977-2026</t>
        </is>
      </c>
      <c r="B1152" t="inlineStr">
        <is>
          <t>avverkningsanmälan</t>
        </is>
      </c>
      <c r="C1152" t="inlineStr">
        <is>
          <t>Föryngringsavverkning</t>
        </is>
      </c>
      <c r="D1152" s="1" t="n">
        <v>46129</v>
      </c>
      <c r="E1152" s="1" t="n">
        <v>46222</v>
      </c>
      <c r="F1152" t="inlineStr">
        <is>
          <t>GÄVLEBORGS LÄN</t>
        </is>
      </c>
      <c r="G1152" t="inlineStr">
        <is>
          <t>OVANÅKER</t>
        </is>
      </c>
      <c r="I1152" t="n">
        <v>9.1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26613-2026</t>
        </is>
      </c>
      <c r="B1153" t="inlineStr">
        <is>
          <t>avverkningsanmälan</t>
        </is>
      </c>
      <c r="C1153" t="inlineStr">
        <is>
          <t>Föryngringsavverkning</t>
        </is>
      </c>
      <c r="D1153" s="1" t="n">
        <v>46184</v>
      </c>
      <c r="E1153" s="1" t="n">
        <v>46222</v>
      </c>
      <c r="F1153" t="inlineStr">
        <is>
          <t>GÄVLEBORGS LÄN</t>
        </is>
      </c>
      <c r="G1153" t="inlineStr">
        <is>
          <t>OVANÅKER</t>
        </is>
      </c>
      <c r="I1153" t="n">
        <v>2.5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13264-2026</t>
        </is>
      </c>
      <c r="B1154" t="inlineStr">
        <is>
          <t>avverkningsanmälan</t>
        </is>
      </c>
      <c r="C1154" t="inlineStr">
        <is>
          <t>Föryngringsavverkning</t>
        </is>
      </c>
      <c r="D1154" s="1" t="n">
        <v>46093</v>
      </c>
      <c r="E1154" s="1" t="n">
        <v>46222</v>
      </c>
      <c r="F1154" t="inlineStr">
        <is>
          <t>GÄVLEBORGS LÄN</t>
        </is>
      </c>
      <c r="G1154" t="inlineStr">
        <is>
          <t>OVANÅKER</t>
        </is>
      </c>
      <c r="I1154" t="n">
        <v>3.3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17618-2025</t>
        </is>
      </c>
      <c r="B1155" t="inlineStr">
        <is>
          <t>avverkningsanmälan</t>
        </is>
      </c>
      <c r="C1155" t="inlineStr">
        <is>
          <t>Föryngringsavverkning</t>
        </is>
      </c>
      <c r="D1155" s="1" t="n">
        <v>45757</v>
      </c>
      <c r="E1155" s="1" t="n">
        <v>46222</v>
      </c>
      <c r="F1155" t="inlineStr">
        <is>
          <t>GÄVLEBORGS LÄN</t>
        </is>
      </c>
      <c r="G1155" t="inlineStr">
        <is>
          <t>OVANÅKER</t>
        </is>
      </c>
      <c r="H1155" t="inlineStr">
        <is>
          <t>Holmen skog AB</t>
        </is>
      </c>
      <c r="I1155" t="n">
        <v>5.8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25593-2026</t>
        </is>
      </c>
      <c r="B1156" t="inlineStr">
        <is>
          <t>avverkningsanmälan</t>
        </is>
      </c>
      <c r="C1156" t="inlineStr">
        <is>
          <t>Föryngringsavverkning</t>
        </is>
      </c>
      <c r="D1156" s="1" t="n">
        <v>46177</v>
      </c>
      <c r="E1156" s="1" t="n">
        <v>46222</v>
      </c>
      <c r="F1156" t="inlineStr">
        <is>
          <t>GÄVLEBORGS LÄN</t>
        </is>
      </c>
      <c r="G1156" t="inlineStr">
        <is>
          <t>OVANÅKER</t>
        </is>
      </c>
      <c r="I1156" t="n">
        <v>1.1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1570-2024</t>
        </is>
      </c>
      <c r="B1157" t="inlineStr">
        <is>
          <t>avverkningsanmälan</t>
        </is>
      </c>
      <c r="C1157" t="inlineStr">
        <is>
          <t>Föryngringsavverkning</t>
        </is>
      </c>
      <c r="D1157" s="1" t="n">
        <v>45306</v>
      </c>
      <c r="E1157" s="1" t="n">
        <v>46222</v>
      </c>
      <c r="F1157" t="inlineStr">
        <is>
          <t>GÄVLEBORGS LÄN</t>
        </is>
      </c>
      <c r="G1157" t="inlineStr">
        <is>
          <t>OVANÅKER</t>
        </is>
      </c>
      <c r="I1157" t="n">
        <v>2.7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16426-2025</t>
        </is>
      </c>
      <c r="B1158" t="inlineStr">
        <is>
          <t>avverkningsanmälan</t>
        </is>
      </c>
      <c r="C1158" t="inlineStr">
        <is>
          <t>Föryngringsavverkning</t>
        </is>
      </c>
      <c r="D1158" s="1" t="n">
        <v>45751</v>
      </c>
      <c r="E1158" s="1" t="n">
        <v>46222</v>
      </c>
      <c r="F1158" t="inlineStr">
        <is>
          <t>GÄVLEBORGS LÄN</t>
        </is>
      </c>
      <c r="G1158" t="inlineStr">
        <is>
          <t>OVANÅKER</t>
        </is>
      </c>
      <c r="H1158" t="inlineStr">
        <is>
          <t>Bergvik skog öst AB</t>
        </is>
      </c>
      <c r="I1158" t="n">
        <v>0.4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33489-2024</t>
        </is>
      </c>
      <c r="B1159" t="inlineStr">
        <is>
          <t>avverkningsanmälan</t>
        </is>
      </c>
      <c r="C1159" t="inlineStr">
        <is>
          <t>Föryngringsavverkning</t>
        </is>
      </c>
      <c r="D1159" s="1" t="n">
        <v>45519</v>
      </c>
      <c r="E1159" s="1" t="n">
        <v>46222</v>
      </c>
      <c r="F1159" t="inlineStr">
        <is>
          <t>GÄVLEBORGS LÄN</t>
        </is>
      </c>
      <c r="G1159" t="inlineStr">
        <is>
          <t>OVANÅKER</t>
        </is>
      </c>
      <c r="H1159" t="inlineStr">
        <is>
          <t>Bergvik skog öst AB</t>
        </is>
      </c>
      <c r="I1159" t="n">
        <v>1.9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48907-2024</t>
        </is>
      </c>
      <c r="B1160" t="inlineStr">
        <is>
          <t>avverkningsanmälan</t>
        </is>
      </c>
      <c r="C1160" t="inlineStr">
        <is>
          <t>Föryngringsavverkning</t>
        </is>
      </c>
      <c r="D1160" s="1" t="n">
        <v>45594</v>
      </c>
      <c r="E1160" s="1" t="n">
        <v>46222</v>
      </c>
      <c r="F1160" t="inlineStr">
        <is>
          <t>GÄVLEBORGS LÄN</t>
        </is>
      </c>
      <c r="G1160" t="inlineStr">
        <is>
          <t>OVANÅKER</t>
        </is>
      </c>
      <c r="I1160" t="n">
        <v>3.7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18906-2023</t>
        </is>
      </c>
      <c r="B1161" t="inlineStr">
        <is>
          <t>avverkningsanmälan</t>
        </is>
      </c>
      <c r="C1161" t="inlineStr">
        <is>
          <t>Föryngringsavverkning</t>
        </is>
      </c>
      <c r="D1161" s="1" t="n">
        <v>45044</v>
      </c>
      <c r="E1161" s="1" t="n">
        <v>46222</v>
      </c>
      <c r="F1161" t="inlineStr">
        <is>
          <t>GÄVLEBORGS LÄN</t>
        </is>
      </c>
      <c r="G1161" t="inlineStr">
        <is>
          <t>OVANÅKER</t>
        </is>
      </c>
      <c r="I1161" t="n">
        <v>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20261-2026</t>
        </is>
      </c>
      <c r="B1162" t="inlineStr">
        <is>
          <t>avverkningsanmälan</t>
        </is>
      </c>
      <c r="C1162" t="inlineStr">
        <is>
          <t>Föryngringsavverkning</t>
        </is>
      </c>
      <c r="D1162" s="1" t="n">
        <v>46139</v>
      </c>
      <c r="E1162" s="1" t="n">
        <v>46222</v>
      </c>
      <c r="F1162" t="inlineStr">
        <is>
          <t>GÄVLEBORGS LÄN</t>
        </is>
      </c>
      <c r="G1162" t="inlineStr">
        <is>
          <t>OVANÅKER</t>
        </is>
      </c>
      <c r="I1162" t="n">
        <v>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18722-2026</t>
        </is>
      </c>
      <c r="B1163" t="inlineStr">
        <is>
          <t>avverkningsanmälan</t>
        </is>
      </c>
      <c r="C1163" t="inlineStr">
        <is>
          <t>Föryngringsavverkning</t>
        </is>
      </c>
      <c r="D1163" s="1" t="n">
        <v>46128</v>
      </c>
      <c r="E1163" s="1" t="n">
        <v>46222</v>
      </c>
      <c r="F1163" t="inlineStr">
        <is>
          <t>GÄVLEBORGS LÄN</t>
        </is>
      </c>
      <c r="G1163" t="inlineStr">
        <is>
          <t>OVANÅKER</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25790-2026</t>
        </is>
      </c>
      <c r="B1164" t="inlineStr">
        <is>
          <t>avverkningsanmälan</t>
        </is>
      </c>
      <c r="C1164" t="inlineStr">
        <is>
          <t>Föryngringsavverkning</t>
        </is>
      </c>
      <c r="D1164" s="1" t="n">
        <v>46178</v>
      </c>
      <c r="E1164" s="1" t="n">
        <v>46222</v>
      </c>
      <c r="F1164" t="inlineStr">
        <is>
          <t>GÄVLEBORGS LÄN</t>
        </is>
      </c>
      <c r="G1164" t="inlineStr">
        <is>
          <t>OVANÅKER</t>
        </is>
      </c>
      <c r="I1164" t="n">
        <v>0.7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49858-2024</t>
        </is>
      </c>
      <c r="B1165" t="inlineStr">
        <is>
          <t>avverkningsanmälan</t>
        </is>
      </c>
      <c r="C1165" t="inlineStr">
        <is>
          <t>Föryngringsavverkning</t>
        </is>
      </c>
      <c r="D1165" s="1" t="n">
        <v>45597</v>
      </c>
      <c r="E1165" s="1" t="n">
        <v>46222</v>
      </c>
      <c r="F1165" t="inlineStr">
        <is>
          <t>GÄVLEBORGS LÄN</t>
        </is>
      </c>
      <c r="G1165" t="inlineStr">
        <is>
          <t>OVANÅKER</t>
        </is>
      </c>
      <c r="I1165" t="n">
        <v>1.2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58918-2022</t>
        </is>
      </c>
      <c r="B1166" t="inlineStr">
        <is>
          <t>avverkningsanmälan</t>
        </is>
      </c>
      <c r="C1166" t="inlineStr">
        <is>
          <t>Föryngringsavverkning</t>
        </is>
      </c>
      <c r="D1166" s="1" t="n">
        <v>44903</v>
      </c>
      <c r="E1166" s="1" t="n">
        <v>46222</v>
      </c>
      <c r="F1166" t="inlineStr">
        <is>
          <t>GÄVLEBORGS LÄN</t>
        </is>
      </c>
      <c r="G1166" t="inlineStr">
        <is>
          <t>OVANÅKER</t>
        </is>
      </c>
      <c r="H1166" t="inlineStr">
        <is>
          <t>Bergvik skog väst AB</t>
        </is>
      </c>
      <c r="I1166" t="n">
        <v>0.5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18899-2026</t>
        </is>
      </c>
      <c r="B1167" t="inlineStr">
        <is>
          <t>avverkningsanmälan</t>
        </is>
      </c>
      <c r="C1167" t="inlineStr">
        <is>
          <t>Föryngringsavverkning</t>
        </is>
      </c>
      <c r="D1167" s="1" t="n">
        <v>46129</v>
      </c>
      <c r="E1167" s="1" t="n">
        <v>46222</v>
      </c>
      <c r="F1167" t="inlineStr">
        <is>
          <t>GÄVLEBORGS LÄN</t>
        </is>
      </c>
      <c r="G1167" t="inlineStr">
        <is>
          <t>OVANÅKER</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22347-2024</t>
        </is>
      </c>
      <c r="B1168" t="inlineStr">
        <is>
          <t>avverkningsanmälan</t>
        </is>
      </c>
      <c r="C1168" t="inlineStr">
        <is>
          <t>Föryngringsavverkning</t>
        </is>
      </c>
      <c r="D1168" s="1" t="n">
        <v>45446</v>
      </c>
      <c r="E1168" s="1" t="n">
        <v>46222</v>
      </c>
      <c r="F1168" t="inlineStr">
        <is>
          <t>GÄVLEBORGS LÄN</t>
        </is>
      </c>
      <c r="G1168" t="inlineStr">
        <is>
          <t>OVANÅKER</t>
        </is>
      </c>
      <c r="I1168" t="n">
        <v>0.6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48369-2022</t>
        </is>
      </c>
      <c r="B1169" t="inlineStr">
        <is>
          <t>avverkningsanmälan</t>
        </is>
      </c>
      <c r="C1169" t="inlineStr">
        <is>
          <t>Föryngringsavverkning</t>
        </is>
      </c>
      <c r="D1169" s="1" t="n">
        <v>44858</v>
      </c>
      <c r="E1169" s="1" t="n">
        <v>46222</v>
      </c>
      <c r="F1169" t="inlineStr">
        <is>
          <t>GÄVLEBORGS LÄN</t>
        </is>
      </c>
      <c r="G1169" t="inlineStr">
        <is>
          <t>OVANÅKER</t>
        </is>
      </c>
      <c r="I1169" t="n">
        <v>1.5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50740-2023</t>
        </is>
      </c>
      <c r="B1170" t="inlineStr">
        <is>
          <t>avverkningsanmälan</t>
        </is>
      </c>
      <c r="C1170" t="inlineStr">
        <is>
          <t>Föryngringsavverkning</t>
        </is>
      </c>
      <c r="D1170" s="1" t="n">
        <v>45217</v>
      </c>
      <c r="E1170" s="1" t="n">
        <v>46222</v>
      </c>
      <c r="F1170" t="inlineStr">
        <is>
          <t>GÄVLEBORGS LÄN</t>
        </is>
      </c>
      <c r="G1170" t="inlineStr">
        <is>
          <t>OVANÅKER</t>
        </is>
      </c>
      <c r="I1170" t="n">
        <v>0.9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50620-2023</t>
        </is>
      </c>
      <c r="B1171" t="inlineStr">
        <is>
          <t>avverkningsanmälan</t>
        </is>
      </c>
      <c r="C1171" t="inlineStr">
        <is>
          <t>Föryngringsavverkning</t>
        </is>
      </c>
      <c r="D1171" s="1" t="n">
        <v>45217</v>
      </c>
      <c r="E1171" s="1" t="n">
        <v>46222</v>
      </c>
      <c r="F1171" t="inlineStr">
        <is>
          <t>GÄVLEBORGS LÄN</t>
        </is>
      </c>
      <c r="G1171" t="inlineStr">
        <is>
          <t>OVANÅKER</t>
        </is>
      </c>
      <c r="I1171" t="n">
        <v>3.5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14574-2025</t>
        </is>
      </c>
      <c r="B1172" t="inlineStr">
        <is>
          <t>avverkningsanmälan</t>
        </is>
      </c>
      <c r="C1172" t="inlineStr">
        <is>
          <t>Föryngringsavverkning</t>
        </is>
      </c>
      <c r="D1172" s="1" t="n">
        <v>45741</v>
      </c>
      <c r="E1172" s="1" t="n">
        <v>46222</v>
      </c>
      <c r="F1172" t="inlineStr">
        <is>
          <t>GÄVLEBORGS LÄN</t>
        </is>
      </c>
      <c r="G1172" t="inlineStr">
        <is>
          <t>OVANÅKER</t>
        </is>
      </c>
      <c r="I1172" t="n">
        <v>3.8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4685-2025</t>
        </is>
      </c>
      <c r="B1173" t="inlineStr">
        <is>
          <t>avverkningsanmälan</t>
        </is>
      </c>
      <c r="C1173" t="inlineStr">
        <is>
          <t>Föryngringsavverkning</t>
        </is>
      </c>
      <c r="D1173" s="1" t="n">
        <v>45688</v>
      </c>
      <c r="E1173" s="1" t="n">
        <v>46222</v>
      </c>
      <c r="F1173" t="inlineStr">
        <is>
          <t>GÄVLEBORGS LÄN</t>
        </is>
      </c>
      <c r="G1173" t="inlineStr">
        <is>
          <t>OVANÅKER</t>
        </is>
      </c>
      <c r="I1173" t="n">
        <v>3.2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53604-2023</t>
        </is>
      </c>
      <c r="B1174" t="inlineStr">
        <is>
          <t>avverkningsanmälan</t>
        </is>
      </c>
      <c r="C1174" t="inlineStr">
        <is>
          <t>Föryngringsavverkning</t>
        </is>
      </c>
      <c r="D1174" s="1" t="n">
        <v>45230</v>
      </c>
      <c r="E1174" s="1" t="n">
        <v>46222</v>
      </c>
      <c r="F1174" t="inlineStr">
        <is>
          <t>GÄVLEBORGS LÄN</t>
        </is>
      </c>
      <c r="G1174" t="inlineStr">
        <is>
          <t>OVANÅKER</t>
        </is>
      </c>
      <c r="I1174" t="n">
        <v>1.2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28446-2024</t>
        </is>
      </c>
      <c r="B1175" t="inlineStr">
        <is>
          <t>avverkningsanmälan</t>
        </is>
      </c>
      <c r="C1175" t="inlineStr">
        <is>
          <t>Föryngringsavverkning</t>
        </is>
      </c>
      <c r="D1175" s="1" t="n">
        <v>45477</v>
      </c>
      <c r="E1175" s="1" t="n">
        <v>46222</v>
      </c>
      <c r="F1175" t="inlineStr">
        <is>
          <t>GÄVLEBORGS LÄN</t>
        </is>
      </c>
      <c r="G1175" t="inlineStr">
        <is>
          <t>OVANÅKER</t>
        </is>
      </c>
      <c r="I1175" t="n">
        <v>0.6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59511-2022</t>
        </is>
      </c>
      <c r="B1176" t="inlineStr">
        <is>
          <t>avverkningsanmälan</t>
        </is>
      </c>
      <c r="C1176" t="inlineStr">
        <is>
          <t>Föryngringsavverkning</t>
        </is>
      </c>
      <c r="D1176" s="1" t="n">
        <v>44907</v>
      </c>
      <c r="E1176" s="1" t="n">
        <v>46222</v>
      </c>
      <c r="F1176" t="inlineStr">
        <is>
          <t>GÄVLEBORGS LÄN</t>
        </is>
      </c>
      <c r="G1176" t="inlineStr">
        <is>
          <t>OVANÅKER</t>
        </is>
      </c>
      <c r="I1176" t="n">
        <v>1.5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41801-2023</t>
        </is>
      </c>
      <c r="B1177" t="inlineStr">
        <is>
          <t>avverkningsanmälan</t>
        </is>
      </c>
      <c r="C1177" t="inlineStr">
        <is>
          <t>Föryngringsavverkning</t>
        </is>
      </c>
      <c r="D1177" s="1" t="n">
        <v>45176</v>
      </c>
      <c r="E1177" s="1" t="n">
        <v>46222</v>
      </c>
      <c r="F1177" t="inlineStr">
        <is>
          <t>GÄVLEBORGS LÄN</t>
        </is>
      </c>
      <c r="G1177" t="inlineStr">
        <is>
          <t>OVANÅKER</t>
        </is>
      </c>
      <c r="I1177" t="n">
        <v>1.5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56455-2022</t>
        </is>
      </c>
      <c r="B1178" t="inlineStr">
        <is>
          <t>avverkningsanmälan</t>
        </is>
      </c>
      <c r="C1178" t="inlineStr">
        <is>
          <t>Föryngringsavverkning</t>
        </is>
      </c>
      <c r="D1178" s="1" t="n">
        <v>44893</v>
      </c>
      <c r="E1178" s="1" t="n">
        <v>46222</v>
      </c>
      <c r="F1178" t="inlineStr">
        <is>
          <t>GÄVLEBORGS LÄN</t>
        </is>
      </c>
      <c r="G1178" t="inlineStr">
        <is>
          <t>OVANÅKER</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40886-2024</t>
        </is>
      </c>
      <c r="B1179" t="inlineStr">
        <is>
          <t>avverkningsanmälan</t>
        </is>
      </c>
      <c r="C1179" t="inlineStr">
        <is>
          <t>Föryngringsavverkning</t>
        </is>
      </c>
      <c r="D1179" s="1" t="n">
        <v>45558</v>
      </c>
      <c r="E1179" s="1" t="n">
        <v>46222</v>
      </c>
      <c r="F1179" t="inlineStr">
        <is>
          <t>GÄVLEBORGS LÄN</t>
        </is>
      </c>
      <c r="G1179" t="inlineStr">
        <is>
          <t>OVANÅKER</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30946-2024</t>
        </is>
      </c>
      <c r="B1180" t="inlineStr">
        <is>
          <t>avverkningsanmälan</t>
        </is>
      </c>
      <c r="C1180" t="inlineStr">
        <is>
          <t>Föryngringsavverkning</t>
        </is>
      </c>
      <c r="D1180" s="1" t="n">
        <v>45499</v>
      </c>
      <c r="E1180" s="1" t="n">
        <v>46222</v>
      </c>
      <c r="F1180" t="inlineStr">
        <is>
          <t>GÄVLEBORGS LÄN</t>
        </is>
      </c>
      <c r="G1180" t="inlineStr">
        <is>
          <t>OVANÅKER</t>
        </is>
      </c>
      <c r="H1180" t="inlineStr">
        <is>
          <t>Bergvik skog öst AB</t>
        </is>
      </c>
      <c r="I1180" t="n">
        <v>1.8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20264-2024</t>
        </is>
      </c>
      <c r="B1181" t="inlineStr">
        <is>
          <t>avverkningsanmälan</t>
        </is>
      </c>
      <c r="C1181" t="inlineStr">
        <is>
          <t>Föryngringsavverkning</t>
        </is>
      </c>
      <c r="D1181" s="1" t="n">
        <v>45434</v>
      </c>
      <c r="E1181" s="1" t="n">
        <v>46222</v>
      </c>
      <c r="F1181" t="inlineStr">
        <is>
          <t>GÄVLEBORGS LÄN</t>
        </is>
      </c>
      <c r="G1181" t="inlineStr">
        <is>
          <t>OVANÅKER</t>
        </is>
      </c>
      <c r="I1181" t="n">
        <v>5.3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54187-2024</t>
        </is>
      </c>
      <c r="B1182" t="inlineStr">
        <is>
          <t>avverkningsanmälan</t>
        </is>
      </c>
      <c r="C1182" t="inlineStr">
        <is>
          <t>Föryngringsavverkning</t>
        </is>
      </c>
      <c r="D1182" s="1" t="n">
        <v>45616</v>
      </c>
      <c r="E1182" s="1" t="n">
        <v>46222</v>
      </c>
      <c r="F1182" t="inlineStr">
        <is>
          <t>GÄVLEBORGS LÄN</t>
        </is>
      </c>
      <c r="G1182" t="inlineStr">
        <is>
          <t>OVANÅKER</t>
        </is>
      </c>
      <c r="H1182" t="inlineStr">
        <is>
          <t>Holmen skog AB</t>
        </is>
      </c>
      <c r="I1182" t="n">
        <v>1.8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50389-2024</t>
        </is>
      </c>
      <c r="B1183" t="inlineStr">
        <is>
          <t>avverkningsanmälan</t>
        </is>
      </c>
      <c r="C1183" t="inlineStr">
        <is>
          <t>Föryngringsavverkning</t>
        </is>
      </c>
      <c r="D1183" s="1" t="n">
        <v>45601</v>
      </c>
      <c r="E1183" s="1" t="n">
        <v>46222</v>
      </c>
      <c r="F1183" t="inlineStr">
        <is>
          <t>GÄVLEBORGS LÄN</t>
        </is>
      </c>
      <c r="G1183" t="inlineStr">
        <is>
          <t>OVANÅKER</t>
        </is>
      </c>
      <c r="I1183" t="n">
        <v>1.4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20927-2025</t>
        </is>
      </c>
      <c r="B1184" t="inlineStr">
        <is>
          <t>avverkningsanmälan</t>
        </is>
      </c>
      <c r="C1184" t="inlineStr">
        <is>
          <t>Föryngringsavverkning</t>
        </is>
      </c>
      <c r="D1184" s="1" t="n">
        <v>45777</v>
      </c>
      <c r="E1184" s="1" t="n">
        <v>46222</v>
      </c>
      <c r="F1184" t="inlineStr">
        <is>
          <t>GÄVLEBORGS LÄN</t>
        </is>
      </c>
      <c r="G1184" t="inlineStr">
        <is>
          <t>OVANÅKER</t>
        </is>
      </c>
      <c r="H1184" t="inlineStr">
        <is>
          <t>Sveaskog</t>
        </is>
      </c>
      <c r="I1184" t="n">
        <v>2.6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21394-2025</t>
        </is>
      </c>
      <c r="B1185" t="inlineStr">
        <is>
          <t>avverkningsanmälan</t>
        </is>
      </c>
      <c r="C1185" t="inlineStr">
        <is>
          <t>Föryngringsavverkning</t>
        </is>
      </c>
      <c r="D1185" s="1" t="n">
        <v>45782</v>
      </c>
      <c r="E1185" s="1" t="n">
        <v>46222</v>
      </c>
      <c r="F1185" t="inlineStr">
        <is>
          <t>GÄVLEBORGS LÄN</t>
        </is>
      </c>
      <c r="G1185" t="inlineStr">
        <is>
          <t>OVANÅKER</t>
        </is>
      </c>
      <c r="H1185" t="inlineStr">
        <is>
          <t>Bergvik skog öst AB</t>
        </is>
      </c>
      <c r="I1185" t="n">
        <v>2.6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21446-2025</t>
        </is>
      </c>
      <c r="B1186" t="inlineStr">
        <is>
          <t>avverkningsanmälan</t>
        </is>
      </c>
      <c r="C1186" t="inlineStr">
        <is>
          <t>Föryngringsavverkning</t>
        </is>
      </c>
      <c r="D1186" s="1" t="n">
        <v>45782</v>
      </c>
      <c r="E1186" s="1" t="n">
        <v>46222</v>
      </c>
      <c r="F1186" t="inlineStr">
        <is>
          <t>GÄVLEBORGS LÄN</t>
        </is>
      </c>
      <c r="G1186" t="inlineStr">
        <is>
          <t>OVANÅKER</t>
        </is>
      </c>
      <c r="H1186" t="inlineStr">
        <is>
          <t>Bergvik skog öst AB</t>
        </is>
      </c>
      <c r="I1186" t="n">
        <v>5.9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31298-2024</t>
        </is>
      </c>
      <c r="B1187" t="inlineStr">
        <is>
          <t>avverkningsanmälan</t>
        </is>
      </c>
      <c r="C1187" t="inlineStr">
        <is>
          <t>Föryngringsavverkning</t>
        </is>
      </c>
      <c r="D1187" s="1" t="n">
        <v>45504</v>
      </c>
      <c r="E1187" s="1" t="n">
        <v>46222</v>
      </c>
      <c r="F1187" t="inlineStr">
        <is>
          <t>GÄVLEBORGS LÄN</t>
        </is>
      </c>
      <c r="G1187" t="inlineStr">
        <is>
          <t>OVANÅKER</t>
        </is>
      </c>
      <c r="I1187" t="n">
        <v>2.4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42722-2024</t>
        </is>
      </c>
      <c r="B1188" t="inlineStr">
        <is>
          <t>avverkningsanmälan</t>
        </is>
      </c>
      <c r="C1188" t="inlineStr">
        <is>
          <t>Föryngringsavverkning</t>
        </is>
      </c>
      <c r="D1188" s="1" t="n">
        <v>45566</v>
      </c>
      <c r="E1188" s="1" t="n">
        <v>46222</v>
      </c>
      <c r="F1188" t="inlineStr">
        <is>
          <t>GÄVLEBORGS LÄN</t>
        </is>
      </c>
      <c r="G1188" t="inlineStr">
        <is>
          <t>OVANÅKER</t>
        </is>
      </c>
      <c r="I1188" t="n">
        <v>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35086-2024</t>
        </is>
      </c>
      <c r="B1189" t="inlineStr">
        <is>
          <t>avverkningsanmälan</t>
        </is>
      </c>
      <c r="C1189" t="inlineStr">
        <is>
          <t>Föryngringsavverkning</t>
        </is>
      </c>
      <c r="D1189" s="1" t="n">
        <v>45527</v>
      </c>
      <c r="E1189" s="1" t="n">
        <v>46222</v>
      </c>
      <c r="F1189" t="inlineStr">
        <is>
          <t>GÄVLEBORGS LÄN</t>
        </is>
      </c>
      <c r="G1189" t="inlineStr">
        <is>
          <t>OVANÅKER</t>
        </is>
      </c>
      <c r="I1189" t="n">
        <v>2.1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21734-2025</t>
        </is>
      </c>
      <c r="B1190" t="inlineStr">
        <is>
          <t>avverkningsanmälan</t>
        </is>
      </c>
      <c r="C1190" t="inlineStr">
        <is>
          <t>Föryngringsavverkning</t>
        </is>
      </c>
      <c r="D1190" s="1" t="n">
        <v>45783</v>
      </c>
      <c r="E1190" s="1" t="n">
        <v>46222</v>
      </c>
      <c r="F1190" t="inlineStr">
        <is>
          <t>GÄVLEBORGS LÄN</t>
        </is>
      </c>
      <c r="G1190" t="inlineStr">
        <is>
          <t>OVANÅKER</t>
        </is>
      </c>
      <c r="H1190" t="inlineStr">
        <is>
          <t>Bergvik skog öst AB</t>
        </is>
      </c>
      <c r="I1190" t="n">
        <v>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58645-2024</t>
        </is>
      </c>
      <c r="B1191" t="inlineStr">
        <is>
          <t>avverkningsanmälan</t>
        </is>
      </c>
      <c r="C1191" t="inlineStr">
        <is>
          <t>Föryngringsavverkning</t>
        </is>
      </c>
      <c r="D1191" s="1" t="n">
        <v>45632</v>
      </c>
      <c r="E1191" s="1" t="n">
        <v>46222</v>
      </c>
      <c r="F1191" t="inlineStr">
        <is>
          <t>GÄVLEBORGS LÄN</t>
        </is>
      </c>
      <c r="G1191" t="inlineStr">
        <is>
          <t>OVANÅKER</t>
        </is>
      </c>
      <c r="I1191" t="n">
        <v>2.3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21744-2025</t>
        </is>
      </c>
      <c r="B1192" t="inlineStr">
        <is>
          <t>avverkningsanmälan</t>
        </is>
      </c>
      <c r="C1192" t="inlineStr">
        <is>
          <t>Föryngringsavverkning</t>
        </is>
      </c>
      <c r="D1192" s="1" t="n">
        <v>45783</v>
      </c>
      <c r="E1192" s="1" t="n">
        <v>46222</v>
      </c>
      <c r="F1192" t="inlineStr">
        <is>
          <t>GÄVLEBORGS LÄN</t>
        </is>
      </c>
      <c r="G1192" t="inlineStr">
        <is>
          <t>OVANÅKER</t>
        </is>
      </c>
      <c r="H1192" t="inlineStr">
        <is>
          <t>Bergvik skog öst AB</t>
        </is>
      </c>
      <c r="I1192" t="n">
        <v>0.9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52165-2023</t>
        </is>
      </c>
      <c r="B1193" t="inlineStr">
        <is>
          <t>avverkningsanmälan</t>
        </is>
      </c>
      <c r="C1193" t="inlineStr">
        <is>
          <t>Föryngringsavverkning</t>
        </is>
      </c>
      <c r="D1193" s="1" t="n">
        <v>45224</v>
      </c>
      <c r="E1193" s="1" t="n">
        <v>46222</v>
      </c>
      <c r="F1193" t="inlineStr">
        <is>
          <t>GÄVLEBORGS LÄN</t>
        </is>
      </c>
      <c r="G1193" t="inlineStr">
        <is>
          <t>OVANÅKER</t>
        </is>
      </c>
      <c r="I1193" t="n">
        <v>1.5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23093-2022</t>
        </is>
      </c>
      <c r="B1194" t="inlineStr">
        <is>
          <t>avverkningsanmälan</t>
        </is>
      </c>
      <c r="C1194" t="inlineStr">
        <is>
          <t>Föryngringsavverkning</t>
        </is>
      </c>
      <c r="D1194" s="1" t="n">
        <v>44719</v>
      </c>
      <c r="E1194" s="1" t="n">
        <v>46222</v>
      </c>
      <c r="F1194" t="inlineStr">
        <is>
          <t>GÄVLEBORGS LÄN</t>
        </is>
      </c>
      <c r="G1194" t="inlineStr">
        <is>
          <t>OVANÅKER</t>
        </is>
      </c>
      <c r="I1194" t="n">
        <v>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37071-2024</t>
        </is>
      </c>
      <c r="B1195" t="inlineStr">
        <is>
          <t>avverkningsanmälan</t>
        </is>
      </c>
      <c r="C1195" t="inlineStr">
        <is>
          <t>Föryngringsavverkning</t>
        </is>
      </c>
      <c r="D1195" s="1" t="n">
        <v>45539</v>
      </c>
      <c r="E1195" s="1" t="n">
        <v>46222</v>
      </c>
      <c r="F1195" t="inlineStr">
        <is>
          <t>GÄVLEBORGS LÄN</t>
        </is>
      </c>
      <c r="G1195" t="inlineStr">
        <is>
          <t>OVANÅKER</t>
        </is>
      </c>
      <c r="H1195" t="inlineStr">
        <is>
          <t>Bergvik skog väst AB</t>
        </is>
      </c>
      <c r="I1195" t="n">
        <v>2.7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22312-2025</t>
        </is>
      </c>
      <c r="B1196" t="inlineStr">
        <is>
          <t>avverkningsanmälan</t>
        </is>
      </c>
      <c r="C1196" t="inlineStr">
        <is>
          <t>Föryngringsavverkning</t>
        </is>
      </c>
      <c r="D1196" s="1" t="n">
        <v>45786</v>
      </c>
      <c r="E1196" s="1" t="n">
        <v>46222</v>
      </c>
      <c r="F1196" t="inlineStr">
        <is>
          <t>GÄVLEBORGS LÄN</t>
        </is>
      </c>
      <c r="G1196" t="inlineStr">
        <is>
          <t>OVANÅKER</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55910-2024</t>
        </is>
      </c>
      <c r="B1197" t="inlineStr">
        <is>
          <t>avverkningsanmälan</t>
        </is>
      </c>
      <c r="C1197" t="inlineStr">
        <is>
          <t>Föryngringsavverkning</t>
        </is>
      </c>
      <c r="D1197" s="1" t="n">
        <v>45623</v>
      </c>
      <c r="E1197" s="1" t="n">
        <v>46222</v>
      </c>
      <c r="F1197" t="inlineStr">
        <is>
          <t>GÄVLEBORGS LÄN</t>
        </is>
      </c>
      <c r="G1197" t="inlineStr">
        <is>
          <t>OVANÅKER</t>
        </is>
      </c>
      <c r="I1197" t="n">
        <v>1.9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43504-2024</t>
        </is>
      </c>
      <c r="B1198" t="inlineStr">
        <is>
          <t>avverkningsanmälan</t>
        </is>
      </c>
      <c r="C1198" t="inlineStr">
        <is>
          <t>Föryngringsavverkning</t>
        </is>
      </c>
      <c r="D1198" s="1" t="n">
        <v>45569</v>
      </c>
      <c r="E1198" s="1" t="n">
        <v>46222</v>
      </c>
      <c r="F1198" t="inlineStr">
        <is>
          <t>GÄVLEBORGS LÄN</t>
        </is>
      </c>
      <c r="G1198" t="inlineStr">
        <is>
          <t>OVANÅKER</t>
        </is>
      </c>
      <c r="I1198" t="n">
        <v>6.5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62738-2023</t>
        </is>
      </c>
      <c r="B1199" t="inlineStr">
        <is>
          <t>avverkningsanmälan</t>
        </is>
      </c>
      <c r="C1199" t="inlineStr">
        <is>
          <t>Avverkning för annat ändamål</t>
        </is>
      </c>
      <c r="D1199" s="1" t="n">
        <v>45268</v>
      </c>
      <c r="E1199" s="1" t="n">
        <v>46222</v>
      </c>
      <c r="F1199" t="inlineStr">
        <is>
          <t>GÄVLEBORGS LÄN</t>
        </is>
      </c>
      <c r="G1199" t="inlineStr">
        <is>
          <t>OVANÅKER</t>
        </is>
      </c>
      <c r="I1199" t="n">
        <v>0.6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23424-2025</t>
        </is>
      </c>
      <c r="B1200" t="inlineStr">
        <is>
          <t>avverkningsanmälan</t>
        </is>
      </c>
      <c r="C1200" t="inlineStr">
        <is>
          <t>Föryngringsavverkning</t>
        </is>
      </c>
      <c r="D1200" s="1" t="n">
        <v>45792</v>
      </c>
      <c r="E1200" s="1" t="n">
        <v>46222</v>
      </c>
      <c r="F1200" t="inlineStr">
        <is>
          <t>GÄVLEBORGS LÄN</t>
        </is>
      </c>
      <c r="G1200" t="inlineStr">
        <is>
          <t>OVANÅKER</t>
        </is>
      </c>
      <c r="H1200" t="inlineStr">
        <is>
          <t>Bergvik skog väst AB</t>
        </is>
      </c>
      <c r="I1200" t="n">
        <v>0.4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23242-2025</t>
        </is>
      </c>
      <c r="B1201" t="inlineStr">
        <is>
          <t>avverkningsanmälan</t>
        </is>
      </c>
      <c r="C1201" t="inlineStr">
        <is>
          <t>Föryngringsavverkning</t>
        </is>
      </c>
      <c r="D1201" s="1" t="n">
        <v>45791</v>
      </c>
      <c r="E1201" s="1" t="n">
        <v>46222</v>
      </c>
      <c r="F1201" t="inlineStr">
        <is>
          <t>GÄVLEBORGS LÄN</t>
        </is>
      </c>
      <c r="G1201" t="inlineStr">
        <is>
          <t>OVANÅKER</t>
        </is>
      </c>
      <c r="I1201" t="n">
        <v>0.7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25187-2023</t>
        </is>
      </c>
      <c r="B1202" t="inlineStr">
        <is>
          <t>avverkningsanmälan</t>
        </is>
      </c>
      <c r="C1202" t="inlineStr">
        <is>
          <t>Föryngringsavverkning</t>
        </is>
      </c>
      <c r="D1202" s="1" t="n">
        <v>45086</v>
      </c>
      <c r="E1202" s="1" t="n">
        <v>46222</v>
      </c>
      <c r="F1202" t="inlineStr">
        <is>
          <t>GÄVLEBORGS LÄN</t>
        </is>
      </c>
      <c r="G1202" t="inlineStr">
        <is>
          <t>OVANÅKER</t>
        </is>
      </c>
      <c r="I1202" t="n">
        <v>1.5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438-2025</t>
        </is>
      </c>
      <c r="B1203" t="inlineStr">
        <is>
          <t>avverkningsanmälan</t>
        </is>
      </c>
      <c r="C1203" t="inlineStr">
        <is>
          <t>Föryngringsavverkning</t>
        </is>
      </c>
      <c r="D1203" s="1" t="n">
        <v>45664</v>
      </c>
      <c r="E1203" s="1" t="n">
        <v>46222</v>
      </c>
      <c r="F1203" t="inlineStr">
        <is>
          <t>GÄVLEBORGS LÄN</t>
        </is>
      </c>
      <c r="G1203" t="inlineStr">
        <is>
          <t>OVANÅKER</t>
        </is>
      </c>
      <c r="I1203" t="n">
        <v>5.1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39862-2023</t>
        </is>
      </c>
      <c r="B1204" t="inlineStr">
        <is>
          <t>avverkningsanmälan</t>
        </is>
      </c>
      <c r="C1204" t="inlineStr">
        <is>
          <t>Föryngringsavverkning</t>
        </is>
      </c>
      <c r="D1204" s="1" t="n">
        <v>45168</v>
      </c>
      <c r="E1204" s="1" t="n">
        <v>46222</v>
      </c>
      <c r="F1204" t="inlineStr">
        <is>
          <t>GÄVLEBORGS LÄN</t>
        </is>
      </c>
      <c r="G1204" t="inlineStr">
        <is>
          <t>OVANÅKER</t>
        </is>
      </c>
      <c r="I1204" t="n">
        <v>1.2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44571-2024</t>
        </is>
      </c>
      <c r="B1205" t="inlineStr">
        <is>
          <t>avverkningsanmälan</t>
        </is>
      </c>
      <c r="C1205" t="inlineStr">
        <is>
          <t>Föryngringsavverkning</t>
        </is>
      </c>
      <c r="D1205" s="1" t="n">
        <v>45574</v>
      </c>
      <c r="E1205" s="1" t="n">
        <v>46222</v>
      </c>
      <c r="F1205" t="inlineStr">
        <is>
          <t>GÄVLEBORGS LÄN</t>
        </is>
      </c>
      <c r="G1205" t="inlineStr">
        <is>
          <t>OVANÅKER</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50480-2024</t>
        </is>
      </c>
      <c r="B1206" t="inlineStr">
        <is>
          <t>avverkningsanmälan</t>
        </is>
      </c>
      <c r="C1206" t="inlineStr">
        <is>
          <t>Föryngringsavverkning</t>
        </is>
      </c>
      <c r="D1206" s="1" t="n">
        <v>45601</v>
      </c>
      <c r="E1206" s="1" t="n">
        <v>46222</v>
      </c>
      <c r="F1206" t="inlineStr">
        <is>
          <t>GÄVLEBORGS LÄN</t>
        </is>
      </c>
      <c r="G1206" t="inlineStr">
        <is>
          <t>OVANÅKER</t>
        </is>
      </c>
      <c r="I1206" t="n">
        <v>3.8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7569-2022</t>
        </is>
      </c>
      <c r="B1207" t="inlineStr">
        <is>
          <t>avverkningsanmälan</t>
        </is>
      </c>
      <c r="C1207" t="inlineStr">
        <is>
          <t>Avverkning för annat ändamål</t>
        </is>
      </c>
      <c r="D1207" s="1" t="n">
        <v>44607</v>
      </c>
      <c r="E1207" s="1" t="n">
        <v>46222</v>
      </c>
      <c r="F1207" t="inlineStr">
        <is>
          <t>GÄVLEBORGS LÄN</t>
        </is>
      </c>
      <c r="G1207" t="inlineStr">
        <is>
          <t>OVANÅKER</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44577-2024</t>
        </is>
      </c>
      <c r="B1208" t="inlineStr">
        <is>
          <t>avverkningsanmälan</t>
        </is>
      </c>
      <c r="C1208" t="inlineStr">
        <is>
          <t>Föryngringsavverkning</t>
        </is>
      </c>
      <c r="D1208" s="1" t="n">
        <v>45574</v>
      </c>
      <c r="E1208" s="1" t="n">
        <v>46222</v>
      </c>
      <c r="F1208" t="inlineStr">
        <is>
          <t>GÄVLEBORGS LÄN</t>
        </is>
      </c>
      <c r="G1208" t="inlineStr">
        <is>
          <t>OVANÅKER</t>
        </is>
      </c>
      <c r="I1208" t="n">
        <v>1.1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25278-2025</t>
        </is>
      </c>
      <c r="B1209" t="inlineStr">
        <is>
          <t>avverkningsanmälan</t>
        </is>
      </c>
      <c r="C1209" t="inlineStr">
        <is>
          <t>Föryngringsavverkning</t>
        </is>
      </c>
      <c r="D1209" s="1" t="n">
        <v>45800</v>
      </c>
      <c r="E1209" s="1" t="n">
        <v>46222</v>
      </c>
      <c r="F1209" t="inlineStr">
        <is>
          <t>GÄVLEBORGS LÄN</t>
        </is>
      </c>
      <c r="G1209" t="inlineStr">
        <is>
          <t>OVANÅKER</t>
        </is>
      </c>
      <c r="H1209" t="inlineStr">
        <is>
          <t>Bergvik skog öst AB</t>
        </is>
      </c>
      <c r="I1209" t="n">
        <v>6.1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25337-2025</t>
        </is>
      </c>
      <c r="B1210" t="inlineStr">
        <is>
          <t>avverkningsanmälan</t>
        </is>
      </c>
      <c r="C1210" t="inlineStr">
        <is>
          <t>Föryngringsavverkning</t>
        </is>
      </c>
      <c r="D1210" s="1" t="n">
        <v>45800</v>
      </c>
      <c r="E1210" s="1" t="n">
        <v>46222</v>
      </c>
      <c r="F1210" t="inlineStr">
        <is>
          <t>GÄVLEBORGS LÄN</t>
        </is>
      </c>
      <c r="G1210" t="inlineStr">
        <is>
          <t>OVANÅKER</t>
        </is>
      </c>
      <c r="H1210" t="inlineStr">
        <is>
          <t>Bergvik skog väst AB</t>
        </is>
      </c>
      <c r="I1210" t="n">
        <v>4.5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25289-2025</t>
        </is>
      </c>
      <c r="B1211" t="inlineStr">
        <is>
          <t>avverkningsanmälan</t>
        </is>
      </c>
      <c r="C1211" t="inlineStr">
        <is>
          <t>Föryngringsavverkning</t>
        </is>
      </c>
      <c r="D1211" s="1" t="n">
        <v>45800</v>
      </c>
      <c r="E1211" s="1" t="n">
        <v>46222</v>
      </c>
      <c r="F1211" t="inlineStr">
        <is>
          <t>GÄVLEBORGS LÄN</t>
        </is>
      </c>
      <c r="G1211" t="inlineStr">
        <is>
          <t>OVANÅKER</t>
        </is>
      </c>
      <c r="H1211" t="inlineStr">
        <is>
          <t>Bergvik skog öst AB</t>
        </is>
      </c>
      <c r="I1211" t="n">
        <v>0.4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25281-2025</t>
        </is>
      </c>
      <c r="B1212" t="inlineStr">
        <is>
          <t>avverkningsanmälan</t>
        </is>
      </c>
      <c r="C1212" t="inlineStr">
        <is>
          <t>Föryngringsavverkning</t>
        </is>
      </c>
      <c r="D1212" s="1" t="n">
        <v>45800</v>
      </c>
      <c r="E1212" s="1" t="n">
        <v>46222</v>
      </c>
      <c r="F1212" t="inlineStr">
        <is>
          <t>GÄVLEBORGS LÄN</t>
        </is>
      </c>
      <c r="G1212" t="inlineStr">
        <is>
          <t>OVANÅKER</t>
        </is>
      </c>
      <c r="H1212" t="inlineStr">
        <is>
          <t>Bergvik skog öst AB</t>
        </is>
      </c>
      <c r="I1212" t="n">
        <v>1.4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25292-2025</t>
        </is>
      </c>
      <c r="B1213" t="inlineStr">
        <is>
          <t>avverkningsanmälan</t>
        </is>
      </c>
      <c r="C1213" t="inlineStr">
        <is>
          <t>Föryngringsavverkning</t>
        </is>
      </c>
      <c r="D1213" s="1" t="n">
        <v>45800</v>
      </c>
      <c r="E1213" s="1" t="n">
        <v>46222</v>
      </c>
      <c r="F1213" t="inlineStr">
        <is>
          <t>GÄVLEBORGS LÄN</t>
        </is>
      </c>
      <c r="G1213" t="inlineStr">
        <is>
          <t>OVANÅKER</t>
        </is>
      </c>
      <c r="H1213" t="inlineStr">
        <is>
          <t>Bergvik skog öst AB</t>
        </is>
      </c>
      <c r="I1213" t="n">
        <v>2.2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25193-2025</t>
        </is>
      </c>
      <c r="B1214" t="inlineStr">
        <is>
          <t>avverkningsanmälan</t>
        </is>
      </c>
      <c r="C1214" t="inlineStr">
        <is>
          <t>Föryngringsavverkning</t>
        </is>
      </c>
      <c r="D1214" s="1" t="n">
        <v>45800</v>
      </c>
      <c r="E1214" s="1" t="n">
        <v>46222</v>
      </c>
      <c r="F1214" t="inlineStr">
        <is>
          <t>GÄVLEBORGS LÄN</t>
        </is>
      </c>
      <c r="G1214" t="inlineStr">
        <is>
          <t>OVANÅKER</t>
        </is>
      </c>
      <c r="H1214" t="inlineStr">
        <is>
          <t>Bergvik skog väst AB</t>
        </is>
      </c>
      <c r="I1214" t="n">
        <v>0.8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25283-2025</t>
        </is>
      </c>
      <c r="B1215" t="inlineStr">
        <is>
          <t>avverkningsanmälan</t>
        </is>
      </c>
      <c r="C1215" t="inlineStr">
        <is>
          <t>Föryngringsavverkning</t>
        </is>
      </c>
      <c r="D1215" s="1" t="n">
        <v>45800</v>
      </c>
      <c r="E1215" s="1" t="n">
        <v>46222</v>
      </c>
      <c r="F1215" t="inlineStr">
        <is>
          <t>GÄVLEBORGS LÄN</t>
        </is>
      </c>
      <c r="G1215" t="inlineStr">
        <is>
          <t>OVANÅKER</t>
        </is>
      </c>
      <c r="H1215" t="inlineStr">
        <is>
          <t>Bergvik skog öst AB</t>
        </is>
      </c>
      <c r="I1215" t="n">
        <v>2.4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17392-2025</t>
        </is>
      </c>
      <c r="B1216" t="inlineStr">
        <is>
          <t>avverkningsanmälan</t>
        </is>
      </c>
      <c r="C1216" t="inlineStr">
        <is>
          <t>Föryngringsavverkning</t>
        </is>
      </c>
      <c r="D1216" s="1" t="n">
        <v>45757</v>
      </c>
      <c r="E1216" s="1" t="n">
        <v>46222</v>
      </c>
      <c r="F1216" t="inlineStr">
        <is>
          <t>GÄVLEBORGS LÄN</t>
        </is>
      </c>
      <c r="G1216" t="inlineStr">
        <is>
          <t>OVANÅKER</t>
        </is>
      </c>
      <c r="H1216" t="inlineStr">
        <is>
          <t>Bergvik skog öst AB</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25110-2025</t>
        </is>
      </c>
      <c r="B1217" t="inlineStr">
        <is>
          <t>avverkningsanmälan</t>
        </is>
      </c>
      <c r="C1217" t="inlineStr">
        <is>
          <t>Föryngringsavverkning</t>
        </is>
      </c>
      <c r="D1217" s="1" t="n">
        <v>45800</v>
      </c>
      <c r="E1217" s="1" t="n">
        <v>46222</v>
      </c>
      <c r="F1217" t="inlineStr">
        <is>
          <t>GÄVLEBORGS LÄN</t>
        </is>
      </c>
      <c r="G1217" t="inlineStr">
        <is>
          <t>OVANÅKER</t>
        </is>
      </c>
      <c r="H1217" t="inlineStr">
        <is>
          <t>Bergvik skog väst AB</t>
        </is>
      </c>
      <c r="I1217" t="n">
        <v>10.1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S 176-2022</t>
        </is>
      </c>
      <c r="B1218" t="inlineStr">
        <is>
          <t>samrådsanmälan</t>
        </is>
      </c>
      <c r="C1218" t="inlineStr">
        <is>
          <t>Skogsgödsling</t>
        </is>
      </c>
      <c r="D1218" s="1" t="n">
        <v>44566</v>
      </c>
      <c r="E1218" s="1" t="n">
        <v>46222</v>
      </c>
      <c r="F1218" t="inlineStr">
        <is>
          <t>GÄVLEBORGS LÄN</t>
        </is>
      </c>
      <c r="G1218" t="inlineStr">
        <is>
          <t>OVANÅKER</t>
        </is>
      </c>
      <c r="H1218" t="inlineStr">
        <is>
          <t>Bergvik skog väst AB</t>
        </is>
      </c>
      <c r="I1218" t="n">
        <v>26.7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S 1167-2022</t>
        </is>
      </c>
      <c r="B1219" t="inlineStr">
        <is>
          <t>samrådsanmälan</t>
        </is>
      </c>
      <c r="C1219" t="inlineStr">
        <is>
          <t>Skogsgödsling</t>
        </is>
      </c>
      <c r="D1219" s="1" t="n">
        <v>44616</v>
      </c>
      <c r="E1219" s="1" t="n">
        <v>46222</v>
      </c>
      <c r="F1219" t="inlineStr">
        <is>
          <t>GÄVLEBORGS LÄN</t>
        </is>
      </c>
      <c r="G1219" t="inlineStr">
        <is>
          <t>OVANÅKER</t>
        </is>
      </c>
      <c r="I1219" t="n">
        <v>22.9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S 177-2022</t>
        </is>
      </c>
      <c r="B1220" t="inlineStr">
        <is>
          <t>samrådsanmälan</t>
        </is>
      </c>
      <c r="C1220" t="inlineStr">
        <is>
          <t>Skogsgödsling</t>
        </is>
      </c>
      <c r="D1220" s="1" t="n">
        <v>44566</v>
      </c>
      <c r="E1220" s="1" t="n">
        <v>46222</v>
      </c>
      <c r="F1220" t="inlineStr">
        <is>
          <t>GÄVLEBORGS LÄN</t>
        </is>
      </c>
      <c r="G1220" t="inlineStr">
        <is>
          <t>OVANÅKER</t>
        </is>
      </c>
      <c r="H1220" t="inlineStr">
        <is>
          <t>Bergvik skog väst AB</t>
        </is>
      </c>
      <c r="I1220" t="n">
        <v>86.40000000000001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S 153-2022</t>
        </is>
      </c>
      <c r="B1221" t="inlineStr">
        <is>
          <t>samrådsanmälan</t>
        </is>
      </c>
      <c r="C1221" t="inlineStr">
        <is>
          <t>Skogsgödsling</t>
        </is>
      </c>
      <c r="D1221" s="1" t="n">
        <v>44566</v>
      </c>
      <c r="E1221" s="1" t="n">
        <v>46222</v>
      </c>
      <c r="F1221" t="inlineStr">
        <is>
          <t>GÄVLEBORGS LÄN</t>
        </is>
      </c>
      <c r="G1221" t="inlineStr">
        <is>
          <t>OVANÅKER</t>
        </is>
      </c>
      <c r="H1221" t="inlineStr">
        <is>
          <t>Bergvik skog väst AB</t>
        </is>
      </c>
      <c r="I1221" t="n">
        <v>93.2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S 569-2022</t>
        </is>
      </c>
      <c r="B1222" t="inlineStr">
        <is>
          <t>samrådsanmälan</t>
        </is>
      </c>
      <c r="C1222" t="inlineStr">
        <is>
          <t>Skogsgödsling</t>
        </is>
      </c>
      <c r="D1222" s="1" t="n">
        <v>44589</v>
      </c>
      <c r="E1222" s="1" t="n">
        <v>46222</v>
      </c>
      <c r="F1222" t="inlineStr">
        <is>
          <t>GÄVLEBORGS LÄN</t>
        </is>
      </c>
      <c r="G1222" t="inlineStr">
        <is>
          <t>OVANÅKER</t>
        </is>
      </c>
      <c r="H1222" t="inlineStr">
        <is>
          <t>Bergvik skog öst AB</t>
        </is>
      </c>
      <c r="I1222" t="n">
        <v>112.1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S 166-2022</t>
        </is>
      </c>
      <c r="B1223" t="inlineStr">
        <is>
          <t>samrådsanmälan</t>
        </is>
      </c>
      <c r="C1223" t="inlineStr">
        <is>
          <t>Skogsgödsling</t>
        </is>
      </c>
      <c r="D1223" s="1" t="n">
        <v>44566</v>
      </c>
      <c r="E1223" s="1" t="n">
        <v>46222</v>
      </c>
      <c r="F1223" t="inlineStr">
        <is>
          <t>GÄVLEBORGS LÄN</t>
        </is>
      </c>
      <c r="G1223" t="inlineStr">
        <is>
          <t>OVANÅKER</t>
        </is>
      </c>
      <c r="H1223" t="inlineStr">
        <is>
          <t>Bergvik skog väst AB</t>
        </is>
      </c>
      <c r="I1223" t="n">
        <v>32.3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S 155-2022</t>
        </is>
      </c>
      <c r="B1224" t="inlineStr">
        <is>
          <t>samrådsanmälan</t>
        </is>
      </c>
      <c r="C1224" t="inlineStr">
        <is>
          <t>Skogsgödsling</t>
        </is>
      </c>
      <c r="D1224" s="1" t="n">
        <v>44566</v>
      </c>
      <c r="E1224" s="1" t="n">
        <v>46222</v>
      </c>
      <c r="F1224" t="inlineStr">
        <is>
          <t>GÄVLEBORGS LÄN</t>
        </is>
      </c>
      <c r="G1224" t="inlineStr">
        <is>
          <t>OVANÅKER</t>
        </is>
      </c>
      <c r="H1224" t="inlineStr">
        <is>
          <t>Bergvik skog väst AB</t>
        </is>
      </c>
      <c r="I1224" t="n">
        <v>154.1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S 152-2022</t>
        </is>
      </c>
      <c r="B1225" t="inlineStr">
        <is>
          <t>samrådsanmälan</t>
        </is>
      </c>
      <c r="C1225" t="inlineStr">
        <is>
          <t>Skogsgödsling</t>
        </is>
      </c>
      <c r="D1225" s="1" t="n">
        <v>44566</v>
      </c>
      <c r="E1225" s="1" t="n">
        <v>46222</v>
      </c>
      <c r="F1225" t="inlineStr">
        <is>
          <t>GÄVLEBORGS LÄN</t>
        </is>
      </c>
      <c r="G1225" t="inlineStr">
        <is>
          <t>OVANÅKER</t>
        </is>
      </c>
      <c r="H1225" t="inlineStr">
        <is>
          <t>Bergvik skog väst AB</t>
        </is>
      </c>
      <c r="I1225" t="n">
        <v>49.5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S 394-2022</t>
        </is>
      </c>
      <c r="B1226" t="inlineStr">
        <is>
          <t>samrådsanmälan</t>
        </is>
      </c>
      <c r="C1226" t="inlineStr">
        <is>
          <t>Skogsgödsling</t>
        </is>
      </c>
      <c r="D1226" s="1" t="n">
        <v>44582</v>
      </c>
      <c r="E1226" s="1" t="n">
        <v>46222</v>
      </c>
      <c r="F1226" t="inlineStr">
        <is>
          <t>GÄVLEBORGS LÄN</t>
        </is>
      </c>
      <c r="G1226" t="inlineStr">
        <is>
          <t>OVANÅKER</t>
        </is>
      </c>
      <c r="H1226" t="inlineStr">
        <is>
          <t>Sveaskog</t>
        </is>
      </c>
      <c r="I1226" t="n">
        <v>62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S 183-2022</t>
        </is>
      </c>
      <c r="B1227" t="inlineStr">
        <is>
          <t>samrådsanmälan</t>
        </is>
      </c>
      <c r="C1227" t="inlineStr">
        <is>
          <t>Skogsgödsling</t>
        </is>
      </c>
      <c r="D1227" s="1" t="n">
        <v>44566</v>
      </c>
      <c r="E1227" s="1" t="n">
        <v>46222</v>
      </c>
      <c r="F1227" t="inlineStr">
        <is>
          <t>GÄVLEBORGS LÄN</t>
        </is>
      </c>
      <c r="G1227" t="inlineStr">
        <is>
          <t>OVANÅKER</t>
        </is>
      </c>
      <c r="H1227" t="inlineStr">
        <is>
          <t>Bergvik skog väst AB</t>
        </is>
      </c>
      <c r="I1227" t="n">
        <v>25.3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S 372-2022</t>
        </is>
      </c>
      <c r="B1228" t="inlineStr">
        <is>
          <t>samrådsanmälan</t>
        </is>
      </c>
      <c r="C1228" t="inlineStr">
        <is>
          <t>Skogsgödsling</t>
        </is>
      </c>
      <c r="D1228" s="1" t="n">
        <v>44582</v>
      </c>
      <c r="E1228" s="1" t="n">
        <v>46222</v>
      </c>
      <c r="F1228" t="inlineStr">
        <is>
          <t>GÄVLEBORGS LÄN</t>
        </is>
      </c>
      <c r="G1228" t="inlineStr">
        <is>
          <t>OVANÅKER</t>
        </is>
      </c>
      <c r="H1228" t="inlineStr">
        <is>
          <t>Sveaskog</t>
        </is>
      </c>
      <c r="I1228" t="n">
        <v>62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S 174-2022</t>
        </is>
      </c>
      <c r="B1229" t="inlineStr">
        <is>
          <t>samrådsanmälan</t>
        </is>
      </c>
      <c r="C1229" t="inlineStr">
        <is>
          <t>Skogsgödsling</t>
        </is>
      </c>
      <c r="D1229" s="1" t="n">
        <v>44566</v>
      </c>
      <c r="E1229" s="1" t="n">
        <v>46222</v>
      </c>
      <c r="F1229" t="inlineStr">
        <is>
          <t>GÄVLEBORGS LÄN</t>
        </is>
      </c>
      <c r="G1229" t="inlineStr">
        <is>
          <t>OVANÅKER</t>
        </is>
      </c>
      <c r="H1229" t="inlineStr">
        <is>
          <t>Bergvik skog väst AB</t>
        </is>
      </c>
      <c r="I1229" t="n">
        <v>74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S 7-2024</t>
        </is>
      </c>
      <c r="B1230" t="inlineStr">
        <is>
          <t>samrådsanmälan</t>
        </is>
      </c>
      <c r="C1230" t="inlineStr">
        <is>
          <t>Skogsgödsling</t>
        </is>
      </c>
      <c r="D1230" s="1" t="n">
        <v>45293</v>
      </c>
      <c r="E1230" s="1" t="n">
        <v>46222</v>
      </c>
      <c r="F1230" t="inlineStr">
        <is>
          <t>GÄVLEBORGS LÄN</t>
        </is>
      </c>
      <c r="G1230" t="inlineStr">
        <is>
          <t>OVANÅKER</t>
        </is>
      </c>
      <c r="H1230" t="inlineStr">
        <is>
          <t>Bergvik skog väst AB</t>
        </is>
      </c>
      <c r="I1230" t="n">
        <v>4.7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S 1349-2024</t>
        </is>
      </c>
      <c r="B1231" t="inlineStr">
        <is>
          <t>samrådsanmälan</t>
        </is>
      </c>
      <c r="C1231" t="inlineStr">
        <is>
          <t>Annan skogsbruksåtgärd</t>
        </is>
      </c>
      <c r="D1231" s="1" t="n">
        <v>45408</v>
      </c>
      <c r="E1231" s="1" t="n">
        <v>46222</v>
      </c>
      <c r="F1231" t="inlineStr">
        <is>
          <t>GÄVLEBORGS LÄN</t>
        </is>
      </c>
      <c r="G1231" t="inlineStr">
        <is>
          <t>OVANÅKER</t>
        </is>
      </c>
      <c r="H1231" t="inlineStr">
        <is>
          <t>Bergvik skog öst AB</t>
        </is>
      </c>
      <c r="I1231" t="n">
        <v>0.8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S 10-2024</t>
        </is>
      </c>
      <c r="B1232" t="inlineStr">
        <is>
          <t>samrådsanmälan</t>
        </is>
      </c>
      <c r="C1232" t="inlineStr">
        <is>
          <t>Skogsgödsling</t>
        </is>
      </c>
      <c r="D1232" s="1" t="n">
        <v>45293</v>
      </c>
      <c r="E1232" s="1" t="n">
        <v>46222</v>
      </c>
      <c r="F1232" t="inlineStr">
        <is>
          <t>GÄVLEBORGS LÄN</t>
        </is>
      </c>
      <c r="G1232" t="inlineStr">
        <is>
          <t>OVANÅKER</t>
        </is>
      </c>
      <c r="H1232" t="inlineStr">
        <is>
          <t>Bergvik skog väst AB</t>
        </is>
      </c>
      <c r="I1232" t="n">
        <v>9.6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S 969-2023</t>
        </is>
      </c>
      <c r="B1233" t="inlineStr">
        <is>
          <t>samrådsanmälan</t>
        </is>
      </c>
      <c r="C1233" t="inlineStr">
        <is>
          <t>Annan skogsbruksåtgärd</t>
        </is>
      </c>
      <c r="D1233" s="1" t="n">
        <v>45000</v>
      </c>
      <c r="E1233" s="1" t="n">
        <v>46222</v>
      </c>
      <c r="F1233" t="inlineStr">
        <is>
          <t>GÄVLEBORGS LÄN</t>
        </is>
      </c>
      <c r="G1233" t="inlineStr">
        <is>
          <t>OVANÅKER</t>
        </is>
      </c>
      <c r="H1233" t="inlineStr">
        <is>
          <t>Bergvik skog väst AB</t>
        </is>
      </c>
      <c r="I1233" t="n">
        <v>17.1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S 13-2024</t>
        </is>
      </c>
      <c r="B1234" t="inlineStr">
        <is>
          <t>samrådsanmälan</t>
        </is>
      </c>
      <c r="C1234" t="inlineStr">
        <is>
          <t>Skogsgödsling</t>
        </is>
      </c>
      <c r="D1234" s="1" t="n">
        <v>45293</v>
      </c>
      <c r="E1234" s="1" t="n">
        <v>46222</v>
      </c>
      <c r="F1234" t="inlineStr">
        <is>
          <t>GÄVLEBORGS LÄN</t>
        </is>
      </c>
      <c r="G1234" t="inlineStr">
        <is>
          <t>OVANÅKER</t>
        </is>
      </c>
      <c r="H1234" t="inlineStr">
        <is>
          <t>Bergvik skog väst AB</t>
        </is>
      </c>
      <c r="I1234" t="n">
        <v>16.1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S 9-2024</t>
        </is>
      </c>
      <c r="B1235" t="inlineStr">
        <is>
          <t>samrådsanmälan</t>
        </is>
      </c>
      <c r="C1235" t="inlineStr">
        <is>
          <t>Skogsgödsling</t>
        </is>
      </c>
      <c r="D1235" s="1" t="n">
        <v>45293</v>
      </c>
      <c r="E1235" s="1" t="n">
        <v>46222</v>
      </c>
      <c r="F1235" t="inlineStr">
        <is>
          <t>GÄVLEBORGS LÄN</t>
        </is>
      </c>
      <c r="G1235" t="inlineStr">
        <is>
          <t>OVANÅKER</t>
        </is>
      </c>
      <c r="H1235" t="inlineStr">
        <is>
          <t>Bergvik skog väst AB</t>
        </is>
      </c>
      <c r="I1235" t="n">
        <v>61.5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S 5-2024</t>
        </is>
      </c>
      <c r="B1236" t="inlineStr">
        <is>
          <t>samrådsanmälan</t>
        </is>
      </c>
      <c r="C1236" t="inlineStr">
        <is>
          <t>Skogsgödsling</t>
        </is>
      </c>
      <c r="D1236" s="1" t="n">
        <v>45293</v>
      </c>
      <c r="E1236" s="1" t="n">
        <v>46222</v>
      </c>
      <c r="F1236" t="inlineStr">
        <is>
          <t>GÄVLEBORGS LÄN</t>
        </is>
      </c>
      <c r="G1236" t="inlineStr">
        <is>
          <t>OVANÅKER</t>
        </is>
      </c>
      <c r="H1236" t="inlineStr">
        <is>
          <t>Bergvik skog väst AB</t>
        </is>
      </c>
      <c r="I1236" t="n">
        <v>38.4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S 496-2025</t>
        </is>
      </c>
      <c r="B1237" t="inlineStr">
        <is>
          <t>samrådsanmälan</t>
        </is>
      </c>
      <c r="C1237" t="inlineStr">
        <is>
          <t>Skogsgödsling</t>
        </is>
      </c>
      <c r="D1237" s="1" t="n">
        <v>45705</v>
      </c>
      <c r="E1237" s="1" t="n">
        <v>46222</v>
      </c>
      <c r="F1237" t="inlineStr">
        <is>
          <t>GÄVLEBORGS LÄN</t>
        </is>
      </c>
      <c r="G1237" t="inlineStr">
        <is>
          <t>OVANÅKER</t>
        </is>
      </c>
      <c r="H1237" t="inlineStr">
        <is>
          <t>Bergvik skog väst AB</t>
        </is>
      </c>
      <c r="I1237" t="n">
        <v>51.7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S 539-2025</t>
        </is>
      </c>
      <c r="B1238" t="inlineStr">
        <is>
          <t>samrådsanmälan</t>
        </is>
      </c>
      <c r="C1238" t="inlineStr">
        <is>
          <t>Skogsgödsling</t>
        </is>
      </c>
      <c r="D1238" s="1" t="n">
        <v>45708</v>
      </c>
      <c r="E1238" s="1" t="n">
        <v>46222</v>
      </c>
      <c r="F1238" t="inlineStr">
        <is>
          <t>GÄVLEBORGS LÄN</t>
        </is>
      </c>
      <c r="G1238" t="inlineStr">
        <is>
          <t>OVANÅKER</t>
        </is>
      </c>
      <c r="H1238" t="inlineStr">
        <is>
          <t>Bergvik skog väst AB</t>
        </is>
      </c>
      <c r="I1238" t="n">
        <v>72.3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S 1727-2025</t>
        </is>
      </c>
      <c r="B1239" t="inlineStr">
        <is>
          <t>samrådsanmälan</t>
        </is>
      </c>
      <c r="C1239" t="inlineStr">
        <is>
          <t>Skogsgödsling</t>
        </is>
      </c>
      <c r="D1239" s="1" t="n">
        <v>45807</v>
      </c>
      <c r="E1239" s="1" t="n">
        <v>46222</v>
      </c>
      <c r="F1239" t="inlineStr">
        <is>
          <t>GÄVLEBORGS LÄN</t>
        </is>
      </c>
      <c r="G1239" t="inlineStr">
        <is>
          <t>OVANÅKER</t>
        </is>
      </c>
      <c r="I1239" t="n">
        <v>8.699999999999999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S 211-2025</t>
        </is>
      </c>
      <c r="B1240" t="inlineStr">
        <is>
          <t>samrådsanmälan</t>
        </is>
      </c>
      <c r="C1240" t="inlineStr">
        <is>
          <t>Skogsgödsling</t>
        </is>
      </c>
      <c r="D1240" s="1" t="n">
        <v>45679</v>
      </c>
      <c r="E1240" s="1" t="n">
        <v>46222</v>
      </c>
      <c r="F1240" t="inlineStr">
        <is>
          <t>GÄVLEBORGS LÄN</t>
        </is>
      </c>
      <c r="G1240" t="inlineStr">
        <is>
          <t>OVANÅKER</t>
        </is>
      </c>
      <c r="I1240" t="n">
        <v>12.8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S 502-2026</t>
        </is>
      </c>
      <c r="B1241" t="inlineStr">
        <is>
          <t>samrådsanmälan</t>
        </is>
      </c>
      <c r="C1241" t="inlineStr">
        <is>
          <t>Skogsgödsling</t>
        </is>
      </c>
      <c r="D1241" s="1" t="n">
        <v>46073</v>
      </c>
      <c r="E1241" s="1" t="n">
        <v>46222</v>
      </c>
      <c r="F1241" t="inlineStr">
        <is>
          <t>GÄVLEBORGS LÄN</t>
        </is>
      </c>
      <c r="G1241" t="inlineStr">
        <is>
          <t>OVANÅKER</t>
        </is>
      </c>
      <c r="H1241" t="inlineStr">
        <is>
          <t>Sveaskog</t>
        </is>
      </c>
      <c r="I1241" t="n">
        <v>39.8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S 661-2026</t>
        </is>
      </c>
      <c r="B1242" t="inlineStr">
        <is>
          <t>samrådsanmälan</t>
        </is>
      </c>
      <c r="C1242" t="inlineStr">
        <is>
          <t>Skogsgödsling</t>
        </is>
      </c>
      <c r="D1242" s="1" t="n">
        <v>46089</v>
      </c>
      <c r="E1242" s="1" t="n">
        <v>46222</v>
      </c>
      <c r="F1242" t="inlineStr">
        <is>
          <t>GÄVLEBORGS LÄN</t>
        </is>
      </c>
      <c r="G1242" t="inlineStr">
        <is>
          <t>OVANÅKER</t>
        </is>
      </c>
      <c r="H1242" t="inlineStr">
        <is>
          <t>Bergvik skog öst AB</t>
        </is>
      </c>
      <c r="I1242" t="n">
        <v>514.3</v>
      </c>
      <c r="J1242" t="n">
        <v>0</v>
      </c>
      <c r="K1242" t="n">
        <v>0</v>
      </c>
      <c r="L1242" t="n">
        <v>0</v>
      </c>
      <c r="M1242" t="n">
        <v>0</v>
      </c>
      <c r="N1242" t="n">
        <v>0</v>
      </c>
      <c r="O1242" t="n">
        <v>0</v>
      </c>
      <c r="P1242" t="n">
        <v>0</v>
      </c>
      <c r="Q1242" t="n">
        <v>0</v>
      </c>
      <c r="R1242" t="n">
        <v>0</v>
      </c>
      <c r="S1242" t="n">
        <v>0</v>
      </c>
      <c r="T1242" t="n">
        <v>0</v>
      </c>
      <c r="U1242" s="2" t="inlineStr"/>
    </row>
    <row r="1243">
      <c r="A1243" t="inlineStr">
        <is>
          <t>S 660-2026</t>
        </is>
      </c>
      <c r="B1243" t="inlineStr">
        <is>
          <t>samrådsanmälan</t>
        </is>
      </c>
      <c r="C1243" t="inlineStr">
        <is>
          <t>Skogsgödsling</t>
        </is>
      </c>
      <c r="D1243" s="1" t="n">
        <v>46089</v>
      </c>
      <c r="E1243" s="1" t="n">
        <v>46222</v>
      </c>
      <c r="F1243" t="inlineStr">
        <is>
          <t>GÄVLEBORGS LÄN</t>
        </is>
      </c>
      <c r="G1243" t="inlineStr">
        <is>
          <t>OVANÅKER</t>
        </is>
      </c>
      <c r="H1243" t="inlineStr">
        <is>
          <t>Bergvik skog öst AB</t>
        </is>
      </c>
      <c r="I1243" t="n">
        <v>6.7</v>
      </c>
      <c r="J1243" t="n">
        <v>0</v>
      </c>
      <c r="K1243" t="n">
        <v>0</v>
      </c>
      <c r="L1243" t="n">
        <v>0</v>
      </c>
      <c r="M1243" t="n">
        <v>0</v>
      </c>
      <c r="N1243" t="n">
        <v>0</v>
      </c>
      <c r="O1243" t="n">
        <v>0</v>
      </c>
      <c r="P1243" t="n">
        <v>0</v>
      </c>
      <c r="Q1243" t="n">
        <v>0</v>
      </c>
      <c r="R1243" t="n">
        <v>0</v>
      </c>
      <c r="S1243" t="n">
        <v>0</v>
      </c>
      <c r="T1243" t="n">
        <v>0</v>
      </c>
      <c r="U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2026-07-19T01:35:46Z</dcterms:created>
  <dcterms:modified xmlns:dcterms="http://purl.org/dc/terms/" xmlns:xsi="http://www.w3.org/2001/XMLSchema-instance" xsi:type="dcterms:W3CDTF">2026-07-19T01:35:47Z</dcterms:modified>
</cp:coreProperties>
</file>