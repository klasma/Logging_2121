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2508-2020</t>
        </is>
      </c>
      <c r="B2" s="1" t="n">
        <v>43847</v>
      </c>
      <c r="C2" s="1" t="n">
        <v>45838</v>
      </c>
      <c r="D2" t="inlineStr">
        <is>
          <t>GÄVLEBORGS LÄN</t>
        </is>
      </c>
      <c r="E2" t="inlineStr">
        <is>
          <t>OVANÅKER</t>
        </is>
      </c>
      <c r="G2" t="n">
        <v>1.9</v>
      </c>
      <c r="H2" t="n">
        <v>1</v>
      </c>
      <c r="I2" t="n">
        <v>5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14</v>
      </c>
      <c r="R2" s="2" t="inlineStr">
        <is>
          <t>Knärot
Garnlav
Kolflarnlav
Kortskaftad ärgspik
Mörk kolflarnlav
Ullticka
Vedskivlav
Vedtrappmossa
Vitgrynig nållav
Bollvitmossa
Dropptaggsvamp
Granbarkgnagare
Nästlav
Skuggblåslav</t>
        </is>
      </c>
      <c r="S2">
        <f>HYPERLINK("https://klasma.github.io/Logging_2121/artfynd/A 2508-2020 artfynd.xlsx", "A 2508-2020")</f>
        <v/>
      </c>
      <c r="T2">
        <f>HYPERLINK("https://klasma.github.io/Logging_2121/kartor/A 2508-2020 karta.png", "A 2508-2020")</f>
        <v/>
      </c>
      <c r="U2">
        <f>HYPERLINK("https://klasma.github.io/Logging_2121/knärot/A 2508-2020 karta knärot.png", "A 2508-2020")</f>
        <v/>
      </c>
      <c r="V2">
        <f>HYPERLINK("https://klasma.github.io/Logging_2121/klagomål/A 2508-2020 FSC-klagomål.docx", "A 2508-2020")</f>
        <v/>
      </c>
      <c r="W2">
        <f>HYPERLINK("https://klasma.github.io/Logging_2121/klagomålsmail/A 2508-2020 FSC-klagomål mail.docx", "A 2508-2020")</f>
        <v/>
      </c>
      <c r="X2">
        <f>HYPERLINK("https://klasma.github.io/Logging_2121/tillsyn/A 2508-2020 tillsynsbegäran.docx", "A 2508-2020")</f>
        <v/>
      </c>
      <c r="Y2">
        <f>HYPERLINK("https://klasma.github.io/Logging_2121/tillsynsmail/A 2508-2020 tillsynsbegäran mail.docx", "A 2508-2020")</f>
        <v/>
      </c>
    </row>
    <row r="3" ht="15" customHeight="1">
      <c r="A3" t="inlineStr">
        <is>
          <t>A 27402-2019</t>
        </is>
      </c>
      <c r="B3" s="1" t="n">
        <v>43616</v>
      </c>
      <c r="C3" s="1" t="n">
        <v>45838</v>
      </c>
      <c r="D3" t="inlineStr">
        <is>
          <t>GÄVLEBORGS LÄN</t>
        </is>
      </c>
      <c r="E3" t="inlineStr">
        <is>
          <t>OVANÅKER</t>
        </is>
      </c>
      <c r="F3" t="inlineStr">
        <is>
          <t>Bergvik skog väst AB</t>
        </is>
      </c>
      <c r="G3" t="n">
        <v>9.300000000000001</v>
      </c>
      <c r="H3" t="n">
        <v>0</v>
      </c>
      <c r="I3" t="n">
        <v>3</v>
      </c>
      <c r="J3" t="n">
        <v>10</v>
      </c>
      <c r="K3" t="n">
        <v>0</v>
      </c>
      <c r="L3" t="n">
        <v>0</v>
      </c>
      <c r="M3" t="n">
        <v>0</v>
      </c>
      <c r="N3" t="n">
        <v>0</v>
      </c>
      <c r="O3" t="n">
        <v>10</v>
      </c>
      <c r="P3" t="n">
        <v>0</v>
      </c>
      <c r="Q3" t="n">
        <v>13</v>
      </c>
      <c r="R3" s="2" t="inlineStr">
        <is>
          <t>Blågrå svartspik
Dvärgbägarlav
Garnlav
Kolflarnlav
Kortskaftad ärgspik
Lunglav
Mörk kolflarnlav
Vedflamlav
Vedskivlav
Vitgrynig nållav
Bollvitmossa
Granriska
Mindre märgborre</t>
        </is>
      </c>
      <c r="S3">
        <f>HYPERLINK("https://klasma.github.io/Logging_2121/artfynd/A 27402-2019 artfynd.xlsx", "A 27402-2019")</f>
        <v/>
      </c>
      <c r="T3">
        <f>HYPERLINK("https://klasma.github.io/Logging_2121/kartor/A 27402-2019 karta.png", "A 27402-2019")</f>
        <v/>
      </c>
      <c r="V3">
        <f>HYPERLINK("https://klasma.github.io/Logging_2121/klagomål/A 27402-2019 FSC-klagomål.docx", "A 27402-2019")</f>
        <v/>
      </c>
      <c r="W3">
        <f>HYPERLINK("https://klasma.github.io/Logging_2121/klagomålsmail/A 27402-2019 FSC-klagomål mail.docx", "A 27402-2019")</f>
        <v/>
      </c>
      <c r="X3">
        <f>HYPERLINK("https://klasma.github.io/Logging_2121/tillsyn/A 27402-2019 tillsynsbegäran.docx", "A 27402-2019")</f>
        <v/>
      </c>
      <c r="Y3">
        <f>HYPERLINK("https://klasma.github.io/Logging_2121/tillsynsmail/A 27402-2019 tillsynsbegäran mail.docx", "A 27402-2019")</f>
        <v/>
      </c>
    </row>
    <row r="4" ht="15" customHeight="1">
      <c r="A4" t="inlineStr">
        <is>
          <t>A 45004-2019</t>
        </is>
      </c>
      <c r="B4" s="1" t="n">
        <v>43713</v>
      </c>
      <c r="C4" s="1" t="n">
        <v>45838</v>
      </c>
      <c r="D4" t="inlineStr">
        <is>
          <t>GÄVLEBORGS LÄN</t>
        </is>
      </c>
      <c r="E4" t="inlineStr">
        <is>
          <t>OVANÅKER</t>
        </is>
      </c>
      <c r="F4" t="inlineStr">
        <is>
          <t>Sveaskog</t>
        </is>
      </c>
      <c r="G4" t="n">
        <v>7.5</v>
      </c>
      <c r="H4" t="n">
        <v>8</v>
      </c>
      <c r="I4" t="n">
        <v>4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12</v>
      </c>
      <c r="R4" s="2" t="inlineStr">
        <is>
          <t>Knärot
Garnlav
Kolflarnlav
Lunglav
Tretåig hackspett
Korallrot
Spindelblomster
Tibast
Tvåblad
Tjäder
Fläcknycklar
Nattviol</t>
        </is>
      </c>
      <c r="S4">
        <f>HYPERLINK("https://klasma.github.io/Logging_2121/artfynd/A 45004-2019 artfynd.xlsx", "A 45004-2019")</f>
        <v/>
      </c>
      <c r="T4">
        <f>HYPERLINK("https://klasma.github.io/Logging_2121/kartor/A 45004-2019 karta.png", "A 45004-2019")</f>
        <v/>
      </c>
      <c r="U4">
        <f>HYPERLINK("https://klasma.github.io/Logging_2121/knärot/A 45004-2019 karta knärot.png", "A 45004-2019")</f>
        <v/>
      </c>
      <c r="V4">
        <f>HYPERLINK("https://klasma.github.io/Logging_2121/klagomål/A 45004-2019 FSC-klagomål.docx", "A 45004-2019")</f>
        <v/>
      </c>
      <c r="W4">
        <f>HYPERLINK("https://klasma.github.io/Logging_2121/klagomålsmail/A 45004-2019 FSC-klagomål mail.docx", "A 45004-2019")</f>
        <v/>
      </c>
      <c r="X4">
        <f>HYPERLINK("https://klasma.github.io/Logging_2121/tillsyn/A 45004-2019 tillsynsbegäran.docx", "A 45004-2019")</f>
        <v/>
      </c>
      <c r="Y4">
        <f>HYPERLINK("https://klasma.github.io/Logging_2121/tillsynsmail/A 45004-2019 tillsynsbegäran mail.docx", "A 45004-2019")</f>
        <v/>
      </c>
      <c r="Z4">
        <f>HYPERLINK("https://klasma.github.io/Logging_2121/fåglar/A 45004-2019 prioriterade fågelarter.docx", "A 45004-2019")</f>
        <v/>
      </c>
    </row>
    <row r="5" ht="15" customHeight="1">
      <c r="A5" t="inlineStr">
        <is>
          <t>A 45009-2019</t>
        </is>
      </c>
      <c r="B5" s="1" t="n">
        <v>43713</v>
      </c>
      <c r="C5" s="1" t="n">
        <v>45838</v>
      </c>
      <c r="D5" t="inlineStr">
        <is>
          <t>GÄVLEBORGS LÄN</t>
        </is>
      </c>
      <c r="E5" t="inlineStr">
        <is>
          <t>OVANÅKER</t>
        </is>
      </c>
      <c r="F5" t="inlineStr">
        <is>
          <t>Sveaskog</t>
        </is>
      </c>
      <c r="G5" t="n">
        <v>4.7</v>
      </c>
      <c r="H5" t="n">
        <v>6</v>
      </c>
      <c r="I5" t="n">
        <v>4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11</v>
      </c>
      <c r="R5" s="2" t="inlineStr">
        <is>
          <t>Knärot
Garnlav
Lunglav
Talltita
Tretåig hackspett
Ullticka
Dropptaggsvamp
Korallrot
Rödgul trumpetsvamp
Spindelblomster
Fläcknycklar</t>
        </is>
      </c>
      <c r="S5">
        <f>HYPERLINK("https://klasma.github.io/Logging_2121/artfynd/A 45009-2019 artfynd.xlsx", "A 45009-2019")</f>
        <v/>
      </c>
      <c r="T5">
        <f>HYPERLINK("https://klasma.github.io/Logging_2121/kartor/A 45009-2019 karta.png", "A 45009-2019")</f>
        <v/>
      </c>
      <c r="U5">
        <f>HYPERLINK("https://klasma.github.io/Logging_2121/knärot/A 45009-2019 karta knärot.png", "A 45009-2019")</f>
        <v/>
      </c>
      <c r="V5">
        <f>HYPERLINK("https://klasma.github.io/Logging_2121/klagomål/A 45009-2019 FSC-klagomål.docx", "A 45009-2019")</f>
        <v/>
      </c>
      <c r="W5">
        <f>HYPERLINK("https://klasma.github.io/Logging_2121/klagomålsmail/A 45009-2019 FSC-klagomål mail.docx", "A 45009-2019")</f>
        <v/>
      </c>
      <c r="X5">
        <f>HYPERLINK("https://klasma.github.io/Logging_2121/tillsyn/A 45009-2019 tillsynsbegäran.docx", "A 45009-2019")</f>
        <v/>
      </c>
      <c r="Y5">
        <f>HYPERLINK("https://klasma.github.io/Logging_2121/tillsynsmail/A 45009-2019 tillsynsbegäran mail.docx", "A 45009-2019")</f>
        <v/>
      </c>
      <c r="Z5">
        <f>HYPERLINK("https://klasma.github.io/Logging_2121/fåglar/A 45009-2019 prioriterade fågelarter.docx", "A 45009-2019")</f>
        <v/>
      </c>
    </row>
    <row r="6" ht="15" customHeight="1">
      <c r="A6" t="inlineStr">
        <is>
          <t>A 39905-2022</t>
        </is>
      </c>
      <c r="B6" s="1" t="n">
        <v>44819</v>
      </c>
      <c r="C6" s="1" t="n">
        <v>45838</v>
      </c>
      <c r="D6" t="inlineStr">
        <is>
          <t>GÄVLEBORGS LÄN</t>
        </is>
      </c>
      <c r="E6" t="inlineStr">
        <is>
          <t>OVANÅKER</t>
        </is>
      </c>
      <c r="G6" t="n">
        <v>3.5</v>
      </c>
      <c r="H6" t="n">
        <v>6</v>
      </c>
      <c r="I6" t="n">
        <v>4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9</v>
      </c>
      <c r="R6" s="2" t="inlineStr">
        <is>
          <t>Turkos blåvinge
Månlåsbräken
Grönkulla
Plattlummer
Spindelblomster
Ögonpyrola
Fläcknycklar
Nattviol
Revlummer</t>
        </is>
      </c>
      <c r="S6">
        <f>HYPERLINK("https://klasma.github.io/Logging_2121/artfynd/A 39905-2022 artfynd.xlsx", "A 39905-2022")</f>
        <v/>
      </c>
      <c r="T6">
        <f>HYPERLINK("https://klasma.github.io/Logging_2121/kartor/A 39905-2022 karta.png", "A 39905-2022")</f>
        <v/>
      </c>
      <c r="V6">
        <f>HYPERLINK("https://klasma.github.io/Logging_2121/klagomål/A 39905-2022 FSC-klagomål.docx", "A 39905-2022")</f>
        <v/>
      </c>
      <c r="W6">
        <f>HYPERLINK("https://klasma.github.io/Logging_2121/klagomålsmail/A 39905-2022 FSC-klagomål mail.docx", "A 39905-2022")</f>
        <v/>
      </c>
      <c r="X6">
        <f>HYPERLINK("https://klasma.github.io/Logging_2121/tillsyn/A 39905-2022 tillsynsbegäran.docx", "A 39905-2022")</f>
        <v/>
      </c>
      <c r="Y6">
        <f>HYPERLINK("https://klasma.github.io/Logging_2121/tillsynsmail/A 39905-2022 tillsynsbegäran mail.docx", "A 39905-2022")</f>
        <v/>
      </c>
    </row>
    <row r="7" ht="15" customHeight="1">
      <c r="A7" t="inlineStr">
        <is>
          <t>A 60089-2024</t>
        </is>
      </c>
      <c r="B7" s="1" t="n">
        <v>45642</v>
      </c>
      <c r="C7" s="1" t="n">
        <v>45838</v>
      </c>
      <c r="D7" t="inlineStr">
        <is>
          <t>GÄVLEBORGS LÄN</t>
        </is>
      </c>
      <c r="E7" t="inlineStr">
        <is>
          <t>OVANÅKER</t>
        </is>
      </c>
      <c r="G7" t="n">
        <v>9.300000000000001</v>
      </c>
      <c r="H7" t="n">
        <v>6</v>
      </c>
      <c r="I7" t="n">
        <v>5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9</v>
      </c>
      <c r="R7" s="2" t="inlineStr">
        <is>
          <t>Knärot
Korallrot
Spindelblomster
Spädstarr
Strutbräken
Ögonpyrola
Fläcknycklar
Nattviol
Revlummer</t>
        </is>
      </c>
      <c r="S7">
        <f>HYPERLINK("https://klasma.github.io/Logging_2121/artfynd/A 60089-2024 artfynd.xlsx", "A 60089-2024")</f>
        <v/>
      </c>
      <c r="T7">
        <f>HYPERLINK("https://klasma.github.io/Logging_2121/kartor/A 60089-2024 karta.png", "A 60089-2024")</f>
        <v/>
      </c>
      <c r="U7">
        <f>HYPERLINK("https://klasma.github.io/Logging_2121/knärot/A 60089-2024 karta knärot.png", "A 60089-2024")</f>
        <v/>
      </c>
      <c r="V7">
        <f>HYPERLINK("https://klasma.github.io/Logging_2121/klagomål/A 60089-2024 FSC-klagomål.docx", "A 60089-2024")</f>
        <v/>
      </c>
      <c r="W7">
        <f>HYPERLINK("https://klasma.github.io/Logging_2121/klagomålsmail/A 60089-2024 FSC-klagomål mail.docx", "A 60089-2024")</f>
        <v/>
      </c>
      <c r="X7">
        <f>HYPERLINK("https://klasma.github.io/Logging_2121/tillsyn/A 60089-2024 tillsynsbegäran.docx", "A 60089-2024")</f>
        <v/>
      </c>
      <c r="Y7">
        <f>HYPERLINK("https://klasma.github.io/Logging_2121/tillsynsmail/A 60089-2024 tillsynsbegäran mail.docx", "A 60089-2024")</f>
        <v/>
      </c>
    </row>
    <row r="8" ht="15" customHeight="1">
      <c r="A8" t="inlineStr">
        <is>
          <t>A 24085-2024</t>
        </is>
      </c>
      <c r="B8" s="1" t="n">
        <v>45456</v>
      </c>
      <c r="C8" s="1" t="n">
        <v>45838</v>
      </c>
      <c r="D8" t="inlineStr">
        <is>
          <t>GÄVLEBORGS LÄN</t>
        </is>
      </c>
      <c r="E8" t="inlineStr">
        <is>
          <t>OVANÅKER</t>
        </is>
      </c>
      <c r="G8" t="n">
        <v>6.6</v>
      </c>
      <c r="H8" t="n">
        <v>5</v>
      </c>
      <c r="I8" t="n">
        <v>4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6</v>
      </c>
      <c r="R8" s="2" t="inlineStr">
        <is>
          <t>Gräsull
Korallrot
Spindelblomster
Tvåblad
Fläcknycklar
Revlummer</t>
        </is>
      </c>
      <c r="S8">
        <f>HYPERLINK("https://klasma.github.io/Logging_2121/artfynd/A 24085-2024 artfynd.xlsx", "A 24085-2024")</f>
        <v/>
      </c>
      <c r="T8">
        <f>HYPERLINK("https://klasma.github.io/Logging_2121/kartor/A 24085-2024 karta.png", "A 24085-2024")</f>
        <v/>
      </c>
      <c r="V8">
        <f>HYPERLINK("https://klasma.github.io/Logging_2121/klagomål/A 24085-2024 FSC-klagomål.docx", "A 24085-2024")</f>
        <v/>
      </c>
      <c r="W8">
        <f>HYPERLINK("https://klasma.github.io/Logging_2121/klagomålsmail/A 24085-2024 FSC-klagomål mail.docx", "A 24085-2024")</f>
        <v/>
      </c>
      <c r="X8">
        <f>HYPERLINK("https://klasma.github.io/Logging_2121/tillsyn/A 24085-2024 tillsynsbegäran.docx", "A 24085-2024")</f>
        <v/>
      </c>
      <c r="Y8">
        <f>HYPERLINK("https://klasma.github.io/Logging_2121/tillsynsmail/A 24085-2024 tillsynsbegäran mail.docx", "A 24085-2024")</f>
        <v/>
      </c>
    </row>
    <row r="9" ht="15" customHeight="1">
      <c r="A9" t="inlineStr">
        <is>
          <t>A 23581-2024</t>
        </is>
      </c>
      <c r="B9" s="1" t="n">
        <v>45454</v>
      </c>
      <c r="C9" s="1" t="n">
        <v>45838</v>
      </c>
      <c r="D9" t="inlineStr">
        <is>
          <t>GÄVLEBORGS LÄN</t>
        </is>
      </c>
      <c r="E9" t="inlineStr">
        <is>
          <t>OVANÅKER</t>
        </is>
      </c>
      <c r="F9" t="inlineStr">
        <is>
          <t>Sveaskog</t>
        </is>
      </c>
      <c r="G9" t="n">
        <v>9.199999999999999</v>
      </c>
      <c r="H9" t="n">
        <v>3</v>
      </c>
      <c r="I9" t="n">
        <v>2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5</v>
      </c>
      <c r="R9" s="2" t="inlineStr">
        <is>
          <t>Knärot
Mörk kolflarnlav
Spillkråka
Korallrot
Stuplav</t>
        </is>
      </c>
      <c r="S9">
        <f>HYPERLINK("https://klasma.github.io/Logging_2121/artfynd/A 23581-2024 artfynd.xlsx", "A 23581-2024")</f>
        <v/>
      </c>
      <c r="T9">
        <f>HYPERLINK("https://klasma.github.io/Logging_2121/kartor/A 23581-2024 karta.png", "A 23581-2024")</f>
        <v/>
      </c>
      <c r="U9">
        <f>HYPERLINK("https://klasma.github.io/Logging_2121/knärot/A 23581-2024 karta knärot.png", "A 23581-2024")</f>
        <v/>
      </c>
      <c r="V9">
        <f>HYPERLINK("https://klasma.github.io/Logging_2121/klagomål/A 23581-2024 FSC-klagomål.docx", "A 23581-2024")</f>
        <v/>
      </c>
      <c r="W9">
        <f>HYPERLINK("https://klasma.github.io/Logging_2121/klagomålsmail/A 23581-2024 FSC-klagomål mail.docx", "A 23581-2024")</f>
        <v/>
      </c>
      <c r="X9">
        <f>HYPERLINK("https://klasma.github.io/Logging_2121/tillsyn/A 23581-2024 tillsynsbegäran.docx", "A 23581-2024")</f>
        <v/>
      </c>
      <c r="Y9">
        <f>HYPERLINK("https://klasma.github.io/Logging_2121/tillsynsmail/A 23581-2024 tillsynsbegäran mail.docx", "A 23581-2024")</f>
        <v/>
      </c>
      <c r="Z9">
        <f>HYPERLINK("https://klasma.github.io/Logging_2121/fåglar/A 23581-2024 prioriterade fågelarter.docx", "A 23581-2024")</f>
        <v/>
      </c>
    </row>
    <row r="10" ht="15" customHeight="1">
      <c r="A10" t="inlineStr">
        <is>
          <t>A 55473-2022</t>
        </is>
      </c>
      <c r="B10" s="1" t="n">
        <v>44887</v>
      </c>
      <c r="C10" s="1" t="n">
        <v>45838</v>
      </c>
      <c r="D10" t="inlineStr">
        <is>
          <t>GÄVLEBORGS LÄN</t>
        </is>
      </c>
      <c r="E10" t="inlineStr">
        <is>
          <t>OVANÅKER</t>
        </is>
      </c>
      <c r="G10" t="n">
        <v>7.9</v>
      </c>
      <c r="H10" t="n">
        <v>0</v>
      </c>
      <c r="I10" t="n">
        <v>1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Dvärgbägarlav
Kolflarnlav
Mörk kolflarnlav
Dropptaggsvamp</t>
        </is>
      </c>
      <c r="S10">
        <f>HYPERLINK("https://klasma.github.io/Logging_2121/artfynd/A 55473-2022 artfynd.xlsx", "A 55473-2022")</f>
        <v/>
      </c>
      <c r="T10">
        <f>HYPERLINK("https://klasma.github.io/Logging_2121/kartor/A 55473-2022 karta.png", "A 55473-2022")</f>
        <v/>
      </c>
      <c r="V10">
        <f>HYPERLINK("https://klasma.github.io/Logging_2121/klagomål/A 55473-2022 FSC-klagomål.docx", "A 55473-2022")</f>
        <v/>
      </c>
      <c r="W10">
        <f>HYPERLINK("https://klasma.github.io/Logging_2121/klagomålsmail/A 55473-2022 FSC-klagomål mail.docx", "A 55473-2022")</f>
        <v/>
      </c>
      <c r="X10">
        <f>HYPERLINK("https://klasma.github.io/Logging_2121/tillsyn/A 55473-2022 tillsynsbegäran.docx", "A 55473-2022")</f>
        <v/>
      </c>
      <c r="Y10">
        <f>HYPERLINK("https://klasma.github.io/Logging_2121/tillsynsmail/A 55473-2022 tillsynsbegäran mail.docx", "A 55473-2022")</f>
        <v/>
      </c>
    </row>
    <row r="11" ht="15" customHeight="1">
      <c r="A11" t="inlineStr">
        <is>
          <t>A 60287-2022</t>
        </is>
      </c>
      <c r="B11" s="1" t="n">
        <v>44910</v>
      </c>
      <c r="C11" s="1" t="n">
        <v>45838</v>
      </c>
      <c r="D11" t="inlineStr">
        <is>
          <t>GÄVLEBORGS LÄN</t>
        </is>
      </c>
      <c r="E11" t="inlineStr">
        <is>
          <t>OVANÅKER</t>
        </is>
      </c>
      <c r="F11" t="inlineStr">
        <is>
          <t>Sveaskog</t>
        </is>
      </c>
      <c r="G11" t="n">
        <v>1.2</v>
      </c>
      <c r="H11" t="n">
        <v>3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4</v>
      </c>
      <c r="R11" s="2" t="inlineStr">
        <is>
          <t>Skogshare
Talltita
Törnskata
Kopparödla</t>
        </is>
      </c>
      <c r="S11">
        <f>HYPERLINK("https://klasma.github.io/Logging_2121/artfynd/A 60287-2022 artfynd.xlsx", "A 60287-2022")</f>
        <v/>
      </c>
      <c r="T11">
        <f>HYPERLINK("https://klasma.github.io/Logging_2121/kartor/A 60287-2022 karta.png", "A 60287-2022")</f>
        <v/>
      </c>
      <c r="V11">
        <f>HYPERLINK("https://klasma.github.io/Logging_2121/klagomål/A 60287-2022 FSC-klagomål.docx", "A 60287-2022")</f>
        <v/>
      </c>
      <c r="W11">
        <f>HYPERLINK("https://klasma.github.io/Logging_2121/klagomålsmail/A 60287-2022 FSC-klagomål mail.docx", "A 60287-2022")</f>
        <v/>
      </c>
      <c r="X11">
        <f>HYPERLINK("https://klasma.github.io/Logging_2121/tillsyn/A 60287-2022 tillsynsbegäran.docx", "A 60287-2022")</f>
        <v/>
      </c>
      <c r="Y11">
        <f>HYPERLINK("https://klasma.github.io/Logging_2121/tillsynsmail/A 60287-2022 tillsynsbegäran mail.docx", "A 60287-2022")</f>
        <v/>
      </c>
      <c r="Z11">
        <f>HYPERLINK("https://klasma.github.io/Logging_2121/fåglar/A 60287-2022 prioriterade fågelarter.docx", "A 60287-2022")</f>
        <v/>
      </c>
    </row>
    <row r="12" ht="15" customHeight="1">
      <c r="A12" t="inlineStr">
        <is>
          <t>A 27404-2019</t>
        </is>
      </c>
      <c r="B12" s="1" t="n">
        <v>43616</v>
      </c>
      <c r="C12" s="1" t="n">
        <v>45838</v>
      </c>
      <c r="D12" t="inlineStr">
        <is>
          <t>GÄVLEBORGS LÄN</t>
        </is>
      </c>
      <c r="E12" t="inlineStr">
        <is>
          <t>OVANÅKER</t>
        </is>
      </c>
      <c r="F12" t="inlineStr">
        <is>
          <t>Bergvik skog väst AB</t>
        </is>
      </c>
      <c r="G12" t="n">
        <v>1.3</v>
      </c>
      <c r="H12" t="n">
        <v>0</v>
      </c>
      <c r="I12" t="n">
        <v>1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Tallticka
Vedskivlav
Mindre märgborre</t>
        </is>
      </c>
      <c r="S12">
        <f>HYPERLINK("https://klasma.github.io/Logging_2121/artfynd/A 27404-2019 artfynd.xlsx", "A 27404-2019")</f>
        <v/>
      </c>
      <c r="T12">
        <f>HYPERLINK("https://klasma.github.io/Logging_2121/kartor/A 27404-2019 karta.png", "A 27404-2019")</f>
        <v/>
      </c>
      <c r="V12">
        <f>HYPERLINK("https://klasma.github.io/Logging_2121/klagomål/A 27404-2019 FSC-klagomål.docx", "A 27404-2019")</f>
        <v/>
      </c>
      <c r="W12">
        <f>HYPERLINK("https://klasma.github.io/Logging_2121/klagomålsmail/A 27404-2019 FSC-klagomål mail.docx", "A 27404-2019")</f>
        <v/>
      </c>
      <c r="X12">
        <f>HYPERLINK("https://klasma.github.io/Logging_2121/tillsyn/A 27404-2019 tillsynsbegäran.docx", "A 27404-2019")</f>
        <v/>
      </c>
      <c r="Y12">
        <f>HYPERLINK("https://klasma.github.io/Logging_2121/tillsynsmail/A 27404-2019 tillsynsbegäran mail.docx", "A 27404-2019")</f>
        <v/>
      </c>
    </row>
    <row r="13" ht="15" customHeight="1">
      <c r="A13" t="inlineStr">
        <is>
          <t>A 21238-2021</t>
        </is>
      </c>
      <c r="B13" s="1" t="n">
        <v>44320</v>
      </c>
      <c r="C13" s="1" t="n">
        <v>45838</v>
      </c>
      <c r="D13" t="inlineStr">
        <is>
          <t>GÄVLEBORGS LÄN</t>
        </is>
      </c>
      <c r="E13" t="inlineStr">
        <is>
          <t>OVANÅKER</t>
        </is>
      </c>
      <c r="F13" t="inlineStr">
        <is>
          <t>Sveaskog</t>
        </is>
      </c>
      <c r="G13" t="n">
        <v>1.7</v>
      </c>
      <c r="H13" t="n">
        <v>0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3</v>
      </c>
      <c r="R13" s="2" t="inlineStr">
        <is>
          <t>Dvärgbägarlav
Gammelgransskål
Kolflarnlav</t>
        </is>
      </c>
      <c r="S13">
        <f>HYPERLINK("https://klasma.github.io/Logging_2121/artfynd/A 21238-2021 artfynd.xlsx", "A 21238-2021")</f>
        <v/>
      </c>
      <c r="T13">
        <f>HYPERLINK("https://klasma.github.io/Logging_2121/kartor/A 21238-2021 karta.png", "A 21238-2021")</f>
        <v/>
      </c>
      <c r="V13">
        <f>HYPERLINK("https://klasma.github.io/Logging_2121/klagomål/A 21238-2021 FSC-klagomål.docx", "A 21238-2021")</f>
        <v/>
      </c>
      <c r="W13">
        <f>HYPERLINK("https://klasma.github.io/Logging_2121/klagomålsmail/A 21238-2021 FSC-klagomål mail.docx", "A 21238-2021")</f>
        <v/>
      </c>
      <c r="X13">
        <f>HYPERLINK("https://klasma.github.io/Logging_2121/tillsyn/A 21238-2021 tillsynsbegäran.docx", "A 21238-2021")</f>
        <v/>
      </c>
      <c r="Y13">
        <f>HYPERLINK("https://klasma.github.io/Logging_2121/tillsynsmail/A 21238-2021 tillsynsbegäran mail.docx", "A 21238-2021")</f>
        <v/>
      </c>
    </row>
    <row r="14" ht="15" customHeight="1">
      <c r="A14" t="inlineStr">
        <is>
          <t>A 24895-2024</t>
        </is>
      </c>
      <c r="B14" s="1" t="n">
        <v>45461</v>
      </c>
      <c r="C14" s="1" t="n">
        <v>45838</v>
      </c>
      <c r="D14" t="inlineStr">
        <is>
          <t>GÄVLEBORGS LÄN</t>
        </is>
      </c>
      <c r="E14" t="inlineStr">
        <is>
          <t>OVANÅKER</t>
        </is>
      </c>
      <c r="G14" t="n">
        <v>5.1</v>
      </c>
      <c r="H14" t="n">
        <v>0</v>
      </c>
      <c r="I14" t="n">
        <v>0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3</v>
      </c>
      <c r="R14" s="2" t="inlineStr">
        <is>
          <t>Garnlav
Kolflarnlav
Vedskivlav</t>
        </is>
      </c>
      <c r="S14">
        <f>HYPERLINK("https://klasma.github.io/Logging_2121/artfynd/A 24895-2024 artfynd.xlsx", "A 24895-2024")</f>
        <v/>
      </c>
      <c r="T14">
        <f>HYPERLINK("https://klasma.github.io/Logging_2121/kartor/A 24895-2024 karta.png", "A 24895-2024")</f>
        <v/>
      </c>
      <c r="V14">
        <f>HYPERLINK("https://klasma.github.io/Logging_2121/klagomål/A 24895-2024 FSC-klagomål.docx", "A 24895-2024")</f>
        <v/>
      </c>
      <c r="W14">
        <f>HYPERLINK("https://klasma.github.io/Logging_2121/klagomålsmail/A 24895-2024 FSC-klagomål mail.docx", "A 24895-2024")</f>
        <v/>
      </c>
      <c r="X14">
        <f>HYPERLINK("https://klasma.github.io/Logging_2121/tillsyn/A 24895-2024 tillsynsbegäran.docx", "A 24895-2024")</f>
        <v/>
      </c>
      <c r="Y14">
        <f>HYPERLINK("https://klasma.github.io/Logging_2121/tillsynsmail/A 24895-2024 tillsynsbegäran mail.docx", "A 24895-2024")</f>
        <v/>
      </c>
    </row>
    <row r="15" ht="15" customHeight="1">
      <c r="A15" t="inlineStr">
        <is>
          <t>A 20931-2025</t>
        </is>
      </c>
      <c r="B15" s="1" t="n">
        <v>45777</v>
      </c>
      <c r="C15" s="1" t="n">
        <v>45838</v>
      </c>
      <c r="D15" t="inlineStr">
        <is>
          <t>GÄVLEBORGS LÄN</t>
        </is>
      </c>
      <c r="E15" t="inlineStr">
        <is>
          <t>OVANÅKER</t>
        </is>
      </c>
      <c r="F15" t="inlineStr">
        <is>
          <t>Sveaskog</t>
        </is>
      </c>
      <c r="G15" t="n">
        <v>17.4</v>
      </c>
      <c r="H15" t="n">
        <v>1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Garnlav
Lunglav
Nattviol</t>
        </is>
      </c>
      <c r="S15">
        <f>HYPERLINK("https://klasma.github.io/Logging_212121/artfynd/A 20931-2025 artfynd.xlsx", "A 20931-2025")</f>
        <v/>
      </c>
      <c r="T15">
        <f>HYPERLINK("https://klasma.github.io/Logging_212121/kartor/A 20931-2025 karta.png", "A 20931-2025")</f>
        <v/>
      </c>
      <c r="V15">
        <f>HYPERLINK("https://klasma.github.io/Logging_212121/klagomål/A 20931-2025 FSC-klagomål.docx", "A 20931-2025")</f>
        <v/>
      </c>
      <c r="W15">
        <f>HYPERLINK("https://klasma.github.io/Logging_212121/klagomålsmail/A 20931-2025 FSC-klagomål mail.docx", "A 20931-2025")</f>
        <v/>
      </c>
      <c r="X15">
        <f>HYPERLINK("https://klasma.github.io/Logging_212121/tillsyn/A 20931-2025 tillsynsbegäran.docx", "A 20931-2025")</f>
        <v/>
      </c>
      <c r="Y15">
        <f>HYPERLINK("https://klasma.github.io/Logging_212121/tillsynsmail/A 20931-2025 tillsynsbegäran mail.docx", "A 20931-2025")</f>
        <v/>
      </c>
    </row>
    <row r="16" ht="15" customHeight="1">
      <c r="A16" t="inlineStr">
        <is>
          <t>A 27859-2025</t>
        </is>
      </c>
      <c r="B16" s="1" t="n">
        <v>45817</v>
      </c>
      <c r="C16" s="1" t="n">
        <v>45838</v>
      </c>
      <c r="D16" t="inlineStr">
        <is>
          <t>GÄVLEBORGS LÄN</t>
        </is>
      </c>
      <c r="E16" t="inlineStr">
        <is>
          <t>OVANÅKER</t>
        </is>
      </c>
      <c r="F16" t="inlineStr">
        <is>
          <t>Bergvik skog väst AB</t>
        </is>
      </c>
      <c r="G16" t="n">
        <v>26.5</v>
      </c>
      <c r="H16" t="n">
        <v>0</v>
      </c>
      <c r="I16" t="n">
        <v>0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3</v>
      </c>
      <c r="R16" s="2" t="inlineStr">
        <is>
          <t>Kolflarnlav
Mörk kolflarnlav
Vedskivlav</t>
        </is>
      </c>
      <c r="S16">
        <f>HYPERLINK("https://klasma.github.io/Logging_212121/artfynd/A 27859-2025 artfynd.xlsx", "A 27859-2025")</f>
        <v/>
      </c>
      <c r="T16">
        <f>HYPERLINK("https://klasma.github.io/Logging_212121/kartor/A 27859-2025 karta.png", "A 27859-2025")</f>
        <v/>
      </c>
      <c r="V16">
        <f>HYPERLINK("https://klasma.github.io/Logging_212121/klagomål/A 27859-2025 FSC-klagomål.docx", "A 27859-2025")</f>
        <v/>
      </c>
      <c r="W16">
        <f>HYPERLINK("https://klasma.github.io/Logging_212121/klagomålsmail/A 27859-2025 FSC-klagomål mail.docx", "A 27859-2025")</f>
        <v/>
      </c>
      <c r="X16">
        <f>HYPERLINK("https://klasma.github.io/Logging_212121/tillsyn/A 27859-2025 tillsynsbegäran.docx", "A 27859-2025")</f>
        <v/>
      </c>
      <c r="Y16">
        <f>HYPERLINK("https://klasma.github.io/Logging_212121/tillsynsmail/A 27859-2025 tillsynsbegäran mail.docx", "A 27859-2025")</f>
        <v/>
      </c>
    </row>
    <row r="17" ht="15" customHeight="1">
      <c r="A17" t="inlineStr">
        <is>
          <t>A 30364-2022</t>
        </is>
      </c>
      <c r="B17" s="1" t="n">
        <v>44760</v>
      </c>
      <c r="C17" s="1" t="n">
        <v>45838</v>
      </c>
      <c r="D17" t="inlineStr">
        <is>
          <t>GÄVLEBORGS LÄN</t>
        </is>
      </c>
      <c r="E17" t="inlineStr">
        <is>
          <t>OVANÅKER</t>
        </is>
      </c>
      <c r="F17" t="inlineStr">
        <is>
          <t>Bergvik skog öst AB</t>
        </is>
      </c>
      <c r="G17" t="n">
        <v>1.9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Skinnlav
Blåsippa</t>
        </is>
      </c>
      <c r="S17">
        <f>HYPERLINK("https://klasma.github.io/Logging_2121/artfynd/A 30364-2022 artfynd.xlsx", "A 30364-2022")</f>
        <v/>
      </c>
      <c r="T17">
        <f>HYPERLINK("https://klasma.github.io/Logging_2121/kartor/A 30364-2022 karta.png", "A 30364-2022")</f>
        <v/>
      </c>
      <c r="V17">
        <f>HYPERLINK("https://klasma.github.io/Logging_2121/klagomål/A 30364-2022 FSC-klagomål.docx", "A 30364-2022")</f>
        <v/>
      </c>
      <c r="W17">
        <f>HYPERLINK("https://klasma.github.io/Logging_2121/klagomålsmail/A 30364-2022 FSC-klagomål mail.docx", "A 30364-2022")</f>
        <v/>
      </c>
      <c r="X17">
        <f>HYPERLINK("https://klasma.github.io/Logging_2121/tillsyn/A 30364-2022 tillsynsbegäran.docx", "A 30364-2022")</f>
        <v/>
      </c>
      <c r="Y17">
        <f>HYPERLINK("https://klasma.github.io/Logging_2121/tillsynsmail/A 30364-2022 tillsynsbegäran mail.docx", "A 30364-2022")</f>
        <v/>
      </c>
    </row>
    <row r="18" ht="15" customHeight="1">
      <c r="A18" t="inlineStr">
        <is>
          <t>A 54683-2022</t>
        </is>
      </c>
      <c r="B18" s="1" t="n">
        <v>44883</v>
      </c>
      <c r="C18" s="1" t="n">
        <v>45838</v>
      </c>
      <c r="D18" t="inlineStr">
        <is>
          <t>GÄVLEBORGS LÄN</t>
        </is>
      </c>
      <c r="E18" t="inlineStr">
        <is>
          <t>OVANÅKER</t>
        </is>
      </c>
      <c r="G18" t="n">
        <v>7.4</v>
      </c>
      <c r="H18" t="n">
        <v>2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Spillkråka
Orre</t>
        </is>
      </c>
      <c r="S18">
        <f>HYPERLINK("https://klasma.github.io/Logging_2121/artfynd/A 54683-2022 artfynd.xlsx", "A 54683-2022")</f>
        <v/>
      </c>
      <c r="T18">
        <f>HYPERLINK("https://klasma.github.io/Logging_2121/kartor/A 54683-2022 karta.png", "A 54683-2022")</f>
        <v/>
      </c>
      <c r="V18">
        <f>HYPERLINK("https://klasma.github.io/Logging_2121/klagomål/A 54683-2022 FSC-klagomål.docx", "A 54683-2022")</f>
        <v/>
      </c>
      <c r="W18">
        <f>HYPERLINK("https://klasma.github.io/Logging_2121/klagomålsmail/A 54683-2022 FSC-klagomål mail.docx", "A 54683-2022")</f>
        <v/>
      </c>
      <c r="X18">
        <f>HYPERLINK("https://klasma.github.io/Logging_2121/tillsyn/A 54683-2022 tillsynsbegäran.docx", "A 54683-2022")</f>
        <v/>
      </c>
      <c r="Y18">
        <f>HYPERLINK("https://klasma.github.io/Logging_2121/tillsynsmail/A 54683-2022 tillsynsbegäran mail.docx", "A 54683-2022")</f>
        <v/>
      </c>
      <c r="Z18">
        <f>HYPERLINK("https://klasma.github.io/Logging_2121/fåglar/A 54683-2022 prioriterade fågelarter.docx", "A 54683-2022")</f>
        <v/>
      </c>
    </row>
    <row r="19" ht="15" customHeight="1">
      <c r="A19" t="inlineStr">
        <is>
          <t>A 42056-2023</t>
        </is>
      </c>
      <c r="B19" s="1" t="n">
        <v>45177</v>
      </c>
      <c r="C19" s="1" t="n">
        <v>45838</v>
      </c>
      <c r="D19" t="inlineStr">
        <is>
          <t>GÄVLEBORGS LÄN</t>
        </is>
      </c>
      <c r="E19" t="inlineStr">
        <is>
          <t>OVANÅKER</t>
        </is>
      </c>
      <c r="G19" t="n">
        <v>14.7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Lunglav
Korallblylav</t>
        </is>
      </c>
      <c r="S19">
        <f>HYPERLINK("https://klasma.github.io/Logging_2121/artfynd/A 42056-2023 artfynd.xlsx", "A 42056-2023")</f>
        <v/>
      </c>
      <c r="T19">
        <f>HYPERLINK("https://klasma.github.io/Logging_2121/kartor/A 42056-2023 karta.png", "A 42056-2023")</f>
        <v/>
      </c>
      <c r="V19">
        <f>HYPERLINK("https://klasma.github.io/Logging_2121/klagomål/A 42056-2023 FSC-klagomål.docx", "A 42056-2023")</f>
        <v/>
      </c>
      <c r="W19">
        <f>HYPERLINK("https://klasma.github.io/Logging_2121/klagomålsmail/A 42056-2023 FSC-klagomål mail.docx", "A 42056-2023")</f>
        <v/>
      </c>
      <c r="X19">
        <f>HYPERLINK("https://klasma.github.io/Logging_2121/tillsyn/A 42056-2023 tillsynsbegäran.docx", "A 42056-2023")</f>
        <v/>
      </c>
      <c r="Y19">
        <f>HYPERLINK("https://klasma.github.io/Logging_2121/tillsynsmail/A 42056-2023 tillsynsbegäran mail.docx", "A 42056-2023")</f>
        <v/>
      </c>
    </row>
    <row r="20" ht="15" customHeight="1">
      <c r="A20" t="inlineStr">
        <is>
          <t>A 1196-2024</t>
        </is>
      </c>
      <c r="B20" s="1" t="n">
        <v>45302</v>
      </c>
      <c r="C20" s="1" t="n">
        <v>45838</v>
      </c>
      <c r="D20" t="inlineStr">
        <is>
          <t>GÄVLEBORGS LÄN</t>
        </is>
      </c>
      <c r="E20" t="inlineStr">
        <is>
          <t>OVANÅKER</t>
        </is>
      </c>
      <c r="F20" t="inlineStr">
        <is>
          <t>Bergvik skog väst AB</t>
        </is>
      </c>
      <c r="G20" t="n">
        <v>3.7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Mörk husmossa
Blåsippa</t>
        </is>
      </c>
      <c r="S20">
        <f>HYPERLINK("https://klasma.github.io/Logging_2121/artfynd/A 1196-2024 artfynd.xlsx", "A 1196-2024")</f>
        <v/>
      </c>
      <c r="T20">
        <f>HYPERLINK("https://klasma.github.io/Logging_2121/kartor/A 1196-2024 karta.png", "A 1196-2024")</f>
        <v/>
      </c>
      <c r="V20">
        <f>HYPERLINK("https://klasma.github.io/Logging_2121/klagomål/A 1196-2024 FSC-klagomål.docx", "A 1196-2024")</f>
        <v/>
      </c>
      <c r="W20">
        <f>HYPERLINK("https://klasma.github.io/Logging_2121/klagomålsmail/A 1196-2024 FSC-klagomål mail.docx", "A 1196-2024")</f>
        <v/>
      </c>
      <c r="X20">
        <f>HYPERLINK("https://klasma.github.io/Logging_2121/tillsyn/A 1196-2024 tillsynsbegäran.docx", "A 1196-2024")</f>
        <v/>
      </c>
      <c r="Y20">
        <f>HYPERLINK("https://klasma.github.io/Logging_2121/tillsynsmail/A 1196-2024 tillsynsbegäran mail.docx", "A 1196-2024")</f>
        <v/>
      </c>
    </row>
    <row r="21" ht="15" customHeight="1">
      <c r="A21" t="inlineStr">
        <is>
          <t>A 4081-2024</t>
        </is>
      </c>
      <c r="B21" s="1" t="n">
        <v>45323</v>
      </c>
      <c r="C21" s="1" t="n">
        <v>45838</v>
      </c>
      <c r="D21" t="inlineStr">
        <is>
          <t>GÄVLEBORGS LÄN</t>
        </is>
      </c>
      <c r="E21" t="inlineStr">
        <is>
          <t>OVANÅKER</t>
        </is>
      </c>
      <c r="G21" t="n">
        <v>3.3</v>
      </c>
      <c r="H21" t="n">
        <v>0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Rosenticka
Ullticka</t>
        </is>
      </c>
      <c r="S21">
        <f>HYPERLINK("https://klasma.github.io/Logging_2121/artfynd/A 4081-2024 artfynd.xlsx", "A 4081-2024")</f>
        <v/>
      </c>
      <c r="T21">
        <f>HYPERLINK("https://klasma.github.io/Logging_2121/kartor/A 4081-2024 karta.png", "A 4081-2024")</f>
        <v/>
      </c>
      <c r="V21">
        <f>HYPERLINK("https://klasma.github.io/Logging_2121/klagomål/A 4081-2024 FSC-klagomål.docx", "A 4081-2024")</f>
        <v/>
      </c>
      <c r="W21">
        <f>HYPERLINK("https://klasma.github.io/Logging_2121/klagomålsmail/A 4081-2024 FSC-klagomål mail.docx", "A 4081-2024")</f>
        <v/>
      </c>
      <c r="X21">
        <f>HYPERLINK("https://klasma.github.io/Logging_2121/tillsyn/A 4081-2024 tillsynsbegäran.docx", "A 4081-2024")</f>
        <v/>
      </c>
      <c r="Y21">
        <f>HYPERLINK("https://klasma.github.io/Logging_2121/tillsynsmail/A 4081-2024 tillsynsbegäran mail.docx", "A 4081-2024")</f>
        <v/>
      </c>
    </row>
    <row r="22" ht="15" customHeight="1">
      <c r="A22" t="inlineStr">
        <is>
          <t>A 19180-2024</t>
        </is>
      </c>
      <c r="B22" s="1" t="n">
        <v>45428</v>
      </c>
      <c r="C22" s="1" t="n">
        <v>45838</v>
      </c>
      <c r="D22" t="inlineStr">
        <is>
          <t>GÄVLEBORGS LÄN</t>
        </is>
      </c>
      <c r="E22" t="inlineStr">
        <is>
          <t>OVANÅKER</t>
        </is>
      </c>
      <c r="G22" t="n">
        <v>4.1</v>
      </c>
      <c r="H22" t="n">
        <v>0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Kolflarnlav
Vedskivlav</t>
        </is>
      </c>
      <c r="S22">
        <f>HYPERLINK("https://klasma.github.io/Logging_2121/artfynd/A 19180-2024 artfynd.xlsx", "A 19180-2024")</f>
        <v/>
      </c>
      <c r="T22">
        <f>HYPERLINK("https://klasma.github.io/Logging_2121/kartor/A 19180-2024 karta.png", "A 19180-2024")</f>
        <v/>
      </c>
      <c r="V22">
        <f>HYPERLINK("https://klasma.github.io/Logging_2121/klagomål/A 19180-2024 FSC-klagomål.docx", "A 19180-2024")</f>
        <v/>
      </c>
      <c r="W22">
        <f>HYPERLINK("https://klasma.github.io/Logging_2121/klagomålsmail/A 19180-2024 FSC-klagomål mail.docx", "A 19180-2024")</f>
        <v/>
      </c>
      <c r="X22">
        <f>HYPERLINK("https://klasma.github.io/Logging_2121/tillsyn/A 19180-2024 tillsynsbegäran.docx", "A 19180-2024")</f>
        <v/>
      </c>
      <c r="Y22">
        <f>HYPERLINK("https://klasma.github.io/Logging_2121/tillsynsmail/A 19180-2024 tillsynsbegäran mail.docx", "A 19180-2024")</f>
        <v/>
      </c>
    </row>
    <row r="23" ht="15" customHeight="1">
      <c r="A23" t="inlineStr">
        <is>
          <t>A 30941-2024</t>
        </is>
      </c>
      <c r="B23" s="1" t="n">
        <v>45499</v>
      </c>
      <c r="C23" s="1" t="n">
        <v>45838</v>
      </c>
      <c r="D23" t="inlineStr">
        <is>
          <t>GÄVLEBORGS LÄN</t>
        </is>
      </c>
      <c r="E23" t="inlineStr">
        <is>
          <t>OVANÅKER</t>
        </is>
      </c>
      <c r="F23" t="inlineStr">
        <is>
          <t>Sveaskog</t>
        </is>
      </c>
      <c r="G23" t="n">
        <v>3.3</v>
      </c>
      <c r="H23" t="n">
        <v>0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Lunglav
Skrovellav</t>
        </is>
      </c>
      <c r="S23">
        <f>HYPERLINK("https://klasma.github.io/Logging_2121/artfynd/A 30941-2024 artfynd.xlsx", "A 30941-2024")</f>
        <v/>
      </c>
      <c r="T23">
        <f>HYPERLINK("https://klasma.github.io/Logging_2121/kartor/A 30941-2024 karta.png", "A 30941-2024")</f>
        <v/>
      </c>
      <c r="V23">
        <f>HYPERLINK("https://klasma.github.io/Logging_2121/klagomål/A 30941-2024 FSC-klagomål.docx", "A 30941-2024")</f>
        <v/>
      </c>
      <c r="W23">
        <f>HYPERLINK("https://klasma.github.io/Logging_2121/klagomålsmail/A 30941-2024 FSC-klagomål mail.docx", "A 30941-2024")</f>
        <v/>
      </c>
      <c r="X23">
        <f>HYPERLINK("https://klasma.github.io/Logging_2121/tillsyn/A 30941-2024 tillsynsbegäran.docx", "A 30941-2024")</f>
        <v/>
      </c>
      <c r="Y23">
        <f>HYPERLINK("https://klasma.github.io/Logging_2121/tillsynsmail/A 30941-2024 tillsynsbegäran mail.docx", "A 30941-2024")</f>
        <v/>
      </c>
    </row>
    <row r="24" ht="15" customHeight="1">
      <c r="A24" t="inlineStr">
        <is>
          <t>A 35350-2024</t>
        </is>
      </c>
      <c r="B24" s="1" t="n">
        <v>45531</v>
      </c>
      <c r="C24" s="1" t="n">
        <v>45838</v>
      </c>
      <c r="D24" t="inlineStr">
        <is>
          <t>GÄVLEBORGS LÄN</t>
        </is>
      </c>
      <c r="E24" t="inlineStr">
        <is>
          <t>OVANÅKER</t>
        </is>
      </c>
      <c r="F24" t="inlineStr">
        <is>
          <t>Sveaskog</t>
        </is>
      </c>
      <c r="G24" t="n">
        <v>3.3</v>
      </c>
      <c r="H24" t="n">
        <v>0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Lunglav
Skrovellav</t>
        </is>
      </c>
      <c r="S24">
        <f>HYPERLINK("https://klasma.github.io/Logging_2121/artfynd/A 35350-2024 artfynd.xlsx", "A 35350-2024")</f>
        <v/>
      </c>
      <c r="T24">
        <f>HYPERLINK("https://klasma.github.io/Logging_2121/kartor/A 35350-2024 karta.png", "A 35350-2024")</f>
        <v/>
      </c>
      <c r="V24">
        <f>HYPERLINK("https://klasma.github.io/Logging_2121/klagomål/A 35350-2024 FSC-klagomål.docx", "A 35350-2024")</f>
        <v/>
      </c>
      <c r="W24">
        <f>HYPERLINK("https://klasma.github.io/Logging_2121/klagomålsmail/A 35350-2024 FSC-klagomål mail.docx", "A 35350-2024")</f>
        <v/>
      </c>
      <c r="X24">
        <f>HYPERLINK("https://klasma.github.io/Logging_2121/tillsyn/A 35350-2024 tillsynsbegäran.docx", "A 35350-2024")</f>
        <v/>
      </c>
      <c r="Y24">
        <f>HYPERLINK("https://klasma.github.io/Logging_2121/tillsynsmail/A 35350-2024 tillsynsbegäran mail.docx", "A 35350-2024")</f>
        <v/>
      </c>
    </row>
    <row r="25" ht="15" customHeight="1">
      <c r="A25" t="inlineStr">
        <is>
          <t>A 6288-2025</t>
        </is>
      </c>
      <c r="B25" s="1" t="n">
        <v>45698</v>
      </c>
      <c r="C25" s="1" t="n">
        <v>45838</v>
      </c>
      <c r="D25" t="inlineStr">
        <is>
          <t>GÄVLEBORGS LÄN</t>
        </is>
      </c>
      <c r="E25" t="inlineStr">
        <is>
          <t>OVANÅKER</t>
        </is>
      </c>
      <c r="G25" t="n">
        <v>2.6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Stiftgelélav
Skinnlav</t>
        </is>
      </c>
      <c r="S25">
        <f>HYPERLINK("https://klasma.github.io/Logging_2121/artfynd/A 6288-2025 artfynd.xlsx", "A 6288-2025")</f>
        <v/>
      </c>
      <c r="T25">
        <f>HYPERLINK("https://klasma.github.io/Logging_2121/kartor/A 6288-2025 karta.png", "A 6288-2025")</f>
        <v/>
      </c>
      <c r="V25">
        <f>HYPERLINK("https://klasma.github.io/Logging_2121/klagomål/A 6288-2025 FSC-klagomål.docx", "A 6288-2025")</f>
        <v/>
      </c>
      <c r="W25">
        <f>HYPERLINK("https://klasma.github.io/Logging_2121/klagomålsmail/A 6288-2025 FSC-klagomål mail.docx", "A 6288-2025")</f>
        <v/>
      </c>
      <c r="X25">
        <f>HYPERLINK("https://klasma.github.io/Logging_2121/tillsyn/A 6288-2025 tillsynsbegäran.docx", "A 6288-2025")</f>
        <v/>
      </c>
      <c r="Y25">
        <f>HYPERLINK("https://klasma.github.io/Logging_2121/tillsynsmail/A 6288-2025 tillsynsbegäran mail.docx", "A 6288-2025")</f>
        <v/>
      </c>
    </row>
    <row r="26" ht="15" customHeight="1">
      <c r="A26" t="inlineStr">
        <is>
          <t>A 8361-2020</t>
        </is>
      </c>
      <c r="B26" s="1" t="n">
        <v>43875</v>
      </c>
      <c r="C26" s="1" t="n">
        <v>45838</v>
      </c>
      <c r="D26" t="inlineStr">
        <is>
          <t>GÄVLEBORGS LÄN</t>
        </is>
      </c>
      <c r="E26" t="inlineStr">
        <is>
          <t>OVANÅKER</t>
        </is>
      </c>
      <c r="G26" t="n">
        <v>9.800000000000001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Slaguggla</t>
        </is>
      </c>
      <c r="S26">
        <f>HYPERLINK("https://klasma.github.io/Logging_2121/artfynd/A 8361-2020 artfynd.xlsx", "A 8361-2020")</f>
        <v/>
      </c>
      <c r="T26">
        <f>HYPERLINK("https://klasma.github.io/Logging_2121/kartor/A 8361-2020 karta.png", "A 8361-2020")</f>
        <v/>
      </c>
      <c r="V26">
        <f>HYPERLINK("https://klasma.github.io/Logging_2121/klagomål/A 8361-2020 FSC-klagomål.docx", "A 8361-2020")</f>
        <v/>
      </c>
      <c r="W26">
        <f>HYPERLINK("https://klasma.github.io/Logging_2121/klagomålsmail/A 8361-2020 FSC-klagomål mail.docx", "A 8361-2020")</f>
        <v/>
      </c>
      <c r="X26">
        <f>HYPERLINK("https://klasma.github.io/Logging_2121/tillsyn/A 8361-2020 tillsynsbegäran.docx", "A 8361-2020")</f>
        <v/>
      </c>
      <c r="Y26">
        <f>HYPERLINK("https://klasma.github.io/Logging_2121/tillsynsmail/A 8361-2020 tillsynsbegäran mail.docx", "A 8361-2020")</f>
        <v/>
      </c>
      <c r="Z26">
        <f>HYPERLINK("https://klasma.github.io/Logging_2121/fåglar/A 8361-2020 prioriterade fågelarter.docx", "A 8361-2020")</f>
        <v/>
      </c>
    </row>
    <row r="27" ht="15" customHeight="1">
      <c r="A27" t="inlineStr">
        <is>
          <t>A 29855-2021</t>
        </is>
      </c>
      <c r="B27" s="1" t="n">
        <v>44362</v>
      </c>
      <c r="C27" s="1" t="n">
        <v>45838</v>
      </c>
      <c r="D27" t="inlineStr">
        <is>
          <t>GÄVLEBORGS LÄN</t>
        </is>
      </c>
      <c r="E27" t="inlineStr">
        <is>
          <t>OVANÅKER</t>
        </is>
      </c>
      <c r="F27" t="inlineStr">
        <is>
          <t>Sveaskog</t>
        </is>
      </c>
      <c r="G27" t="n">
        <v>5.5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Lunglav</t>
        </is>
      </c>
      <c r="S27">
        <f>HYPERLINK("https://klasma.github.io/Logging_2121/artfynd/A 29855-2021 artfynd.xlsx", "A 29855-2021")</f>
        <v/>
      </c>
      <c r="T27">
        <f>HYPERLINK("https://klasma.github.io/Logging_2121/kartor/A 29855-2021 karta.png", "A 29855-2021")</f>
        <v/>
      </c>
      <c r="V27">
        <f>HYPERLINK("https://klasma.github.io/Logging_2121/klagomål/A 29855-2021 FSC-klagomål.docx", "A 29855-2021")</f>
        <v/>
      </c>
      <c r="W27">
        <f>HYPERLINK("https://klasma.github.io/Logging_2121/klagomålsmail/A 29855-2021 FSC-klagomål mail.docx", "A 29855-2021")</f>
        <v/>
      </c>
      <c r="X27">
        <f>HYPERLINK("https://klasma.github.io/Logging_2121/tillsyn/A 29855-2021 tillsynsbegäran.docx", "A 29855-2021")</f>
        <v/>
      </c>
      <c r="Y27">
        <f>HYPERLINK("https://klasma.github.io/Logging_2121/tillsynsmail/A 29855-2021 tillsynsbegäran mail.docx", "A 29855-2021")</f>
        <v/>
      </c>
    </row>
    <row r="28" ht="15" customHeight="1">
      <c r="A28" t="inlineStr">
        <is>
          <t>A 29873-2021</t>
        </is>
      </c>
      <c r="B28" s="1" t="n">
        <v>44362</v>
      </c>
      <c r="C28" s="1" t="n">
        <v>45838</v>
      </c>
      <c r="D28" t="inlineStr">
        <is>
          <t>GÄVLEBORGS LÄN</t>
        </is>
      </c>
      <c r="E28" t="inlineStr">
        <is>
          <t>OVANÅKER</t>
        </is>
      </c>
      <c r="F28" t="inlineStr">
        <is>
          <t>Sveaskog</t>
        </is>
      </c>
      <c r="G28" t="n">
        <v>9.199999999999999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Lunglav</t>
        </is>
      </c>
      <c r="S28">
        <f>HYPERLINK("https://klasma.github.io/Logging_2121/artfynd/A 29873-2021 artfynd.xlsx", "A 29873-2021")</f>
        <v/>
      </c>
      <c r="T28">
        <f>HYPERLINK("https://klasma.github.io/Logging_2121/kartor/A 29873-2021 karta.png", "A 29873-2021")</f>
        <v/>
      </c>
      <c r="V28">
        <f>HYPERLINK("https://klasma.github.io/Logging_2121/klagomål/A 29873-2021 FSC-klagomål.docx", "A 29873-2021")</f>
        <v/>
      </c>
      <c r="W28">
        <f>HYPERLINK("https://klasma.github.io/Logging_2121/klagomålsmail/A 29873-2021 FSC-klagomål mail.docx", "A 29873-2021")</f>
        <v/>
      </c>
      <c r="X28">
        <f>HYPERLINK("https://klasma.github.io/Logging_2121/tillsyn/A 29873-2021 tillsynsbegäran.docx", "A 29873-2021")</f>
        <v/>
      </c>
      <c r="Y28">
        <f>HYPERLINK("https://klasma.github.io/Logging_2121/tillsynsmail/A 29873-2021 tillsynsbegäran mail.docx", "A 29873-2021")</f>
        <v/>
      </c>
    </row>
    <row r="29" ht="15" customHeight="1">
      <c r="A29" t="inlineStr">
        <is>
          <t>A 30954-2021</t>
        </is>
      </c>
      <c r="B29" s="1" t="n">
        <v>44365</v>
      </c>
      <c r="C29" s="1" t="n">
        <v>45838</v>
      </c>
      <c r="D29" t="inlineStr">
        <is>
          <t>GÄVLEBORGS LÄN</t>
        </is>
      </c>
      <c r="E29" t="inlineStr">
        <is>
          <t>OVANÅKER</t>
        </is>
      </c>
      <c r="F29" t="inlineStr">
        <is>
          <t>Sveaskog</t>
        </is>
      </c>
      <c r="G29" t="n">
        <v>2.7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Dropptaggsvamp</t>
        </is>
      </c>
      <c r="S29">
        <f>HYPERLINK("https://klasma.github.io/Logging_2121/artfynd/A 30954-2021 artfynd.xlsx", "A 30954-2021")</f>
        <v/>
      </c>
      <c r="T29">
        <f>HYPERLINK("https://klasma.github.io/Logging_2121/kartor/A 30954-2021 karta.png", "A 30954-2021")</f>
        <v/>
      </c>
      <c r="V29">
        <f>HYPERLINK("https://klasma.github.io/Logging_2121/klagomål/A 30954-2021 FSC-klagomål.docx", "A 30954-2021")</f>
        <v/>
      </c>
      <c r="W29">
        <f>HYPERLINK("https://klasma.github.io/Logging_2121/klagomålsmail/A 30954-2021 FSC-klagomål mail.docx", "A 30954-2021")</f>
        <v/>
      </c>
      <c r="X29">
        <f>HYPERLINK("https://klasma.github.io/Logging_2121/tillsyn/A 30954-2021 tillsynsbegäran.docx", "A 30954-2021")</f>
        <v/>
      </c>
      <c r="Y29">
        <f>HYPERLINK("https://klasma.github.io/Logging_2121/tillsynsmail/A 30954-2021 tillsynsbegäran mail.docx", "A 30954-2021")</f>
        <v/>
      </c>
    </row>
    <row r="30" ht="15" customHeight="1">
      <c r="A30" t="inlineStr">
        <is>
          <t>A 34219-2021</t>
        </is>
      </c>
      <c r="B30" s="1" t="n">
        <v>44379</v>
      </c>
      <c r="C30" s="1" t="n">
        <v>45838</v>
      </c>
      <c r="D30" t="inlineStr">
        <is>
          <t>GÄVLEBORGS LÄN</t>
        </is>
      </c>
      <c r="E30" t="inlineStr">
        <is>
          <t>OVANÅKER</t>
        </is>
      </c>
      <c r="F30" t="inlineStr">
        <is>
          <t>Kyrkan</t>
        </is>
      </c>
      <c r="G30" t="n">
        <v>24.7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Svartvit flugsnappare</t>
        </is>
      </c>
      <c r="S30">
        <f>HYPERLINK("https://klasma.github.io/Logging_2121/artfynd/A 34219-2021 artfynd.xlsx", "A 34219-2021")</f>
        <v/>
      </c>
      <c r="T30">
        <f>HYPERLINK("https://klasma.github.io/Logging_2121/kartor/A 34219-2021 karta.png", "A 34219-2021")</f>
        <v/>
      </c>
      <c r="V30">
        <f>HYPERLINK("https://klasma.github.io/Logging_2121/klagomål/A 34219-2021 FSC-klagomål.docx", "A 34219-2021")</f>
        <v/>
      </c>
      <c r="W30">
        <f>HYPERLINK("https://klasma.github.io/Logging_2121/klagomålsmail/A 34219-2021 FSC-klagomål mail.docx", "A 34219-2021")</f>
        <v/>
      </c>
      <c r="X30">
        <f>HYPERLINK("https://klasma.github.io/Logging_2121/tillsyn/A 34219-2021 tillsynsbegäran.docx", "A 34219-2021")</f>
        <v/>
      </c>
      <c r="Y30">
        <f>HYPERLINK("https://klasma.github.io/Logging_2121/tillsynsmail/A 34219-2021 tillsynsbegäran mail.docx", "A 34219-2021")</f>
        <v/>
      </c>
      <c r="Z30">
        <f>HYPERLINK("https://klasma.github.io/Logging_2121/fåglar/A 34219-2021 prioriterade fågelarter.docx", "A 34219-2021")</f>
        <v/>
      </c>
    </row>
    <row r="31" ht="15" customHeight="1">
      <c r="A31" t="inlineStr">
        <is>
          <t>A 52166-2021</t>
        </is>
      </c>
      <c r="B31" s="1" t="n">
        <v>44463</v>
      </c>
      <c r="C31" s="1" t="n">
        <v>45838</v>
      </c>
      <c r="D31" t="inlineStr">
        <is>
          <t>GÄVLEBORGS LÄN</t>
        </is>
      </c>
      <c r="E31" t="inlineStr">
        <is>
          <t>OVANÅKER</t>
        </is>
      </c>
      <c r="F31" t="inlineStr">
        <is>
          <t>Sveaskog</t>
        </is>
      </c>
      <c r="G31" t="n">
        <v>0.4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Dropptaggsvamp</t>
        </is>
      </c>
      <c r="S31">
        <f>HYPERLINK("https://klasma.github.io/Logging_2121/artfynd/A 52166-2021 artfynd.xlsx", "A 52166-2021")</f>
        <v/>
      </c>
      <c r="T31">
        <f>HYPERLINK("https://klasma.github.io/Logging_2121/kartor/A 52166-2021 karta.png", "A 52166-2021")</f>
        <v/>
      </c>
      <c r="V31">
        <f>HYPERLINK("https://klasma.github.io/Logging_2121/klagomål/A 52166-2021 FSC-klagomål.docx", "A 52166-2021")</f>
        <v/>
      </c>
      <c r="W31">
        <f>HYPERLINK("https://klasma.github.io/Logging_2121/klagomålsmail/A 52166-2021 FSC-klagomål mail.docx", "A 52166-2021")</f>
        <v/>
      </c>
      <c r="X31">
        <f>HYPERLINK("https://klasma.github.io/Logging_2121/tillsyn/A 52166-2021 tillsynsbegäran.docx", "A 52166-2021")</f>
        <v/>
      </c>
      <c r="Y31">
        <f>HYPERLINK("https://klasma.github.io/Logging_2121/tillsynsmail/A 52166-2021 tillsynsbegäran mail.docx", "A 52166-2021")</f>
        <v/>
      </c>
    </row>
    <row r="32" ht="15" customHeight="1">
      <c r="A32" t="inlineStr">
        <is>
          <t>A 34414-2022</t>
        </is>
      </c>
      <c r="B32" s="1" t="n">
        <v>44792</v>
      </c>
      <c r="C32" s="1" t="n">
        <v>45838</v>
      </c>
      <c r="D32" t="inlineStr">
        <is>
          <t>GÄVLEBORGS LÄN</t>
        </is>
      </c>
      <c r="E32" t="inlineStr">
        <is>
          <t>OVANÅKER</t>
        </is>
      </c>
      <c r="F32" t="inlineStr">
        <is>
          <t>Sveaskog</t>
        </is>
      </c>
      <c r="G32" t="n">
        <v>1.9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Lunglav</t>
        </is>
      </c>
      <c r="S32">
        <f>HYPERLINK("https://klasma.github.io/Logging_2121/artfynd/A 34414-2022 artfynd.xlsx", "A 34414-2022")</f>
        <v/>
      </c>
      <c r="T32">
        <f>HYPERLINK("https://klasma.github.io/Logging_2121/kartor/A 34414-2022 karta.png", "A 34414-2022")</f>
        <v/>
      </c>
      <c r="V32">
        <f>HYPERLINK("https://klasma.github.io/Logging_2121/klagomål/A 34414-2022 FSC-klagomål.docx", "A 34414-2022")</f>
        <v/>
      </c>
      <c r="W32">
        <f>HYPERLINK("https://klasma.github.io/Logging_2121/klagomålsmail/A 34414-2022 FSC-klagomål mail.docx", "A 34414-2022")</f>
        <v/>
      </c>
      <c r="X32">
        <f>HYPERLINK("https://klasma.github.io/Logging_2121/tillsyn/A 34414-2022 tillsynsbegäran.docx", "A 34414-2022")</f>
        <v/>
      </c>
      <c r="Y32">
        <f>HYPERLINK("https://klasma.github.io/Logging_2121/tillsynsmail/A 34414-2022 tillsynsbegäran mail.docx", "A 34414-2022")</f>
        <v/>
      </c>
    </row>
    <row r="33" ht="15" customHeight="1">
      <c r="A33" t="inlineStr">
        <is>
          <t>A 34415-2022</t>
        </is>
      </c>
      <c r="B33" s="1" t="n">
        <v>44792</v>
      </c>
      <c r="C33" s="1" t="n">
        <v>45838</v>
      </c>
      <c r="D33" t="inlineStr">
        <is>
          <t>GÄVLEBORGS LÄN</t>
        </is>
      </c>
      <c r="E33" t="inlineStr">
        <is>
          <t>OVANÅKER</t>
        </is>
      </c>
      <c r="F33" t="inlineStr">
        <is>
          <t>Sveaskog</t>
        </is>
      </c>
      <c r="G33" t="n">
        <v>2.3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Lunglav</t>
        </is>
      </c>
      <c r="S33">
        <f>HYPERLINK("https://klasma.github.io/Logging_2121/artfynd/A 34415-2022 artfynd.xlsx", "A 34415-2022")</f>
        <v/>
      </c>
      <c r="T33">
        <f>HYPERLINK("https://klasma.github.io/Logging_2121/kartor/A 34415-2022 karta.png", "A 34415-2022")</f>
        <v/>
      </c>
      <c r="V33">
        <f>HYPERLINK("https://klasma.github.io/Logging_2121/klagomål/A 34415-2022 FSC-klagomål.docx", "A 34415-2022")</f>
        <v/>
      </c>
      <c r="W33">
        <f>HYPERLINK("https://klasma.github.io/Logging_2121/klagomålsmail/A 34415-2022 FSC-klagomål mail.docx", "A 34415-2022")</f>
        <v/>
      </c>
      <c r="X33">
        <f>HYPERLINK("https://klasma.github.io/Logging_2121/tillsyn/A 34415-2022 tillsynsbegäran.docx", "A 34415-2022")</f>
        <v/>
      </c>
      <c r="Y33">
        <f>HYPERLINK("https://klasma.github.io/Logging_2121/tillsynsmail/A 34415-2022 tillsynsbegäran mail.docx", "A 34415-2022")</f>
        <v/>
      </c>
    </row>
    <row r="34" ht="15" customHeight="1">
      <c r="A34" t="inlineStr">
        <is>
          <t>A 20661-2023</t>
        </is>
      </c>
      <c r="B34" s="1" t="n">
        <v>45058</v>
      </c>
      <c r="C34" s="1" t="n">
        <v>45838</v>
      </c>
      <c r="D34" t="inlineStr">
        <is>
          <t>GÄVLEBORGS LÄN</t>
        </is>
      </c>
      <c r="E34" t="inlineStr">
        <is>
          <t>OVANÅKER</t>
        </is>
      </c>
      <c r="F34" t="inlineStr">
        <is>
          <t>Sveaskog</t>
        </is>
      </c>
      <c r="G34" t="n">
        <v>3.6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Blåsippa</t>
        </is>
      </c>
      <c r="S34">
        <f>HYPERLINK("https://klasma.github.io/Logging_2121/artfynd/A 20661-2023 artfynd.xlsx", "A 20661-2023")</f>
        <v/>
      </c>
      <c r="T34">
        <f>HYPERLINK("https://klasma.github.io/Logging_2121/kartor/A 20661-2023 karta.png", "A 20661-2023")</f>
        <v/>
      </c>
      <c r="V34">
        <f>HYPERLINK("https://klasma.github.io/Logging_2121/klagomål/A 20661-2023 FSC-klagomål.docx", "A 20661-2023")</f>
        <v/>
      </c>
      <c r="W34">
        <f>HYPERLINK("https://klasma.github.io/Logging_2121/klagomålsmail/A 20661-2023 FSC-klagomål mail.docx", "A 20661-2023")</f>
        <v/>
      </c>
      <c r="X34">
        <f>HYPERLINK("https://klasma.github.io/Logging_2121/tillsyn/A 20661-2023 tillsynsbegäran.docx", "A 20661-2023")</f>
        <v/>
      </c>
      <c r="Y34">
        <f>HYPERLINK("https://klasma.github.io/Logging_2121/tillsynsmail/A 20661-2023 tillsynsbegäran mail.docx", "A 20661-2023")</f>
        <v/>
      </c>
    </row>
    <row r="35" ht="15" customHeight="1">
      <c r="A35" t="inlineStr">
        <is>
          <t>A 36809-2023</t>
        </is>
      </c>
      <c r="B35" s="1" t="n">
        <v>45154</v>
      </c>
      <c r="C35" s="1" t="n">
        <v>45838</v>
      </c>
      <c r="D35" t="inlineStr">
        <is>
          <t>GÄVLEBORGS LÄN</t>
        </is>
      </c>
      <c r="E35" t="inlineStr">
        <is>
          <t>OVANÅKER</t>
        </is>
      </c>
      <c r="F35" t="inlineStr">
        <is>
          <t>Bergvik skog väst AB</t>
        </is>
      </c>
      <c r="G35" t="n">
        <v>1.7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Garnlav</t>
        </is>
      </c>
      <c r="S35">
        <f>HYPERLINK("https://klasma.github.io/Logging_2121/artfynd/A 36809-2023 artfynd.xlsx", "A 36809-2023")</f>
        <v/>
      </c>
      <c r="T35">
        <f>HYPERLINK("https://klasma.github.io/Logging_2121/kartor/A 36809-2023 karta.png", "A 36809-2023")</f>
        <v/>
      </c>
      <c r="V35">
        <f>HYPERLINK("https://klasma.github.io/Logging_2121/klagomål/A 36809-2023 FSC-klagomål.docx", "A 36809-2023")</f>
        <v/>
      </c>
      <c r="W35">
        <f>HYPERLINK("https://klasma.github.io/Logging_2121/klagomålsmail/A 36809-2023 FSC-klagomål mail.docx", "A 36809-2023")</f>
        <v/>
      </c>
      <c r="X35">
        <f>HYPERLINK("https://klasma.github.io/Logging_2121/tillsyn/A 36809-2023 tillsynsbegäran.docx", "A 36809-2023")</f>
        <v/>
      </c>
      <c r="Y35">
        <f>HYPERLINK("https://klasma.github.io/Logging_2121/tillsynsmail/A 36809-2023 tillsynsbegäran mail.docx", "A 36809-2023")</f>
        <v/>
      </c>
    </row>
    <row r="36" ht="15" customHeight="1">
      <c r="A36" t="inlineStr">
        <is>
          <t>A 49279-2023</t>
        </is>
      </c>
      <c r="B36" s="1" t="n">
        <v>45210</v>
      </c>
      <c r="C36" s="1" t="n">
        <v>45838</v>
      </c>
      <c r="D36" t="inlineStr">
        <is>
          <t>GÄVLEBORGS LÄN</t>
        </is>
      </c>
      <c r="E36" t="inlineStr">
        <is>
          <t>OVANÅKER</t>
        </is>
      </c>
      <c r="F36" t="inlineStr">
        <is>
          <t>Bergvik skog öst AB</t>
        </is>
      </c>
      <c r="G36" t="n">
        <v>13.6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Smal svampklubba</t>
        </is>
      </c>
      <c r="S36">
        <f>HYPERLINK("https://klasma.github.io/Logging_2121/artfynd/A 49279-2023 artfynd.xlsx", "A 49279-2023")</f>
        <v/>
      </c>
      <c r="T36">
        <f>HYPERLINK("https://klasma.github.io/Logging_2121/kartor/A 49279-2023 karta.png", "A 49279-2023")</f>
        <v/>
      </c>
      <c r="V36">
        <f>HYPERLINK("https://klasma.github.io/Logging_2121/klagomål/A 49279-2023 FSC-klagomål.docx", "A 49279-2023")</f>
        <v/>
      </c>
      <c r="W36">
        <f>HYPERLINK("https://klasma.github.io/Logging_2121/klagomålsmail/A 49279-2023 FSC-klagomål mail.docx", "A 49279-2023")</f>
        <v/>
      </c>
      <c r="X36">
        <f>HYPERLINK("https://klasma.github.io/Logging_2121/tillsyn/A 49279-2023 tillsynsbegäran.docx", "A 49279-2023")</f>
        <v/>
      </c>
      <c r="Y36">
        <f>HYPERLINK("https://klasma.github.io/Logging_2121/tillsynsmail/A 49279-2023 tillsynsbegäran mail.docx", "A 49279-2023")</f>
        <v/>
      </c>
    </row>
    <row r="37" ht="15" customHeight="1">
      <c r="A37" t="inlineStr">
        <is>
          <t>A 49376-2023</t>
        </is>
      </c>
      <c r="B37" s="1" t="n">
        <v>45211</v>
      </c>
      <c r="C37" s="1" t="n">
        <v>45838</v>
      </c>
      <c r="D37" t="inlineStr">
        <is>
          <t>GÄVLEBORGS LÄN</t>
        </is>
      </c>
      <c r="E37" t="inlineStr">
        <is>
          <t>OVANÅKER</t>
        </is>
      </c>
      <c r="F37" t="inlineStr">
        <is>
          <t>Bergvik skog öst AB</t>
        </is>
      </c>
      <c r="G37" t="n">
        <v>9.199999999999999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Dofttaggsvamp</t>
        </is>
      </c>
      <c r="S37">
        <f>HYPERLINK("https://klasma.github.io/Logging_2121/artfynd/A 49376-2023 artfynd.xlsx", "A 49376-2023")</f>
        <v/>
      </c>
      <c r="T37">
        <f>HYPERLINK("https://klasma.github.io/Logging_2121/kartor/A 49376-2023 karta.png", "A 49376-2023")</f>
        <v/>
      </c>
      <c r="V37">
        <f>HYPERLINK("https://klasma.github.io/Logging_2121/klagomål/A 49376-2023 FSC-klagomål.docx", "A 49376-2023")</f>
        <v/>
      </c>
      <c r="W37">
        <f>HYPERLINK("https://klasma.github.io/Logging_2121/klagomålsmail/A 49376-2023 FSC-klagomål mail.docx", "A 49376-2023")</f>
        <v/>
      </c>
      <c r="X37">
        <f>HYPERLINK("https://klasma.github.io/Logging_2121/tillsyn/A 49376-2023 tillsynsbegäran.docx", "A 49376-2023")</f>
        <v/>
      </c>
      <c r="Y37">
        <f>HYPERLINK("https://klasma.github.io/Logging_2121/tillsynsmail/A 49376-2023 tillsynsbegäran mail.docx", "A 49376-2023")</f>
        <v/>
      </c>
    </row>
    <row r="38" ht="15" customHeight="1">
      <c r="A38" t="inlineStr">
        <is>
          <t>A 64328-2023</t>
        </is>
      </c>
      <c r="B38" s="1" t="n">
        <v>45280</v>
      </c>
      <c r="C38" s="1" t="n">
        <v>45838</v>
      </c>
      <c r="D38" t="inlineStr">
        <is>
          <t>GÄVLEBORGS LÄN</t>
        </is>
      </c>
      <c r="E38" t="inlineStr">
        <is>
          <t>OVANÅKER</t>
        </is>
      </c>
      <c r="G38" t="n">
        <v>3.5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Revlummer</t>
        </is>
      </c>
      <c r="S38">
        <f>HYPERLINK("https://klasma.github.io/Logging_2121/artfynd/A 64328-2023 artfynd.xlsx", "A 64328-2023")</f>
        <v/>
      </c>
      <c r="T38">
        <f>HYPERLINK("https://klasma.github.io/Logging_2121/kartor/A 64328-2023 karta.png", "A 64328-2023")</f>
        <v/>
      </c>
      <c r="V38">
        <f>HYPERLINK("https://klasma.github.io/Logging_2121/klagomål/A 64328-2023 FSC-klagomål.docx", "A 64328-2023")</f>
        <v/>
      </c>
      <c r="W38">
        <f>HYPERLINK("https://klasma.github.io/Logging_2121/klagomålsmail/A 64328-2023 FSC-klagomål mail.docx", "A 64328-2023")</f>
        <v/>
      </c>
      <c r="X38">
        <f>HYPERLINK("https://klasma.github.io/Logging_2121/tillsyn/A 64328-2023 tillsynsbegäran.docx", "A 64328-2023")</f>
        <v/>
      </c>
      <c r="Y38">
        <f>HYPERLINK("https://klasma.github.io/Logging_2121/tillsynsmail/A 64328-2023 tillsynsbegäran mail.docx", "A 64328-2023")</f>
        <v/>
      </c>
    </row>
    <row r="39" ht="15" customHeight="1">
      <c r="A39" t="inlineStr">
        <is>
          <t>A 1193-2024</t>
        </is>
      </c>
      <c r="B39" s="1" t="n">
        <v>45302</v>
      </c>
      <c r="C39" s="1" t="n">
        <v>45838</v>
      </c>
      <c r="D39" t="inlineStr">
        <is>
          <t>GÄVLEBORGS LÄN</t>
        </is>
      </c>
      <c r="E39" t="inlineStr">
        <is>
          <t>OVANÅKER</t>
        </is>
      </c>
      <c r="F39" t="inlineStr">
        <is>
          <t>Bergvik skog väst AB</t>
        </is>
      </c>
      <c r="G39" t="n">
        <v>10.5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Blåsippa</t>
        </is>
      </c>
      <c r="S39">
        <f>HYPERLINK("https://klasma.github.io/Logging_2121/artfynd/A 1193-2024 artfynd.xlsx", "A 1193-2024")</f>
        <v/>
      </c>
      <c r="T39">
        <f>HYPERLINK("https://klasma.github.io/Logging_2121/kartor/A 1193-2024 karta.png", "A 1193-2024")</f>
        <v/>
      </c>
      <c r="V39">
        <f>HYPERLINK("https://klasma.github.io/Logging_2121/klagomål/A 1193-2024 FSC-klagomål.docx", "A 1193-2024")</f>
        <v/>
      </c>
      <c r="W39">
        <f>HYPERLINK("https://klasma.github.io/Logging_2121/klagomålsmail/A 1193-2024 FSC-klagomål mail.docx", "A 1193-2024")</f>
        <v/>
      </c>
      <c r="X39">
        <f>HYPERLINK("https://klasma.github.io/Logging_2121/tillsyn/A 1193-2024 tillsynsbegäran.docx", "A 1193-2024")</f>
        <v/>
      </c>
      <c r="Y39">
        <f>HYPERLINK("https://klasma.github.io/Logging_2121/tillsynsmail/A 1193-2024 tillsynsbegäran mail.docx", "A 1193-2024")</f>
        <v/>
      </c>
    </row>
    <row r="40" ht="15" customHeight="1">
      <c r="A40" t="inlineStr">
        <is>
          <t>A 1214-2024</t>
        </is>
      </c>
      <c r="B40" s="1" t="n">
        <v>45302</v>
      </c>
      <c r="C40" s="1" t="n">
        <v>45838</v>
      </c>
      <c r="D40" t="inlineStr">
        <is>
          <t>GÄVLEBORGS LÄN</t>
        </is>
      </c>
      <c r="E40" t="inlineStr">
        <is>
          <t>OVANÅKER</t>
        </is>
      </c>
      <c r="F40" t="inlineStr">
        <is>
          <t>Bergvik skog väst AB</t>
        </is>
      </c>
      <c r="G40" t="n">
        <v>3.2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Fläcknycklar</t>
        </is>
      </c>
      <c r="S40">
        <f>HYPERLINK("https://klasma.github.io/Logging_2121/artfynd/A 1214-2024 artfynd.xlsx", "A 1214-2024")</f>
        <v/>
      </c>
      <c r="T40">
        <f>HYPERLINK("https://klasma.github.io/Logging_2121/kartor/A 1214-2024 karta.png", "A 1214-2024")</f>
        <v/>
      </c>
      <c r="V40">
        <f>HYPERLINK("https://klasma.github.io/Logging_2121/klagomål/A 1214-2024 FSC-klagomål.docx", "A 1214-2024")</f>
        <v/>
      </c>
      <c r="W40">
        <f>HYPERLINK("https://klasma.github.io/Logging_2121/klagomålsmail/A 1214-2024 FSC-klagomål mail.docx", "A 1214-2024")</f>
        <v/>
      </c>
      <c r="X40">
        <f>HYPERLINK("https://klasma.github.io/Logging_2121/tillsyn/A 1214-2024 tillsynsbegäran.docx", "A 1214-2024")</f>
        <v/>
      </c>
      <c r="Y40">
        <f>HYPERLINK("https://klasma.github.io/Logging_2121/tillsynsmail/A 1214-2024 tillsynsbegäran mail.docx", "A 1214-2024")</f>
        <v/>
      </c>
    </row>
    <row r="41" ht="15" customHeight="1">
      <c r="A41" t="inlineStr">
        <is>
          <t>A 24651-2024</t>
        </is>
      </c>
      <c r="B41" s="1" t="n">
        <v>45460</v>
      </c>
      <c r="C41" s="1" t="n">
        <v>45838</v>
      </c>
      <c r="D41" t="inlineStr">
        <is>
          <t>GÄVLEBORGS LÄN</t>
        </is>
      </c>
      <c r="E41" t="inlineStr">
        <is>
          <t>OVANÅKER</t>
        </is>
      </c>
      <c r="F41" t="inlineStr">
        <is>
          <t>Bergvik skog väst AB</t>
        </is>
      </c>
      <c r="G41" t="n">
        <v>47.7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Dvärgbägarlav</t>
        </is>
      </c>
      <c r="S41">
        <f>HYPERLINK("https://klasma.github.io/Logging_2121/artfynd/A 24651-2024 artfynd.xlsx", "A 24651-2024")</f>
        <v/>
      </c>
      <c r="T41">
        <f>HYPERLINK("https://klasma.github.io/Logging_2121/kartor/A 24651-2024 karta.png", "A 24651-2024")</f>
        <v/>
      </c>
      <c r="V41">
        <f>HYPERLINK("https://klasma.github.io/Logging_2121/klagomål/A 24651-2024 FSC-klagomål.docx", "A 24651-2024")</f>
        <v/>
      </c>
      <c r="W41">
        <f>HYPERLINK("https://klasma.github.io/Logging_2121/klagomålsmail/A 24651-2024 FSC-klagomål mail.docx", "A 24651-2024")</f>
        <v/>
      </c>
      <c r="X41">
        <f>HYPERLINK("https://klasma.github.io/Logging_2121/tillsyn/A 24651-2024 tillsynsbegäran.docx", "A 24651-2024")</f>
        <v/>
      </c>
      <c r="Y41">
        <f>HYPERLINK("https://klasma.github.io/Logging_2121/tillsynsmail/A 24651-2024 tillsynsbegäran mail.docx", "A 24651-2024")</f>
        <v/>
      </c>
    </row>
    <row r="42" ht="15" customHeight="1">
      <c r="A42" t="inlineStr">
        <is>
          <t>A 26719-2024</t>
        </is>
      </c>
      <c r="B42" s="1" t="n">
        <v>45470</v>
      </c>
      <c r="C42" s="1" t="n">
        <v>45838</v>
      </c>
      <c r="D42" t="inlineStr">
        <is>
          <t>GÄVLEBORGS LÄN</t>
        </is>
      </c>
      <c r="E42" t="inlineStr">
        <is>
          <t>OVANÅKER</t>
        </is>
      </c>
      <c r="F42" t="inlineStr">
        <is>
          <t>Bergvik skog väst AB</t>
        </is>
      </c>
      <c r="G42" t="n">
        <v>30.2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Nästlav</t>
        </is>
      </c>
      <c r="S42">
        <f>HYPERLINK("https://klasma.github.io/Logging_2121/artfynd/A 26719-2024 artfynd.xlsx", "A 26719-2024")</f>
        <v/>
      </c>
      <c r="T42">
        <f>HYPERLINK("https://klasma.github.io/Logging_2121/kartor/A 26719-2024 karta.png", "A 26719-2024")</f>
        <v/>
      </c>
      <c r="V42">
        <f>HYPERLINK("https://klasma.github.io/Logging_2121/klagomål/A 26719-2024 FSC-klagomål.docx", "A 26719-2024")</f>
        <v/>
      </c>
      <c r="W42">
        <f>HYPERLINK("https://klasma.github.io/Logging_2121/klagomålsmail/A 26719-2024 FSC-klagomål mail.docx", "A 26719-2024")</f>
        <v/>
      </c>
      <c r="X42">
        <f>HYPERLINK("https://klasma.github.io/Logging_2121/tillsyn/A 26719-2024 tillsynsbegäran.docx", "A 26719-2024")</f>
        <v/>
      </c>
      <c r="Y42">
        <f>HYPERLINK("https://klasma.github.io/Logging_2121/tillsynsmail/A 26719-2024 tillsynsbegäran mail.docx", "A 26719-2024")</f>
        <v/>
      </c>
    </row>
    <row r="43" ht="15" customHeight="1">
      <c r="A43" t="inlineStr">
        <is>
          <t>A 35373-2024</t>
        </is>
      </c>
      <c r="B43" s="1" t="n">
        <v>45531</v>
      </c>
      <c r="C43" s="1" t="n">
        <v>45838</v>
      </c>
      <c r="D43" t="inlineStr">
        <is>
          <t>GÄVLEBORGS LÄN</t>
        </is>
      </c>
      <c r="E43" t="inlineStr">
        <is>
          <t>OVANÅKER</t>
        </is>
      </c>
      <c r="F43" t="inlineStr">
        <is>
          <t>Sveaskog</t>
        </is>
      </c>
      <c r="G43" t="n">
        <v>2.3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Vedtrappmossa</t>
        </is>
      </c>
      <c r="S43">
        <f>HYPERLINK("https://klasma.github.io/Logging_2121/artfynd/A 35373-2024 artfynd.xlsx", "A 35373-2024")</f>
        <v/>
      </c>
      <c r="T43">
        <f>HYPERLINK("https://klasma.github.io/Logging_2121/kartor/A 35373-2024 karta.png", "A 35373-2024")</f>
        <v/>
      </c>
      <c r="V43">
        <f>HYPERLINK("https://klasma.github.io/Logging_2121/klagomål/A 35373-2024 FSC-klagomål.docx", "A 35373-2024")</f>
        <v/>
      </c>
      <c r="W43">
        <f>HYPERLINK("https://klasma.github.io/Logging_2121/klagomålsmail/A 35373-2024 FSC-klagomål mail.docx", "A 35373-2024")</f>
        <v/>
      </c>
      <c r="X43">
        <f>HYPERLINK("https://klasma.github.io/Logging_2121/tillsyn/A 35373-2024 tillsynsbegäran.docx", "A 35373-2024")</f>
        <v/>
      </c>
      <c r="Y43">
        <f>HYPERLINK("https://klasma.github.io/Logging_2121/tillsynsmail/A 35373-2024 tillsynsbegäran mail.docx", "A 35373-2024")</f>
        <v/>
      </c>
    </row>
    <row r="44" ht="15" customHeight="1">
      <c r="A44" t="inlineStr">
        <is>
          <t>A 37776-2024</t>
        </is>
      </c>
      <c r="B44" s="1" t="n">
        <v>45542</v>
      </c>
      <c r="C44" s="1" t="n">
        <v>45838</v>
      </c>
      <c r="D44" t="inlineStr">
        <is>
          <t>GÄVLEBORGS LÄN</t>
        </is>
      </c>
      <c r="E44" t="inlineStr">
        <is>
          <t>OVANÅKER</t>
        </is>
      </c>
      <c r="F44" t="inlineStr">
        <is>
          <t>Bergvik skog väst AB</t>
        </is>
      </c>
      <c r="G44" t="n">
        <v>4.3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Motaggsvamp</t>
        </is>
      </c>
      <c r="S44">
        <f>HYPERLINK("https://klasma.github.io/Logging_2121/artfynd/A 37776-2024 artfynd.xlsx", "A 37776-2024")</f>
        <v/>
      </c>
      <c r="T44">
        <f>HYPERLINK("https://klasma.github.io/Logging_2121/kartor/A 37776-2024 karta.png", "A 37776-2024")</f>
        <v/>
      </c>
      <c r="U44">
        <f>HYPERLINK("https://klasma.github.io/Logging_2121/knärot/A 37776-2024 karta knärot.png", "A 37776-2024")</f>
        <v/>
      </c>
      <c r="V44">
        <f>HYPERLINK("https://klasma.github.io/Logging_2121/klagomål/A 37776-2024 FSC-klagomål.docx", "A 37776-2024")</f>
        <v/>
      </c>
      <c r="W44">
        <f>HYPERLINK("https://klasma.github.io/Logging_2121/klagomålsmail/A 37776-2024 FSC-klagomål mail.docx", "A 37776-2024")</f>
        <v/>
      </c>
      <c r="X44">
        <f>HYPERLINK("https://klasma.github.io/Logging_2121/tillsyn/A 37776-2024 tillsynsbegäran.docx", "A 37776-2024")</f>
        <v/>
      </c>
      <c r="Y44">
        <f>HYPERLINK("https://klasma.github.io/Logging_2121/tillsynsmail/A 37776-2024 tillsynsbegäran mail.docx", "A 37776-2024")</f>
        <v/>
      </c>
    </row>
    <row r="45" ht="15" customHeight="1">
      <c r="A45" t="inlineStr">
        <is>
          <t>A 25361-2025</t>
        </is>
      </c>
      <c r="B45" s="1" t="n">
        <v>45800</v>
      </c>
      <c r="C45" s="1" t="n">
        <v>45838</v>
      </c>
      <c r="D45" t="inlineStr">
        <is>
          <t>GÄVLEBORGS LÄN</t>
        </is>
      </c>
      <c r="E45" t="inlineStr">
        <is>
          <t>OVANÅKER</t>
        </is>
      </c>
      <c r="F45" t="inlineStr">
        <is>
          <t>Sveaskog</t>
        </is>
      </c>
      <c r="G45" t="n">
        <v>9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Dropptaggsvamp</t>
        </is>
      </c>
      <c r="S45">
        <f>HYPERLINK("https://klasma.github.io/Logging_212121/artfynd/A 25361-2025 artfynd.xlsx", "A 25361-2025")</f>
        <v/>
      </c>
      <c r="T45">
        <f>HYPERLINK("https://klasma.github.io/Logging_212121/kartor/A 25361-2025 karta.png", "A 25361-2025")</f>
        <v/>
      </c>
      <c r="V45">
        <f>HYPERLINK("https://klasma.github.io/Logging_212121/klagomål/A 25361-2025 FSC-klagomål.docx", "A 25361-2025")</f>
        <v/>
      </c>
      <c r="W45">
        <f>HYPERLINK("https://klasma.github.io/Logging_212121/klagomålsmail/A 25361-2025 FSC-klagomål mail.docx", "A 25361-2025")</f>
        <v/>
      </c>
      <c r="X45">
        <f>HYPERLINK("https://klasma.github.io/Logging_212121/tillsyn/A 25361-2025 tillsynsbegäran.docx", "A 25361-2025")</f>
        <v/>
      </c>
      <c r="Y45">
        <f>HYPERLINK("https://klasma.github.io/Logging_212121/tillsynsmail/A 25361-2025 tillsynsbegäran mail.docx", "A 25361-2025")</f>
        <v/>
      </c>
    </row>
    <row r="46" ht="15" customHeight="1">
      <c r="A46" t="inlineStr">
        <is>
          <t>A 30239-2025</t>
        </is>
      </c>
      <c r="B46" s="1" t="n">
        <v>45827</v>
      </c>
      <c r="C46" s="1" t="n">
        <v>45838</v>
      </c>
      <c r="D46" t="inlineStr">
        <is>
          <t>GÄVLEBORGS LÄN</t>
        </is>
      </c>
      <c r="E46" t="inlineStr">
        <is>
          <t>OVANÅKER</t>
        </is>
      </c>
      <c r="F46" t="inlineStr">
        <is>
          <t>Sveaskog</t>
        </is>
      </c>
      <c r="G46" t="n">
        <v>20.8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Dropptaggsvamp</t>
        </is>
      </c>
      <c r="S46">
        <f>HYPERLINK("https://klasma.github.io/Logging_212121/artfynd/A 30239-2025 artfynd.xlsx", "A 30239-2025")</f>
        <v/>
      </c>
      <c r="T46">
        <f>HYPERLINK("https://klasma.github.io/Logging_212121/kartor/A 30239-2025 karta.png", "A 30239-2025")</f>
        <v/>
      </c>
      <c r="V46">
        <f>HYPERLINK("https://klasma.github.io/Logging_212121/klagomål/A 30239-2025 FSC-klagomål.docx", "A 30239-2025")</f>
        <v/>
      </c>
      <c r="W46">
        <f>HYPERLINK("https://klasma.github.io/Logging_212121/klagomålsmail/A 30239-2025 FSC-klagomål mail.docx", "A 30239-2025")</f>
        <v/>
      </c>
      <c r="X46">
        <f>HYPERLINK("https://klasma.github.io/Logging_212121/tillsyn/A 30239-2025 tillsynsbegäran.docx", "A 30239-2025")</f>
        <v/>
      </c>
      <c r="Y46">
        <f>HYPERLINK("https://klasma.github.io/Logging_212121/tillsynsmail/A 30239-2025 tillsynsbegäran mail.docx", "A 30239-2025")</f>
        <v/>
      </c>
    </row>
    <row r="47" ht="15" customHeight="1">
      <c r="A47" t="inlineStr">
        <is>
          <t>A 32254-2025</t>
        </is>
      </c>
      <c r="B47" s="1" t="n">
        <v>45835</v>
      </c>
      <c r="C47" s="1" t="n">
        <v>45838</v>
      </c>
      <c r="D47" t="inlineStr">
        <is>
          <t>GÄVLEBORGS LÄN</t>
        </is>
      </c>
      <c r="E47" t="inlineStr">
        <is>
          <t>OVANÅKER</t>
        </is>
      </c>
      <c r="F47" t="inlineStr">
        <is>
          <t>Bergvik skog öst AB</t>
        </is>
      </c>
      <c r="G47" t="n">
        <v>3.8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Revlummer</t>
        </is>
      </c>
      <c r="S47">
        <f>HYPERLINK("https://klasma.github.io/Logging_212121/artfynd/A 32254-2025 artfynd.xlsx", "A 32254-2025")</f>
        <v/>
      </c>
      <c r="T47">
        <f>HYPERLINK("https://klasma.github.io/Logging_212121/kartor/A 32254-2025 karta.png", "A 32254-2025")</f>
        <v/>
      </c>
      <c r="V47">
        <f>HYPERLINK("https://klasma.github.io/Logging_212121/klagomål/A 32254-2025 FSC-klagomål.docx", "A 32254-2025")</f>
        <v/>
      </c>
      <c r="W47">
        <f>HYPERLINK("https://klasma.github.io/Logging_212121/klagomålsmail/A 32254-2025 FSC-klagomål mail.docx", "A 32254-2025")</f>
        <v/>
      </c>
      <c r="X47">
        <f>HYPERLINK("https://klasma.github.io/Logging_212121/tillsyn/A 32254-2025 tillsynsbegäran.docx", "A 32254-2025")</f>
        <v/>
      </c>
      <c r="Y47">
        <f>HYPERLINK("https://klasma.github.io/Logging_212121/tillsynsmail/A 32254-2025 tillsynsbegäran mail.docx", "A 32254-2025")</f>
        <v/>
      </c>
    </row>
    <row r="48" ht="15" customHeight="1">
      <c r="A48" t="inlineStr">
        <is>
          <t>A 17688-2019</t>
        </is>
      </c>
      <c r="B48" s="1" t="n">
        <v>43556</v>
      </c>
      <c r="C48" s="1" t="n">
        <v>45838</v>
      </c>
      <c r="D48" t="inlineStr">
        <is>
          <t>GÄVLEBORGS LÄN</t>
        </is>
      </c>
      <c r="E48" t="inlineStr">
        <is>
          <t>OVANÅKER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17693-2019</t>
        </is>
      </c>
      <c r="B49" s="1" t="n">
        <v>43556</v>
      </c>
      <c r="C49" s="1" t="n">
        <v>45838</v>
      </c>
      <c r="D49" t="inlineStr">
        <is>
          <t>GÄVLEBORGS LÄN</t>
        </is>
      </c>
      <c r="E49" t="inlineStr">
        <is>
          <t>OVANÅKER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17681-2019</t>
        </is>
      </c>
      <c r="B50" s="1" t="n">
        <v>43556</v>
      </c>
      <c r="C50" s="1" t="n">
        <v>45838</v>
      </c>
      <c r="D50" t="inlineStr">
        <is>
          <t>GÄVLEBORGS LÄN</t>
        </is>
      </c>
      <c r="E50" t="inlineStr">
        <is>
          <t>OVANÅKER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19979-2019</t>
        </is>
      </c>
      <c r="B51" s="1" t="n">
        <v>43570</v>
      </c>
      <c r="C51" s="1" t="n">
        <v>45838</v>
      </c>
      <c r="D51" t="inlineStr">
        <is>
          <t>GÄVLEBORGS LÄN</t>
        </is>
      </c>
      <c r="E51" t="inlineStr">
        <is>
          <t>OVANÅKER</t>
        </is>
      </c>
      <c r="G51" t="n">
        <v>6.6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20414-2019</t>
        </is>
      </c>
      <c r="B52" s="1" t="n">
        <v>43571</v>
      </c>
      <c r="C52" s="1" t="n">
        <v>45838</v>
      </c>
      <c r="D52" t="inlineStr">
        <is>
          <t>GÄVLEBORGS LÄN</t>
        </is>
      </c>
      <c r="E52" t="inlineStr">
        <is>
          <t>OVANÅKER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20470-2019</t>
        </is>
      </c>
      <c r="B53" s="1" t="n">
        <v>43572</v>
      </c>
      <c r="C53" s="1" t="n">
        <v>45838</v>
      </c>
      <c r="D53" t="inlineStr">
        <is>
          <t>GÄVLEBORGS LÄN</t>
        </is>
      </c>
      <c r="E53" t="inlineStr">
        <is>
          <t>OVANÅKER</t>
        </is>
      </c>
      <c r="G53" t="n">
        <v>0.4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21725-2019</t>
        </is>
      </c>
      <c r="B54" s="1" t="n">
        <v>43581</v>
      </c>
      <c r="C54" s="1" t="n">
        <v>45838</v>
      </c>
      <c r="D54" t="inlineStr">
        <is>
          <t>GÄVLEBORGS LÄN</t>
        </is>
      </c>
      <c r="E54" t="inlineStr">
        <is>
          <t>OVANÅKER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22537-2019</t>
        </is>
      </c>
      <c r="B55" s="1" t="n">
        <v>43587</v>
      </c>
      <c r="C55" s="1" t="n">
        <v>45838</v>
      </c>
      <c r="D55" t="inlineStr">
        <is>
          <t>GÄVLEBORGS LÄN</t>
        </is>
      </c>
      <c r="E55" t="inlineStr">
        <is>
          <t>OVANÅKER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22969-2019</t>
        </is>
      </c>
      <c r="B56" s="1" t="n">
        <v>43591</v>
      </c>
      <c r="C56" s="1" t="n">
        <v>45838</v>
      </c>
      <c r="D56" t="inlineStr">
        <is>
          <t>GÄVLEBORGS LÄN</t>
        </is>
      </c>
      <c r="E56" t="inlineStr">
        <is>
          <t>OVANÅKER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22926-2019</t>
        </is>
      </c>
      <c r="B57" s="1" t="n">
        <v>43591</v>
      </c>
      <c r="C57" s="1" t="n">
        <v>45838</v>
      </c>
      <c r="D57" t="inlineStr">
        <is>
          <t>GÄVLEBORGS LÄN</t>
        </is>
      </c>
      <c r="E57" t="inlineStr">
        <is>
          <t>OVANÅKER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24734-2019</t>
        </is>
      </c>
      <c r="B58" s="1" t="n">
        <v>43601</v>
      </c>
      <c r="C58" s="1" t="n">
        <v>45838</v>
      </c>
      <c r="D58" t="inlineStr">
        <is>
          <t>GÄVLEBORGS LÄN</t>
        </is>
      </c>
      <c r="E58" t="inlineStr">
        <is>
          <t>OVANÅKER</t>
        </is>
      </c>
      <c r="G58" t="n">
        <v>10.6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24835-2019</t>
        </is>
      </c>
      <c r="B59" s="1" t="n">
        <v>43602</v>
      </c>
      <c r="C59" s="1" t="n">
        <v>45838</v>
      </c>
      <c r="D59" t="inlineStr">
        <is>
          <t>GÄVLEBORGS LÄN</t>
        </is>
      </c>
      <c r="E59" t="inlineStr">
        <is>
          <t>OVANÅKER</t>
        </is>
      </c>
      <c r="F59" t="inlineStr">
        <is>
          <t>Kyrkan</t>
        </is>
      </c>
      <c r="G59" t="n">
        <v>2.7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25430-2019</t>
        </is>
      </c>
      <c r="B60" s="1" t="n">
        <v>43606</v>
      </c>
      <c r="C60" s="1" t="n">
        <v>45838</v>
      </c>
      <c r="D60" t="inlineStr">
        <is>
          <t>GÄVLEBORGS LÄN</t>
        </is>
      </c>
      <c r="E60" t="inlineStr">
        <is>
          <t>OVANÅKER</t>
        </is>
      </c>
      <c r="F60" t="inlineStr">
        <is>
          <t>Bergvik skog öst AB</t>
        </is>
      </c>
      <c r="G60" t="n">
        <v>3.4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25631-2019</t>
        </is>
      </c>
      <c r="B61" s="1" t="n">
        <v>43607</v>
      </c>
      <c r="C61" s="1" t="n">
        <v>45838</v>
      </c>
      <c r="D61" t="inlineStr">
        <is>
          <t>GÄVLEBORGS LÄN</t>
        </is>
      </c>
      <c r="E61" t="inlineStr">
        <is>
          <t>OVANÅKER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25898-2019</t>
        </is>
      </c>
      <c r="B62" s="1" t="n">
        <v>43608</v>
      </c>
      <c r="C62" s="1" t="n">
        <v>45838</v>
      </c>
      <c r="D62" t="inlineStr">
        <is>
          <t>GÄVLEBORGS LÄN</t>
        </is>
      </c>
      <c r="E62" t="inlineStr">
        <is>
          <t>OVANÅKER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26158-2019</t>
        </is>
      </c>
      <c r="B63" s="1" t="n">
        <v>43609</v>
      </c>
      <c r="C63" s="1" t="n">
        <v>45838</v>
      </c>
      <c r="D63" t="inlineStr">
        <is>
          <t>GÄVLEBORGS LÄN</t>
        </is>
      </c>
      <c r="E63" t="inlineStr">
        <is>
          <t>OVANÅKER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26673-2019</t>
        </is>
      </c>
      <c r="B64" s="1" t="n">
        <v>43613</v>
      </c>
      <c r="C64" s="1" t="n">
        <v>45838</v>
      </c>
      <c r="D64" t="inlineStr">
        <is>
          <t>GÄVLEBORGS LÄN</t>
        </is>
      </c>
      <c r="E64" t="inlineStr">
        <is>
          <t>OVANÅKER</t>
        </is>
      </c>
      <c r="G64" t="n">
        <v>5.2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26997-2019</t>
        </is>
      </c>
      <c r="B65" s="1" t="n">
        <v>43614</v>
      </c>
      <c r="C65" s="1" t="n">
        <v>45838</v>
      </c>
      <c r="D65" t="inlineStr">
        <is>
          <t>GÄVLEBORGS LÄN</t>
        </is>
      </c>
      <c r="E65" t="inlineStr">
        <is>
          <t>OVANÅKER</t>
        </is>
      </c>
      <c r="F65" t="inlineStr">
        <is>
          <t>Bergvik skog väst AB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26995-2019</t>
        </is>
      </c>
      <c r="B66" s="1" t="n">
        <v>43614</v>
      </c>
      <c r="C66" s="1" t="n">
        <v>45838</v>
      </c>
      <c r="D66" t="inlineStr">
        <is>
          <t>GÄVLEBORGS LÄN</t>
        </is>
      </c>
      <c r="E66" t="inlineStr">
        <is>
          <t>OVANÅKER</t>
        </is>
      </c>
      <c r="F66" t="inlineStr">
        <is>
          <t>Bergvik skog väst AB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26983-2019</t>
        </is>
      </c>
      <c r="B67" s="1" t="n">
        <v>43614</v>
      </c>
      <c r="C67" s="1" t="n">
        <v>45838</v>
      </c>
      <c r="D67" t="inlineStr">
        <is>
          <t>GÄVLEBORGS LÄN</t>
        </is>
      </c>
      <c r="E67" t="inlineStr">
        <is>
          <t>OVANÅKER</t>
        </is>
      </c>
      <c r="F67" t="inlineStr">
        <is>
          <t>Bergvik skog väst AB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27405-2019</t>
        </is>
      </c>
      <c r="B68" s="1" t="n">
        <v>43616</v>
      </c>
      <c r="C68" s="1" t="n">
        <v>45838</v>
      </c>
      <c r="D68" t="inlineStr">
        <is>
          <t>GÄVLEBORGS LÄN</t>
        </is>
      </c>
      <c r="E68" t="inlineStr">
        <is>
          <t>OVANÅKER</t>
        </is>
      </c>
      <c r="F68" t="inlineStr">
        <is>
          <t>Bergvik skog väst AB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27301-2019</t>
        </is>
      </c>
      <c r="B69" s="1" t="n">
        <v>43616</v>
      </c>
      <c r="C69" s="1" t="n">
        <v>45838</v>
      </c>
      <c r="D69" t="inlineStr">
        <is>
          <t>GÄVLEBORGS LÄN</t>
        </is>
      </c>
      <c r="E69" t="inlineStr">
        <is>
          <t>OVANÅKER</t>
        </is>
      </c>
      <c r="F69" t="inlineStr">
        <is>
          <t>Bergvik skog väst AB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27403-2019</t>
        </is>
      </c>
      <c r="B70" s="1" t="n">
        <v>43616</v>
      </c>
      <c r="C70" s="1" t="n">
        <v>45838</v>
      </c>
      <c r="D70" t="inlineStr">
        <is>
          <t>GÄVLEBORGS LÄN</t>
        </is>
      </c>
      <c r="E70" t="inlineStr">
        <is>
          <t>OVANÅKER</t>
        </is>
      </c>
      <c r="F70" t="inlineStr">
        <is>
          <t>Bergvik skog väst AB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27314-2019</t>
        </is>
      </c>
      <c r="B71" s="1" t="n">
        <v>43616</v>
      </c>
      <c r="C71" s="1" t="n">
        <v>45838</v>
      </c>
      <c r="D71" t="inlineStr">
        <is>
          <t>GÄVLEBORGS LÄN</t>
        </is>
      </c>
      <c r="E71" t="inlineStr">
        <is>
          <t>OVANÅKER</t>
        </is>
      </c>
      <c r="F71" t="inlineStr">
        <is>
          <t>Bergvik skog väst AB</t>
        </is>
      </c>
      <c r="G71" t="n">
        <v>11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27305-2019</t>
        </is>
      </c>
      <c r="B72" s="1" t="n">
        <v>43616</v>
      </c>
      <c r="C72" s="1" t="n">
        <v>45838</v>
      </c>
      <c r="D72" t="inlineStr">
        <is>
          <t>GÄVLEBORGS LÄN</t>
        </is>
      </c>
      <c r="E72" t="inlineStr">
        <is>
          <t>OVANÅKER</t>
        </is>
      </c>
      <c r="F72" t="inlineStr">
        <is>
          <t>Bergvik skog väst AB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27295-2019</t>
        </is>
      </c>
      <c r="B73" s="1" t="n">
        <v>43616</v>
      </c>
      <c r="C73" s="1" t="n">
        <v>45838</v>
      </c>
      <c r="D73" t="inlineStr">
        <is>
          <t>GÄVLEBORGS LÄN</t>
        </is>
      </c>
      <c r="E73" t="inlineStr">
        <is>
          <t>OVANÅKER</t>
        </is>
      </c>
      <c r="F73" t="inlineStr">
        <is>
          <t>Bergvik skog väst AB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27580-2019</t>
        </is>
      </c>
      <c r="B74" s="1" t="n">
        <v>43619</v>
      </c>
      <c r="C74" s="1" t="n">
        <v>45838</v>
      </c>
      <c r="D74" t="inlineStr">
        <is>
          <t>GÄVLEBORGS LÄN</t>
        </is>
      </c>
      <c r="E74" t="inlineStr">
        <is>
          <t>OVANÅKER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27524-2019</t>
        </is>
      </c>
      <c r="B75" s="1" t="n">
        <v>43619</v>
      </c>
      <c r="C75" s="1" t="n">
        <v>45838</v>
      </c>
      <c r="D75" t="inlineStr">
        <is>
          <t>GÄVLEBORGS LÄN</t>
        </is>
      </c>
      <c r="E75" t="inlineStr">
        <is>
          <t>OVANÅKER</t>
        </is>
      </c>
      <c r="F75" t="inlineStr">
        <is>
          <t>Bergvik skog väst AB</t>
        </is>
      </c>
      <c r="G75" t="n">
        <v>2.7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28000-2019</t>
        </is>
      </c>
      <c r="B76" s="1" t="n">
        <v>43621</v>
      </c>
      <c r="C76" s="1" t="n">
        <v>45838</v>
      </c>
      <c r="D76" t="inlineStr">
        <is>
          <t>GÄVLEBORGS LÄN</t>
        </is>
      </c>
      <c r="E76" t="inlineStr">
        <is>
          <t>OVANÅKER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28034-2019</t>
        </is>
      </c>
      <c r="B77" s="1" t="n">
        <v>43621</v>
      </c>
      <c r="C77" s="1" t="n">
        <v>45838</v>
      </c>
      <c r="D77" t="inlineStr">
        <is>
          <t>GÄVLEBORGS LÄN</t>
        </is>
      </c>
      <c r="E77" t="inlineStr">
        <is>
          <t>OVANÅKER</t>
        </is>
      </c>
      <c r="G77" t="n">
        <v>4.6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29894-2019</t>
        </is>
      </c>
      <c r="B78" s="1" t="n">
        <v>43629</v>
      </c>
      <c r="C78" s="1" t="n">
        <v>45838</v>
      </c>
      <c r="D78" t="inlineStr">
        <is>
          <t>GÄVLEBORGS LÄN</t>
        </is>
      </c>
      <c r="E78" t="inlineStr">
        <is>
          <t>OVANÅKER</t>
        </is>
      </c>
      <c r="G78" t="n">
        <v>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29887-2019</t>
        </is>
      </c>
      <c r="B79" s="1" t="n">
        <v>43629</v>
      </c>
      <c r="C79" s="1" t="n">
        <v>45838</v>
      </c>
      <c r="D79" t="inlineStr">
        <is>
          <t>GÄVLEBORGS LÄN</t>
        </is>
      </c>
      <c r="E79" t="inlineStr">
        <is>
          <t>OVANÅKER</t>
        </is>
      </c>
      <c r="G79" t="n">
        <v>5.4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31077-2019</t>
        </is>
      </c>
      <c r="B80" s="1" t="n">
        <v>43640</v>
      </c>
      <c r="C80" s="1" t="n">
        <v>45838</v>
      </c>
      <c r="D80" t="inlineStr">
        <is>
          <t>GÄVLEBORGS LÄN</t>
        </is>
      </c>
      <c r="E80" t="inlineStr">
        <is>
          <t>OVANÅKER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31244-2019</t>
        </is>
      </c>
      <c r="B81" s="1" t="n">
        <v>43640</v>
      </c>
      <c r="C81" s="1" t="n">
        <v>45838</v>
      </c>
      <c r="D81" t="inlineStr">
        <is>
          <t>GÄVLEBORGS LÄN</t>
        </is>
      </c>
      <c r="E81" t="inlineStr">
        <is>
          <t>OVANÅKER</t>
        </is>
      </c>
      <c r="G81" t="n">
        <v>3.1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31372-2019</t>
        </is>
      </c>
      <c r="B82" s="1" t="n">
        <v>43641</v>
      </c>
      <c r="C82" s="1" t="n">
        <v>45838</v>
      </c>
      <c r="D82" t="inlineStr">
        <is>
          <t>GÄVLEBORGS LÄN</t>
        </is>
      </c>
      <c r="E82" t="inlineStr">
        <is>
          <t>OVANÅKER</t>
        </is>
      </c>
      <c r="G82" t="n">
        <v>2.9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32000-2019</t>
        </is>
      </c>
      <c r="B83" s="1" t="n">
        <v>43643</v>
      </c>
      <c r="C83" s="1" t="n">
        <v>45838</v>
      </c>
      <c r="D83" t="inlineStr">
        <is>
          <t>GÄVLEBORGS LÄN</t>
        </is>
      </c>
      <c r="E83" t="inlineStr">
        <is>
          <t>OVANÅKER</t>
        </is>
      </c>
      <c r="G83" t="n">
        <v>5.9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36533-2019</t>
        </is>
      </c>
      <c r="B84" s="1" t="n">
        <v>43671</v>
      </c>
      <c r="C84" s="1" t="n">
        <v>45838</v>
      </c>
      <c r="D84" t="inlineStr">
        <is>
          <t>GÄVLEBORGS LÄN</t>
        </is>
      </c>
      <c r="E84" t="inlineStr">
        <is>
          <t>OVANÅKER</t>
        </is>
      </c>
      <c r="F84" t="inlineStr">
        <is>
          <t>Bergvik skog väst AB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37469-2019</t>
        </is>
      </c>
      <c r="B85" s="1" t="n">
        <v>43679</v>
      </c>
      <c r="C85" s="1" t="n">
        <v>45838</v>
      </c>
      <c r="D85" t="inlineStr">
        <is>
          <t>GÄVLEBORGS LÄN</t>
        </is>
      </c>
      <c r="E85" t="inlineStr">
        <is>
          <t>OVANÅKER</t>
        </is>
      </c>
      <c r="F85" t="inlineStr">
        <is>
          <t>Holmen skog AB</t>
        </is>
      </c>
      <c r="G85" t="n">
        <v>7.8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37506-2019</t>
        </is>
      </c>
      <c r="B86" s="1" t="n">
        <v>43679</v>
      </c>
      <c r="C86" s="1" t="n">
        <v>45838</v>
      </c>
      <c r="D86" t="inlineStr">
        <is>
          <t>GÄVLEBORGS LÄN</t>
        </is>
      </c>
      <c r="E86" t="inlineStr">
        <is>
          <t>OVANÅKER</t>
        </is>
      </c>
      <c r="F86" t="inlineStr">
        <is>
          <t>Holmen skog AB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37854-2019</t>
        </is>
      </c>
      <c r="B87" s="1" t="n">
        <v>43682</v>
      </c>
      <c r="C87" s="1" t="n">
        <v>45838</v>
      </c>
      <c r="D87" t="inlineStr">
        <is>
          <t>GÄVLEBORGS LÄN</t>
        </is>
      </c>
      <c r="E87" t="inlineStr">
        <is>
          <t>OVANÅKER</t>
        </is>
      </c>
      <c r="F87" t="inlineStr">
        <is>
          <t>Bergvik skog öst AB</t>
        </is>
      </c>
      <c r="G87" t="n">
        <v>14.7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38619-2019</t>
        </is>
      </c>
      <c r="B88" s="1" t="n">
        <v>43686</v>
      </c>
      <c r="C88" s="1" t="n">
        <v>45838</v>
      </c>
      <c r="D88" t="inlineStr">
        <is>
          <t>GÄVLEBORGS LÄN</t>
        </is>
      </c>
      <c r="E88" t="inlineStr">
        <is>
          <t>OVANÅKER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38892-2019</t>
        </is>
      </c>
      <c r="B89" s="1" t="n">
        <v>43689</v>
      </c>
      <c r="C89" s="1" t="n">
        <v>45838</v>
      </c>
      <c r="D89" t="inlineStr">
        <is>
          <t>GÄVLEBORGS LÄN</t>
        </is>
      </c>
      <c r="E89" t="inlineStr">
        <is>
          <t>OVANÅKER</t>
        </is>
      </c>
      <c r="G89" t="n">
        <v>5.5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38891-2019</t>
        </is>
      </c>
      <c r="B90" s="1" t="n">
        <v>43689</v>
      </c>
      <c r="C90" s="1" t="n">
        <v>45838</v>
      </c>
      <c r="D90" t="inlineStr">
        <is>
          <t>GÄVLEBORGS LÄN</t>
        </is>
      </c>
      <c r="E90" t="inlineStr">
        <is>
          <t>OVANÅKER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39223-2019</t>
        </is>
      </c>
      <c r="B91" s="1" t="n">
        <v>43690</v>
      </c>
      <c r="C91" s="1" t="n">
        <v>45838</v>
      </c>
      <c r="D91" t="inlineStr">
        <is>
          <t>GÄVLEBORGS LÄN</t>
        </is>
      </c>
      <c r="E91" t="inlineStr">
        <is>
          <t>OVANÅKER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39812-2019</t>
        </is>
      </c>
      <c r="B92" s="1" t="n">
        <v>43692</v>
      </c>
      <c r="C92" s="1" t="n">
        <v>45838</v>
      </c>
      <c r="D92" t="inlineStr">
        <is>
          <t>GÄVLEBORGS LÄN</t>
        </is>
      </c>
      <c r="E92" t="inlineStr">
        <is>
          <t>OVANÅKER</t>
        </is>
      </c>
      <c r="G92" t="n">
        <v>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39945-2019</t>
        </is>
      </c>
      <c r="B93" s="1" t="n">
        <v>43692</v>
      </c>
      <c r="C93" s="1" t="n">
        <v>45838</v>
      </c>
      <c r="D93" t="inlineStr">
        <is>
          <t>GÄVLEBORGS LÄN</t>
        </is>
      </c>
      <c r="E93" t="inlineStr">
        <is>
          <t>OVANÅKER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40128-2019</t>
        </is>
      </c>
      <c r="B94" s="1" t="n">
        <v>43693</v>
      </c>
      <c r="C94" s="1" t="n">
        <v>45838</v>
      </c>
      <c r="D94" t="inlineStr">
        <is>
          <t>GÄVLEBORGS LÄN</t>
        </is>
      </c>
      <c r="E94" t="inlineStr">
        <is>
          <t>OVANÅKER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40830-2019</t>
        </is>
      </c>
      <c r="B95" s="1" t="n">
        <v>43697</v>
      </c>
      <c r="C95" s="1" t="n">
        <v>45838</v>
      </c>
      <c r="D95" t="inlineStr">
        <is>
          <t>GÄVLEBORGS LÄN</t>
        </is>
      </c>
      <c r="E95" t="inlineStr">
        <is>
          <t>OVANÅKER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41509-2019</t>
        </is>
      </c>
      <c r="B96" s="1" t="n">
        <v>43699</v>
      </c>
      <c r="C96" s="1" t="n">
        <v>45838</v>
      </c>
      <c r="D96" t="inlineStr">
        <is>
          <t>GÄVLEBORGS LÄN</t>
        </is>
      </c>
      <c r="E96" t="inlineStr">
        <is>
          <t>OVANÅKER</t>
        </is>
      </c>
      <c r="G96" t="n">
        <v>4.8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41978-2019</t>
        </is>
      </c>
      <c r="B97" s="1" t="n">
        <v>43700</v>
      </c>
      <c r="C97" s="1" t="n">
        <v>45838</v>
      </c>
      <c r="D97" t="inlineStr">
        <is>
          <t>GÄVLEBORGS LÄN</t>
        </is>
      </c>
      <c r="E97" t="inlineStr">
        <is>
          <t>OVANÅKER</t>
        </is>
      </c>
      <c r="G97" t="n">
        <v>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42454-2019</t>
        </is>
      </c>
      <c r="B98" s="1" t="n">
        <v>43704</v>
      </c>
      <c r="C98" s="1" t="n">
        <v>45838</v>
      </c>
      <c r="D98" t="inlineStr">
        <is>
          <t>GÄVLEBORGS LÄN</t>
        </is>
      </c>
      <c r="E98" t="inlineStr">
        <is>
          <t>OVANÅKER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42995-2019</t>
        </is>
      </c>
      <c r="B99" s="1" t="n">
        <v>43705</v>
      </c>
      <c r="C99" s="1" t="n">
        <v>45838</v>
      </c>
      <c r="D99" t="inlineStr">
        <is>
          <t>GÄVLEBORGS LÄN</t>
        </is>
      </c>
      <c r="E99" t="inlineStr">
        <is>
          <t>OVANÅKER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44999-2019</t>
        </is>
      </c>
      <c r="B100" s="1" t="n">
        <v>43713</v>
      </c>
      <c r="C100" s="1" t="n">
        <v>45838</v>
      </c>
      <c r="D100" t="inlineStr">
        <is>
          <t>GÄVLEBORGS LÄN</t>
        </is>
      </c>
      <c r="E100" t="inlineStr">
        <is>
          <t>OVANÅKER</t>
        </is>
      </c>
      <c r="F100" t="inlineStr">
        <is>
          <t>Sveaskog</t>
        </is>
      </c>
      <c r="G100" t="n">
        <v>3.2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46019-2019</t>
        </is>
      </c>
      <c r="B101" s="1" t="n">
        <v>43718</v>
      </c>
      <c r="C101" s="1" t="n">
        <v>45838</v>
      </c>
      <c r="D101" t="inlineStr">
        <is>
          <t>GÄVLEBORGS LÄN</t>
        </is>
      </c>
      <c r="E101" t="inlineStr">
        <is>
          <t>OVANÅKER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47843-2019</t>
        </is>
      </c>
      <c r="B102" s="1" t="n">
        <v>43725</v>
      </c>
      <c r="C102" s="1" t="n">
        <v>45838</v>
      </c>
      <c r="D102" t="inlineStr">
        <is>
          <t>GÄVLEBORGS LÄN</t>
        </is>
      </c>
      <c r="E102" t="inlineStr">
        <is>
          <t>OVANÅKER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47929-2019</t>
        </is>
      </c>
      <c r="B103" s="1" t="n">
        <v>43725</v>
      </c>
      <c r="C103" s="1" t="n">
        <v>45838</v>
      </c>
      <c r="D103" t="inlineStr">
        <is>
          <t>GÄVLEBORGS LÄN</t>
        </is>
      </c>
      <c r="E103" t="inlineStr">
        <is>
          <t>OVANÅKER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48003-2019</t>
        </is>
      </c>
      <c r="B104" s="1" t="n">
        <v>43725</v>
      </c>
      <c r="C104" s="1" t="n">
        <v>45838</v>
      </c>
      <c r="D104" t="inlineStr">
        <is>
          <t>GÄVLEBORGS LÄN</t>
        </is>
      </c>
      <c r="E104" t="inlineStr">
        <is>
          <t>OVANÅKER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48178-2019</t>
        </is>
      </c>
      <c r="B105" s="1" t="n">
        <v>43726</v>
      </c>
      <c r="C105" s="1" t="n">
        <v>45838</v>
      </c>
      <c r="D105" t="inlineStr">
        <is>
          <t>GÄVLEBORGS LÄN</t>
        </is>
      </c>
      <c r="E105" t="inlineStr">
        <is>
          <t>OVANÅKER</t>
        </is>
      </c>
      <c r="G105" t="n">
        <v>9.5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48596-2019</t>
        </is>
      </c>
      <c r="B106" s="1" t="n">
        <v>43727</v>
      </c>
      <c r="C106" s="1" t="n">
        <v>45838</v>
      </c>
      <c r="D106" t="inlineStr">
        <is>
          <t>GÄVLEBORGS LÄN</t>
        </is>
      </c>
      <c r="E106" t="inlineStr">
        <is>
          <t>OVANÅKER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48736-2019</t>
        </is>
      </c>
      <c r="B107" s="1" t="n">
        <v>43728</v>
      </c>
      <c r="C107" s="1" t="n">
        <v>45838</v>
      </c>
      <c r="D107" t="inlineStr">
        <is>
          <t>GÄVLEBORGS LÄN</t>
        </is>
      </c>
      <c r="E107" t="inlineStr">
        <is>
          <t>OVANÅKER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48931-2019</t>
        </is>
      </c>
      <c r="B108" s="1" t="n">
        <v>43728</v>
      </c>
      <c r="C108" s="1" t="n">
        <v>45838</v>
      </c>
      <c r="D108" t="inlineStr">
        <is>
          <t>GÄVLEBORGS LÄN</t>
        </is>
      </c>
      <c r="E108" t="inlineStr">
        <is>
          <t>OVANÅKER</t>
        </is>
      </c>
      <c r="G108" t="n">
        <v>6.9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49156-2019</t>
        </is>
      </c>
      <c r="B109" s="1" t="n">
        <v>43731</v>
      </c>
      <c r="C109" s="1" t="n">
        <v>45838</v>
      </c>
      <c r="D109" t="inlineStr">
        <is>
          <t>GÄVLEBORGS LÄN</t>
        </is>
      </c>
      <c r="E109" t="inlineStr">
        <is>
          <t>OVANÅKER</t>
        </is>
      </c>
      <c r="G109" t="n">
        <v>3.4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49127-2019</t>
        </is>
      </c>
      <c r="B110" s="1" t="n">
        <v>43731</v>
      </c>
      <c r="C110" s="1" t="n">
        <v>45838</v>
      </c>
      <c r="D110" t="inlineStr">
        <is>
          <t>GÄVLEBORGS LÄN</t>
        </is>
      </c>
      <c r="E110" t="inlineStr">
        <is>
          <t>OVANÅKER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49103-2019</t>
        </is>
      </c>
      <c r="B111" s="1" t="n">
        <v>43731</v>
      </c>
      <c r="C111" s="1" t="n">
        <v>45838</v>
      </c>
      <c r="D111" t="inlineStr">
        <is>
          <t>GÄVLEBORGS LÄN</t>
        </is>
      </c>
      <c r="E111" t="inlineStr">
        <is>
          <t>OVANÅKER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49248-2019</t>
        </is>
      </c>
      <c r="B112" s="1" t="n">
        <v>43731</v>
      </c>
      <c r="C112" s="1" t="n">
        <v>45838</v>
      </c>
      <c r="D112" t="inlineStr">
        <is>
          <t>GÄVLEBORGS LÄN</t>
        </is>
      </c>
      <c r="E112" t="inlineStr">
        <is>
          <t>OVANÅKER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49135-2019</t>
        </is>
      </c>
      <c r="B113" s="1" t="n">
        <v>43731</v>
      </c>
      <c r="C113" s="1" t="n">
        <v>45838</v>
      </c>
      <c r="D113" t="inlineStr">
        <is>
          <t>GÄVLEBORGS LÄN</t>
        </is>
      </c>
      <c r="E113" t="inlineStr">
        <is>
          <t>OVANÅKER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49241-2019</t>
        </is>
      </c>
      <c r="B114" s="1" t="n">
        <v>43731</v>
      </c>
      <c r="C114" s="1" t="n">
        <v>45838</v>
      </c>
      <c r="D114" t="inlineStr">
        <is>
          <t>GÄVLEBORGS LÄN</t>
        </is>
      </c>
      <c r="E114" t="inlineStr">
        <is>
          <t>OVANÅKER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50444-2019</t>
        </is>
      </c>
      <c r="B115" s="1" t="n">
        <v>43735</v>
      </c>
      <c r="C115" s="1" t="n">
        <v>45838</v>
      </c>
      <c r="D115" t="inlineStr">
        <is>
          <t>GÄVLEBORGS LÄN</t>
        </is>
      </c>
      <c r="E115" t="inlineStr">
        <is>
          <t>OVANÅKER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51286-2019</t>
        </is>
      </c>
      <c r="B116" s="1" t="n">
        <v>43739</v>
      </c>
      <c r="C116" s="1" t="n">
        <v>45838</v>
      </c>
      <c r="D116" t="inlineStr">
        <is>
          <t>GÄVLEBORGS LÄN</t>
        </is>
      </c>
      <c r="E116" t="inlineStr">
        <is>
          <t>OVANÅKER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53327-2019</t>
        </is>
      </c>
      <c r="B117" s="1" t="n">
        <v>43740</v>
      </c>
      <c r="C117" s="1" t="n">
        <v>45838</v>
      </c>
      <c r="D117" t="inlineStr">
        <is>
          <t>GÄVLEBORGS LÄN</t>
        </is>
      </c>
      <c r="E117" t="inlineStr">
        <is>
          <t>OVANÅKER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52942-2019</t>
        </is>
      </c>
      <c r="B118" s="1" t="n">
        <v>43747</v>
      </c>
      <c r="C118" s="1" t="n">
        <v>45838</v>
      </c>
      <c r="D118" t="inlineStr">
        <is>
          <t>GÄVLEBORGS LÄN</t>
        </is>
      </c>
      <c r="E118" t="inlineStr">
        <is>
          <t>OVANÅKER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53249-2019</t>
        </is>
      </c>
      <c r="B119" s="1" t="n">
        <v>43748</v>
      </c>
      <c r="C119" s="1" t="n">
        <v>45838</v>
      </c>
      <c r="D119" t="inlineStr">
        <is>
          <t>GÄVLEBORGS LÄN</t>
        </is>
      </c>
      <c r="E119" t="inlineStr">
        <is>
          <t>OVANÅKER</t>
        </is>
      </c>
      <c r="G119" t="n">
        <v>0.2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53646-2019</t>
        </is>
      </c>
      <c r="B120" s="1" t="n">
        <v>43749</v>
      </c>
      <c r="C120" s="1" t="n">
        <v>45838</v>
      </c>
      <c r="D120" t="inlineStr">
        <is>
          <t>GÄVLEBORGS LÄN</t>
        </is>
      </c>
      <c r="E120" t="inlineStr">
        <is>
          <t>OVANÅKER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54812-2019</t>
        </is>
      </c>
      <c r="B121" s="1" t="n">
        <v>43755</v>
      </c>
      <c r="C121" s="1" t="n">
        <v>45838</v>
      </c>
      <c r="D121" t="inlineStr">
        <is>
          <t>GÄVLEBORGS LÄN</t>
        </is>
      </c>
      <c r="E121" t="inlineStr">
        <is>
          <t>OVANÅKER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54833-2019</t>
        </is>
      </c>
      <c r="B122" s="1" t="n">
        <v>43755</v>
      </c>
      <c r="C122" s="1" t="n">
        <v>45838</v>
      </c>
      <c r="D122" t="inlineStr">
        <is>
          <t>GÄVLEBORGS LÄN</t>
        </is>
      </c>
      <c r="E122" t="inlineStr">
        <is>
          <t>OVANÅKER</t>
        </is>
      </c>
      <c r="G122" t="n">
        <v>4.6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56667-2019</t>
        </is>
      </c>
      <c r="B123" s="1" t="n">
        <v>43763</v>
      </c>
      <c r="C123" s="1" t="n">
        <v>45838</v>
      </c>
      <c r="D123" t="inlineStr">
        <is>
          <t>GÄVLEBORGS LÄN</t>
        </is>
      </c>
      <c r="E123" t="inlineStr">
        <is>
          <t>OVANÅKER</t>
        </is>
      </c>
      <c r="G123" t="n">
        <v>5.5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57135-2019</t>
        </is>
      </c>
      <c r="B124" s="1" t="n">
        <v>43766</v>
      </c>
      <c r="C124" s="1" t="n">
        <v>45838</v>
      </c>
      <c r="D124" t="inlineStr">
        <is>
          <t>GÄVLEBORGS LÄN</t>
        </is>
      </c>
      <c r="E124" t="inlineStr">
        <is>
          <t>OVANÅKER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58808-2019</t>
        </is>
      </c>
      <c r="B125" s="1" t="n">
        <v>43774</v>
      </c>
      <c r="C125" s="1" t="n">
        <v>45838</v>
      </c>
      <c r="D125" t="inlineStr">
        <is>
          <t>GÄVLEBORGS LÄN</t>
        </is>
      </c>
      <c r="E125" t="inlineStr">
        <is>
          <t>OVANÅKER</t>
        </is>
      </c>
      <c r="G125" t="n">
        <v>2.5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60336-2019</t>
        </is>
      </c>
      <c r="B126" s="1" t="n">
        <v>43780</v>
      </c>
      <c r="C126" s="1" t="n">
        <v>45838</v>
      </c>
      <c r="D126" t="inlineStr">
        <is>
          <t>GÄVLEBORGS LÄN</t>
        </is>
      </c>
      <c r="E126" t="inlineStr">
        <is>
          <t>OVANÅKER</t>
        </is>
      </c>
      <c r="G126" t="n">
        <v>4.5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60344-2019</t>
        </is>
      </c>
      <c r="B127" s="1" t="n">
        <v>43780</v>
      </c>
      <c r="C127" s="1" t="n">
        <v>45838</v>
      </c>
      <c r="D127" t="inlineStr">
        <is>
          <t>GÄVLEBORGS LÄN</t>
        </is>
      </c>
      <c r="E127" t="inlineStr">
        <is>
          <t>OVANÅKER</t>
        </is>
      </c>
      <c r="G127" t="n">
        <v>12.2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61070-2019</t>
        </is>
      </c>
      <c r="B128" s="1" t="n">
        <v>43782</v>
      </c>
      <c r="C128" s="1" t="n">
        <v>45838</v>
      </c>
      <c r="D128" t="inlineStr">
        <is>
          <t>GÄVLEBORGS LÄN</t>
        </is>
      </c>
      <c r="E128" t="inlineStr">
        <is>
          <t>OVANÅKER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62044-2019</t>
        </is>
      </c>
      <c r="B129" s="1" t="n">
        <v>43787</v>
      </c>
      <c r="C129" s="1" t="n">
        <v>45838</v>
      </c>
      <c r="D129" t="inlineStr">
        <is>
          <t>GÄVLEBORGS LÄN</t>
        </is>
      </c>
      <c r="E129" t="inlineStr">
        <is>
          <t>OVANÅKER</t>
        </is>
      </c>
      <c r="G129" t="n">
        <v>3.6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62211-2019</t>
        </is>
      </c>
      <c r="B130" s="1" t="n">
        <v>43788</v>
      </c>
      <c r="C130" s="1" t="n">
        <v>45838</v>
      </c>
      <c r="D130" t="inlineStr">
        <is>
          <t>GÄVLEBORGS LÄN</t>
        </is>
      </c>
      <c r="E130" t="inlineStr">
        <is>
          <t>OVANÅKER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62348-2019</t>
        </is>
      </c>
      <c r="B131" s="1" t="n">
        <v>43788</v>
      </c>
      <c r="C131" s="1" t="n">
        <v>45838</v>
      </c>
      <c r="D131" t="inlineStr">
        <is>
          <t>GÄVLEBORGS LÄN</t>
        </is>
      </c>
      <c r="E131" t="inlineStr">
        <is>
          <t>OVANÅKER</t>
        </is>
      </c>
      <c r="G131" t="n">
        <v>12.1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62772-2019</t>
        </is>
      </c>
      <c r="B132" s="1" t="n">
        <v>43790</v>
      </c>
      <c r="C132" s="1" t="n">
        <v>45838</v>
      </c>
      <c r="D132" t="inlineStr">
        <is>
          <t>GÄVLEBORGS LÄN</t>
        </is>
      </c>
      <c r="E132" t="inlineStr">
        <is>
          <t>OVANÅKER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62759-2019</t>
        </is>
      </c>
      <c r="B133" s="1" t="n">
        <v>43790</v>
      </c>
      <c r="C133" s="1" t="n">
        <v>45838</v>
      </c>
      <c r="D133" t="inlineStr">
        <is>
          <t>GÄVLEBORGS LÄN</t>
        </is>
      </c>
      <c r="E133" t="inlineStr">
        <is>
          <t>OVANÅKER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62767-2019</t>
        </is>
      </c>
      <c r="B134" s="1" t="n">
        <v>43790</v>
      </c>
      <c r="C134" s="1" t="n">
        <v>45838</v>
      </c>
      <c r="D134" t="inlineStr">
        <is>
          <t>GÄVLEBORGS LÄN</t>
        </is>
      </c>
      <c r="E134" t="inlineStr">
        <is>
          <t>OVANÅKER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62760-2019</t>
        </is>
      </c>
      <c r="B135" s="1" t="n">
        <v>43790</v>
      </c>
      <c r="C135" s="1" t="n">
        <v>45838</v>
      </c>
      <c r="D135" t="inlineStr">
        <is>
          <t>GÄVLEBORGS LÄN</t>
        </is>
      </c>
      <c r="E135" t="inlineStr">
        <is>
          <t>OVANÅKER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62753-2019</t>
        </is>
      </c>
      <c r="B136" s="1" t="n">
        <v>43790</v>
      </c>
      <c r="C136" s="1" t="n">
        <v>45838</v>
      </c>
      <c r="D136" t="inlineStr">
        <is>
          <t>GÄVLEBORGS LÄN</t>
        </is>
      </c>
      <c r="E136" t="inlineStr">
        <is>
          <t>OVANÅKER</t>
        </is>
      </c>
      <c r="G136" t="n">
        <v>5.1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63917-2019</t>
        </is>
      </c>
      <c r="B137" s="1" t="n">
        <v>43796</v>
      </c>
      <c r="C137" s="1" t="n">
        <v>45838</v>
      </c>
      <c r="D137" t="inlineStr">
        <is>
          <t>GÄVLEBORGS LÄN</t>
        </is>
      </c>
      <c r="E137" t="inlineStr">
        <is>
          <t>OVANÅKER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64176-2019</t>
        </is>
      </c>
      <c r="B138" s="1" t="n">
        <v>43797</v>
      </c>
      <c r="C138" s="1" t="n">
        <v>45838</v>
      </c>
      <c r="D138" t="inlineStr">
        <is>
          <t>GÄVLEBORGS LÄN</t>
        </is>
      </c>
      <c r="E138" t="inlineStr">
        <is>
          <t>OVANÅKER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65166-2019</t>
        </is>
      </c>
      <c r="B139" s="1" t="n">
        <v>43802</v>
      </c>
      <c r="C139" s="1" t="n">
        <v>45838</v>
      </c>
      <c r="D139" t="inlineStr">
        <is>
          <t>GÄVLEBORGS LÄN</t>
        </is>
      </c>
      <c r="E139" t="inlineStr">
        <is>
          <t>OVANÅKER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66590-2019</t>
        </is>
      </c>
      <c r="B140" s="1" t="n">
        <v>43809</v>
      </c>
      <c r="C140" s="1" t="n">
        <v>45838</v>
      </c>
      <c r="D140" t="inlineStr">
        <is>
          <t>GÄVLEBORGS LÄN</t>
        </is>
      </c>
      <c r="E140" t="inlineStr">
        <is>
          <t>OVANÅKER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67304-2019</t>
        </is>
      </c>
      <c r="B141" s="1" t="n">
        <v>43812</v>
      </c>
      <c r="C141" s="1" t="n">
        <v>45838</v>
      </c>
      <c r="D141" t="inlineStr">
        <is>
          <t>GÄVLEBORGS LÄN</t>
        </is>
      </c>
      <c r="E141" t="inlineStr">
        <is>
          <t>OVANÅKER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68116-2019</t>
        </is>
      </c>
      <c r="B142" s="1" t="n">
        <v>43817</v>
      </c>
      <c r="C142" s="1" t="n">
        <v>45838</v>
      </c>
      <c r="D142" t="inlineStr">
        <is>
          <t>GÄVLEBORGS LÄN</t>
        </is>
      </c>
      <c r="E142" t="inlineStr">
        <is>
          <t>OVANÅKER</t>
        </is>
      </c>
      <c r="G142" t="n">
        <v>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68455-2019</t>
        </is>
      </c>
      <c r="B143" s="1" t="n">
        <v>43818</v>
      </c>
      <c r="C143" s="1" t="n">
        <v>45838</v>
      </c>
      <c r="D143" t="inlineStr">
        <is>
          <t>GÄVLEBORGS LÄN</t>
        </is>
      </c>
      <c r="E143" t="inlineStr">
        <is>
          <t>OVANÅKER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1008-2020</t>
        </is>
      </c>
      <c r="B144" s="1" t="n">
        <v>43839</v>
      </c>
      <c r="C144" s="1" t="n">
        <v>45838</v>
      </c>
      <c r="D144" t="inlineStr">
        <is>
          <t>GÄVLEBORGS LÄN</t>
        </is>
      </c>
      <c r="E144" t="inlineStr">
        <is>
          <t>OVANÅKER</t>
        </is>
      </c>
      <c r="G144" t="n">
        <v>2.1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2282-2020</t>
        </is>
      </c>
      <c r="B145" s="1" t="n">
        <v>43846</v>
      </c>
      <c r="C145" s="1" t="n">
        <v>45838</v>
      </c>
      <c r="D145" t="inlineStr">
        <is>
          <t>GÄVLEBORGS LÄN</t>
        </is>
      </c>
      <c r="E145" t="inlineStr">
        <is>
          <t>OVANÅKER</t>
        </is>
      </c>
      <c r="F145" t="inlineStr">
        <is>
          <t>Bergvik skog väst AB</t>
        </is>
      </c>
      <c r="G145" t="n">
        <v>2.6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2270-2020</t>
        </is>
      </c>
      <c r="B146" s="1" t="n">
        <v>43846</v>
      </c>
      <c r="C146" s="1" t="n">
        <v>45838</v>
      </c>
      <c r="D146" t="inlineStr">
        <is>
          <t>GÄVLEBORGS LÄN</t>
        </is>
      </c>
      <c r="E146" t="inlineStr">
        <is>
          <t>OVANÅKER</t>
        </is>
      </c>
      <c r="F146" t="inlineStr">
        <is>
          <t>Bergvik skog väst AB</t>
        </is>
      </c>
      <c r="G146" t="n">
        <v>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2286-2020</t>
        </is>
      </c>
      <c r="B147" s="1" t="n">
        <v>43846</v>
      </c>
      <c r="C147" s="1" t="n">
        <v>45838</v>
      </c>
      <c r="D147" t="inlineStr">
        <is>
          <t>GÄVLEBORGS LÄN</t>
        </is>
      </c>
      <c r="E147" t="inlineStr">
        <is>
          <t>OVANÅKER</t>
        </is>
      </c>
      <c r="F147" t="inlineStr">
        <is>
          <t>Bergvik skog väst AB</t>
        </is>
      </c>
      <c r="G147" t="n">
        <v>2.9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2274-2020</t>
        </is>
      </c>
      <c r="B148" s="1" t="n">
        <v>43846</v>
      </c>
      <c r="C148" s="1" t="n">
        <v>45838</v>
      </c>
      <c r="D148" t="inlineStr">
        <is>
          <t>GÄVLEBORGS LÄN</t>
        </is>
      </c>
      <c r="E148" t="inlineStr">
        <is>
          <t>OVANÅKER</t>
        </is>
      </c>
      <c r="F148" t="inlineStr">
        <is>
          <t>Bergvik skog väst AB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2273-2020</t>
        </is>
      </c>
      <c r="B149" s="1" t="n">
        <v>43846</v>
      </c>
      <c r="C149" s="1" t="n">
        <v>45838</v>
      </c>
      <c r="D149" t="inlineStr">
        <is>
          <t>GÄVLEBORGS LÄN</t>
        </is>
      </c>
      <c r="E149" t="inlineStr">
        <is>
          <t>OVANÅKER</t>
        </is>
      </c>
      <c r="F149" t="inlineStr">
        <is>
          <t>Bergvik skog väst AB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2607-2020</t>
        </is>
      </c>
      <c r="B150" s="1" t="n">
        <v>43847</v>
      </c>
      <c r="C150" s="1" t="n">
        <v>45838</v>
      </c>
      <c r="D150" t="inlineStr">
        <is>
          <t>GÄVLEBORGS LÄN</t>
        </is>
      </c>
      <c r="E150" t="inlineStr">
        <is>
          <t>OVANÅKER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2870-2020</t>
        </is>
      </c>
      <c r="B151" s="1" t="n">
        <v>43850</v>
      </c>
      <c r="C151" s="1" t="n">
        <v>45838</v>
      </c>
      <c r="D151" t="inlineStr">
        <is>
          <t>GÄVLEBORGS LÄN</t>
        </is>
      </c>
      <c r="E151" t="inlineStr">
        <is>
          <t>OVANÅKER</t>
        </is>
      </c>
      <c r="G151" t="n">
        <v>2.8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3319-2020</t>
        </is>
      </c>
      <c r="B152" s="1" t="n">
        <v>43852</v>
      </c>
      <c r="C152" s="1" t="n">
        <v>45838</v>
      </c>
      <c r="D152" t="inlineStr">
        <is>
          <t>GÄVLEBORGS LÄN</t>
        </is>
      </c>
      <c r="E152" t="inlineStr">
        <is>
          <t>OVANÅKER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3395-2020</t>
        </is>
      </c>
      <c r="B153" s="1" t="n">
        <v>43852</v>
      </c>
      <c r="C153" s="1" t="n">
        <v>45838</v>
      </c>
      <c r="D153" t="inlineStr">
        <is>
          <t>GÄVLEBORGS LÄN</t>
        </is>
      </c>
      <c r="E153" t="inlineStr">
        <is>
          <t>OVANÅKER</t>
        </is>
      </c>
      <c r="F153" t="inlineStr">
        <is>
          <t>Bergvik skog väst AB</t>
        </is>
      </c>
      <c r="G153" t="n">
        <v>11.4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3893-2020</t>
        </is>
      </c>
      <c r="B154" s="1" t="n">
        <v>43854</v>
      </c>
      <c r="C154" s="1" t="n">
        <v>45838</v>
      </c>
      <c r="D154" t="inlineStr">
        <is>
          <t>GÄVLEBORGS LÄN</t>
        </is>
      </c>
      <c r="E154" t="inlineStr">
        <is>
          <t>OVANÅKER</t>
        </is>
      </c>
      <c r="G154" t="n">
        <v>3.7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3818-2020</t>
        </is>
      </c>
      <c r="B155" s="1" t="n">
        <v>43854</v>
      </c>
      <c r="C155" s="1" t="n">
        <v>45838</v>
      </c>
      <c r="D155" t="inlineStr">
        <is>
          <t>GÄVLEBORGS LÄN</t>
        </is>
      </c>
      <c r="E155" t="inlineStr">
        <is>
          <t>OVANÅKER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5346-2020</t>
        </is>
      </c>
      <c r="B156" s="1" t="n">
        <v>43854</v>
      </c>
      <c r="C156" s="1" t="n">
        <v>45838</v>
      </c>
      <c r="D156" t="inlineStr">
        <is>
          <t>GÄVLEBORGS LÄN</t>
        </is>
      </c>
      <c r="E156" t="inlineStr">
        <is>
          <t>OVANÅKER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5344-2020</t>
        </is>
      </c>
      <c r="B157" s="1" t="n">
        <v>43854</v>
      </c>
      <c r="C157" s="1" t="n">
        <v>45838</v>
      </c>
      <c r="D157" t="inlineStr">
        <is>
          <t>GÄVLEBORGS LÄN</t>
        </is>
      </c>
      <c r="E157" t="inlineStr">
        <is>
          <t>OVANÅKER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5340-2020</t>
        </is>
      </c>
      <c r="B158" s="1" t="n">
        <v>43854</v>
      </c>
      <c r="C158" s="1" t="n">
        <v>45838</v>
      </c>
      <c r="D158" t="inlineStr">
        <is>
          <t>GÄVLEBORGS LÄN</t>
        </is>
      </c>
      <c r="E158" t="inlineStr">
        <is>
          <t>OVANÅKER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5351-2020</t>
        </is>
      </c>
      <c r="B159" s="1" t="n">
        <v>43854</v>
      </c>
      <c r="C159" s="1" t="n">
        <v>45838</v>
      </c>
      <c r="D159" t="inlineStr">
        <is>
          <t>GÄVLEBORGS LÄN</t>
        </is>
      </c>
      <c r="E159" t="inlineStr">
        <is>
          <t>OVANÅKER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4816-2020</t>
        </is>
      </c>
      <c r="B160" s="1" t="n">
        <v>43859</v>
      </c>
      <c r="C160" s="1" t="n">
        <v>45838</v>
      </c>
      <c r="D160" t="inlineStr">
        <is>
          <t>GÄVLEBORGS LÄN</t>
        </is>
      </c>
      <c r="E160" t="inlineStr">
        <is>
          <t>OVANÅKER</t>
        </is>
      </c>
      <c r="F160" t="inlineStr">
        <is>
          <t>Sveaskog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8170-2020</t>
        </is>
      </c>
      <c r="B161" s="1" t="n">
        <v>43874</v>
      </c>
      <c r="C161" s="1" t="n">
        <v>45838</v>
      </c>
      <c r="D161" t="inlineStr">
        <is>
          <t>GÄVLEBORGS LÄN</t>
        </is>
      </c>
      <c r="E161" t="inlineStr">
        <is>
          <t>OVANÅKER</t>
        </is>
      </c>
      <c r="G161" t="n">
        <v>5.5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8273-2020</t>
        </is>
      </c>
      <c r="B162" s="1" t="n">
        <v>43874</v>
      </c>
      <c r="C162" s="1" t="n">
        <v>45838</v>
      </c>
      <c r="D162" t="inlineStr">
        <is>
          <t>GÄVLEBORGS LÄN</t>
        </is>
      </c>
      <c r="E162" t="inlineStr">
        <is>
          <t>OVANÅKER</t>
        </is>
      </c>
      <c r="G162" t="n">
        <v>0.4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8173-2020</t>
        </is>
      </c>
      <c r="B163" s="1" t="n">
        <v>43874</v>
      </c>
      <c r="C163" s="1" t="n">
        <v>45838</v>
      </c>
      <c r="D163" t="inlineStr">
        <is>
          <t>GÄVLEBORGS LÄN</t>
        </is>
      </c>
      <c r="E163" t="inlineStr">
        <is>
          <t>OVANÅKER</t>
        </is>
      </c>
      <c r="G163" t="n">
        <v>10.9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8449-2020</t>
        </is>
      </c>
      <c r="B164" s="1" t="n">
        <v>43875</v>
      </c>
      <c r="C164" s="1" t="n">
        <v>45838</v>
      </c>
      <c r="D164" t="inlineStr">
        <is>
          <t>GÄVLEBORGS LÄN</t>
        </is>
      </c>
      <c r="E164" t="inlineStr">
        <is>
          <t>OVANÅKER</t>
        </is>
      </c>
      <c r="G164" t="n">
        <v>4.8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9590-2020</t>
        </is>
      </c>
      <c r="B165" s="1" t="n">
        <v>43881</v>
      </c>
      <c r="C165" s="1" t="n">
        <v>45838</v>
      </c>
      <c r="D165" t="inlineStr">
        <is>
          <t>GÄVLEBORGS LÄN</t>
        </is>
      </c>
      <c r="E165" t="inlineStr">
        <is>
          <t>OVANÅKER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10502-2020</t>
        </is>
      </c>
      <c r="B166" s="1" t="n">
        <v>43886</v>
      </c>
      <c r="C166" s="1" t="n">
        <v>45838</v>
      </c>
      <c r="D166" t="inlineStr">
        <is>
          <t>GÄVLEBORGS LÄN</t>
        </is>
      </c>
      <c r="E166" t="inlineStr">
        <is>
          <t>OVANÅKER</t>
        </is>
      </c>
      <c r="G166" t="n">
        <v>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10755-2020</t>
        </is>
      </c>
      <c r="B167" s="1" t="n">
        <v>43888</v>
      </c>
      <c r="C167" s="1" t="n">
        <v>45838</v>
      </c>
      <c r="D167" t="inlineStr">
        <is>
          <t>GÄVLEBORGS LÄN</t>
        </is>
      </c>
      <c r="E167" t="inlineStr">
        <is>
          <t>OVANÅKER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11386-2020</t>
        </is>
      </c>
      <c r="B168" s="1" t="n">
        <v>43892</v>
      </c>
      <c r="C168" s="1" t="n">
        <v>45838</v>
      </c>
      <c r="D168" t="inlineStr">
        <is>
          <t>GÄVLEBORGS LÄN</t>
        </is>
      </c>
      <c r="E168" t="inlineStr">
        <is>
          <t>OVANÅKER</t>
        </is>
      </c>
      <c r="G168" t="n">
        <v>2.8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11501-2020</t>
        </is>
      </c>
      <c r="B169" s="1" t="n">
        <v>43893</v>
      </c>
      <c r="C169" s="1" t="n">
        <v>45838</v>
      </c>
      <c r="D169" t="inlineStr">
        <is>
          <t>GÄVLEBORGS LÄN</t>
        </is>
      </c>
      <c r="E169" t="inlineStr">
        <is>
          <t>OVANÅKER</t>
        </is>
      </c>
      <c r="G169" t="n">
        <v>2.9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12996-2020</t>
        </is>
      </c>
      <c r="B170" s="1" t="n">
        <v>43900</v>
      </c>
      <c r="C170" s="1" t="n">
        <v>45838</v>
      </c>
      <c r="D170" t="inlineStr">
        <is>
          <t>GÄVLEBORGS LÄN</t>
        </is>
      </c>
      <c r="E170" t="inlineStr">
        <is>
          <t>OVANÅKER</t>
        </is>
      </c>
      <c r="F170" t="inlineStr">
        <is>
          <t>Bergvik skog väst AB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13715-2020</t>
        </is>
      </c>
      <c r="B171" s="1" t="n">
        <v>43903</v>
      </c>
      <c r="C171" s="1" t="n">
        <v>45838</v>
      </c>
      <c r="D171" t="inlineStr">
        <is>
          <t>GÄVLEBORGS LÄN</t>
        </is>
      </c>
      <c r="E171" t="inlineStr">
        <is>
          <t>OVANÅKER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14884-2020</t>
        </is>
      </c>
      <c r="B172" s="1" t="n">
        <v>43906</v>
      </c>
      <c r="C172" s="1" t="n">
        <v>45838</v>
      </c>
      <c r="D172" t="inlineStr">
        <is>
          <t>GÄVLEBORGS LÄN</t>
        </is>
      </c>
      <c r="E172" t="inlineStr">
        <is>
          <t>OVANÅKER</t>
        </is>
      </c>
      <c r="G172" t="n">
        <v>6.6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14169-2020</t>
        </is>
      </c>
      <c r="B173" s="1" t="n">
        <v>43907</v>
      </c>
      <c r="C173" s="1" t="n">
        <v>45838</v>
      </c>
      <c r="D173" t="inlineStr">
        <is>
          <t>GÄVLEBORGS LÄN</t>
        </is>
      </c>
      <c r="E173" t="inlineStr">
        <is>
          <t>OVANÅKER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14612-2020</t>
        </is>
      </c>
      <c r="B174" s="1" t="n">
        <v>43909</v>
      </c>
      <c r="C174" s="1" t="n">
        <v>45838</v>
      </c>
      <c r="D174" t="inlineStr">
        <is>
          <t>GÄVLEBORGS LÄN</t>
        </is>
      </c>
      <c r="E174" t="inlineStr">
        <is>
          <t>OVANÅKER</t>
        </is>
      </c>
      <c r="G174" t="n">
        <v>0.1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14974-2020</t>
        </is>
      </c>
      <c r="B175" s="1" t="n">
        <v>43910</v>
      </c>
      <c r="C175" s="1" t="n">
        <v>45838</v>
      </c>
      <c r="D175" t="inlineStr">
        <is>
          <t>GÄVLEBORGS LÄN</t>
        </is>
      </c>
      <c r="E175" t="inlineStr">
        <is>
          <t>OVANÅKER</t>
        </is>
      </c>
      <c r="F175" t="inlineStr">
        <is>
          <t>Bergvik skog väst AB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15543-2020</t>
        </is>
      </c>
      <c r="B176" s="1" t="n">
        <v>43914</v>
      </c>
      <c r="C176" s="1" t="n">
        <v>45838</v>
      </c>
      <c r="D176" t="inlineStr">
        <is>
          <t>GÄVLEBORGS LÄN</t>
        </is>
      </c>
      <c r="E176" t="inlineStr">
        <is>
          <t>OVANÅKER</t>
        </is>
      </c>
      <c r="F176" t="inlineStr">
        <is>
          <t>Bergvik skog väst AB</t>
        </is>
      </c>
      <c r="G176" t="n">
        <v>12.9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15531-2020</t>
        </is>
      </c>
      <c r="B177" s="1" t="n">
        <v>43914</v>
      </c>
      <c r="C177" s="1" t="n">
        <v>45838</v>
      </c>
      <c r="D177" t="inlineStr">
        <is>
          <t>GÄVLEBORGS LÄN</t>
        </is>
      </c>
      <c r="E177" t="inlineStr">
        <is>
          <t>OVANÅKER</t>
        </is>
      </c>
      <c r="F177" t="inlineStr">
        <is>
          <t>Bergvik skog väst AB</t>
        </is>
      </c>
      <c r="G177" t="n">
        <v>12.9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15820-2020</t>
        </is>
      </c>
      <c r="B178" s="1" t="n">
        <v>43915</v>
      </c>
      <c r="C178" s="1" t="n">
        <v>45838</v>
      </c>
      <c r="D178" t="inlineStr">
        <is>
          <t>GÄVLEBORGS LÄN</t>
        </is>
      </c>
      <c r="E178" t="inlineStr">
        <is>
          <t>OVANÅKER</t>
        </is>
      </c>
      <c r="F178" t="inlineStr">
        <is>
          <t>Bergvik skog väst AB</t>
        </is>
      </c>
      <c r="G178" t="n">
        <v>27.8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15691-2020</t>
        </is>
      </c>
      <c r="B179" s="1" t="n">
        <v>43915</v>
      </c>
      <c r="C179" s="1" t="n">
        <v>45838</v>
      </c>
      <c r="D179" t="inlineStr">
        <is>
          <t>GÄVLEBORGS LÄN</t>
        </is>
      </c>
      <c r="E179" t="inlineStr">
        <is>
          <t>OVANÅKER</t>
        </is>
      </c>
      <c r="F179" t="inlineStr">
        <is>
          <t>Bergvik skog väst AB</t>
        </is>
      </c>
      <c r="G179" t="n">
        <v>4.8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16107-2020</t>
        </is>
      </c>
      <c r="B180" s="1" t="n">
        <v>43916</v>
      </c>
      <c r="C180" s="1" t="n">
        <v>45838</v>
      </c>
      <c r="D180" t="inlineStr">
        <is>
          <t>GÄVLEBORGS LÄN</t>
        </is>
      </c>
      <c r="E180" t="inlineStr">
        <is>
          <t>OVANÅKER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16113-2020</t>
        </is>
      </c>
      <c r="B181" s="1" t="n">
        <v>43916</v>
      </c>
      <c r="C181" s="1" t="n">
        <v>45838</v>
      </c>
      <c r="D181" t="inlineStr">
        <is>
          <t>GÄVLEBORGS LÄN</t>
        </is>
      </c>
      <c r="E181" t="inlineStr">
        <is>
          <t>OVANÅKER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15948-2020</t>
        </is>
      </c>
      <c r="B182" s="1" t="n">
        <v>43916</v>
      </c>
      <c r="C182" s="1" t="n">
        <v>45838</v>
      </c>
      <c r="D182" t="inlineStr">
        <is>
          <t>GÄVLEBORGS LÄN</t>
        </is>
      </c>
      <c r="E182" t="inlineStr">
        <is>
          <t>OVANÅKER</t>
        </is>
      </c>
      <c r="G182" t="n">
        <v>2.8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16176-2020</t>
        </is>
      </c>
      <c r="B183" s="1" t="n">
        <v>43917</v>
      </c>
      <c r="C183" s="1" t="n">
        <v>45838</v>
      </c>
      <c r="D183" t="inlineStr">
        <is>
          <t>GÄVLEBORGS LÄN</t>
        </is>
      </c>
      <c r="E183" t="inlineStr">
        <is>
          <t>OVANÅKER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16259-2020</t>
        </is>
      </c>
      <c r="B184" s="1" t="n">
        <v>43917</v>
      </c>
      <c r="C184" s="1" t="n">
        <v>45838</v>
      </c>
      <c r="D184" t="inlineStr">
        <is>
          <t>GÄVLEBORGS LÄN</t>
        </is>
      </c>
      <c r="E184" t="inlineStr">
        <is>
          <t>OVANÅKER</t>
        </is>
      </c>
      <c r="G184" t="n">
        <v>2.5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16225-2020</t>
        </is>
      </c>
      <c r="B185" s="1" t="n">
        <v>43917</v>
      </c>
      <c r="C185" s="1" t="n">
        <v>45838</v>
      </c>
      <c r="D185" t="inlineStr">
        <is>
          <t>GÄVLEBORGS LÄN</t>
        </is>
      </c>
      <c r="E185" t="inlineStr">
        <is>
          <t>OVANÅKER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16251-2020</t>
        </is>
      </c>
      <c r="B186" s="1" t="n">
        <v>43917</v>
      </c>
      <c r="C186" s="1" t="n">
        <v>45838</v>
      </c>
      <c r="D186" t="inlineStr">
        <is>
          <t>GÄVLEBORGS LÄN</t>
        </is>
      </c>
      <c r="E186" t="inlineStr">
        <is>
          <t>OVANÅKER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16292-2020</t>
        </is>
      </c>
      <c r="B187" s="1" t="n">
        <v>43917</v>
      </c>
      <c r="C187" s="1" t="n">
        <v>45838</v>
      </c>
      <c r="D187" t="inlineStr">
        <is>
          <t>GÄVLEBORGS LÄN</t>
        </is>
      </c>
      <c r="E187" t="inlineStr">
        <is>
          <t>OVANÅKER</t>
        </is>
      </c>
      <c r="F187" t="inlineStr">
        <is>
          <t>Sveaskog</t>
        </is>
      </c>
      <c r="G187" t="n">
        <v>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17004-2020</t>
        </is>
      </c>
      <c r="B188" s="1" t="n">
        <v>43921</v>
      </c>
      <c r="C188" s="1" t="n">
        <v>45838</v>
      </c>
      <c r="D188" t="inlineStr">
        <is>
          <t>GÄVLEBORGS LÄN</t>
        </is>
      </c>
      <c r="E188" t="inlineStr">
        <is>
          <t>OVANÅKER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16996-2020</t>
        </is>
      </c>
      <c r="B189" s="1" t="n">
        <v>43921</v>
      </c>
      <c r="C189" s="1" t="n">
        <v>45838</v>
      </c>
      <c r="D189" t="inlineStr">
        <is>
          <t>GÄVLEBORGS LÄN</t>
        </is>
      </c>
      <c r="E189" t="inlineStr">
        <is>
          <t>OVANÅKER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17198-2020</t>
        </is>
      </c>
      <c r="B190" s="1" t="n">
        <v>43922</v>
      </c>
      <c r="C190" s="1" t="n">
        <v>45838</v>
      </c>
      <c r="D190" t="inlineStr">
        <is>
          <t>GÄVLEBORGS LÄN</t>
        </is>
      </c>
      <c r="E190" t="inlineStr">
        <is>
          <t>OVANÅKER</t>
        </is>
      </c>
      <c r="F190" t="inlineStr">
        <is>
          <t>Sveaskog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17899-2020</t>
        </is>
      </c>
      <c r="B191" s="1" t="n">
        <v>43924</v>
      </c>
      <c r="C191" s="1" t="n">
        <v>45838</v>
      </c>
      <c r="D191" t="inlineStr">
        <is>
          <t>GÄVLEBORGS LÄN</t>
        </is>
      </c>
      <c r="E191" t="inlineStr">
        <is>
          <t>OVANÅKER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17905-2020</t>
        </is>
      </c>
      <c r="B192" s="1" t="n">
        <v>43924</v>
      </c>
      <c r="C192" s="1" t="n">
        <v>45838</v>
      </c>
      <c r="D192" t="inlineStr">
        <is>
          <t>GÄVLEBORGS LÄN</t>
        </is>
      </c>
      <c r="E192" t="inlineStr">
        <is>
          <t>OVANÅKER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18935-2020</t>
        </is>
      </c>
      <c r="B193" s="1" t="n">
        <v>43935</v>
      </c>
      <c r="C193" s="1" t="n">
        <v>45838</v>
      </c>
      <c r="D193" t="inlineStr">
        <is>
          <t>GÄVLEBORGS LÄN</t>
        </is>
      </c>
      <c r="E193" t="inlineStr">
        <is>
          <t>OVANÅKER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18929-2020</t>
        </is>
      </c>
      <c r="B194" s="1" t="n">
        <v>43935</v>
      </c>
      <c r="C194" s="1" t="n">
        <v>45838</v>
      </c>
      <c r="D194" t="inlineStr">
        <is>
          <t>GÄVLEBORGS LÄN</t>
        </is>
      </c>
      <c r="E194" t="inlineStr">
        <is>
          <t>OVANÅKER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19131-2020</t>
        </is>
      </c>
      <c r="B195" s="1" t="n">
        <v>43936</v>
      </c>
      <c r="C195" s="1" t="n">
        <v>45838</v>
      </c>
      <c r="D195" t="inlineStr">
        <is>
          <t>GÄVLEBORGS LÄN</t>
        </is>
      </c>
      <c r="E195" t="inlineStr">
        <is>
          <t>OVANÅKER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19262-2020</t>
        </is>
      </c>
      <c r="B196" s="1" t="n">
        <v>43937</v>
      </c>
      <c r="C196" s="1" t="n">
        <v>45838</v>
      </c>
      <c r="D196" t="inlineStr">
        <is>
          <t>GÄVLEBORGS LÄN</t>
        </is>
      </c>
      <c r="E196" t="inlineStr">
        <is>
          <t>OVANÅKER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19269-2020</t>
        </is>
      </c>
      <c r="B197" s="1" t="n">
        <v>43937</v>
      </c>
      <c r="C197" s="1" t="n">
        <v>45838</v>
      </c>
      <c r="D197" t="inlineStr">
        <is>
          <t>GÄVLEBORGS LÄN</t>
        </is>
      </c>
      <c r="E197" t="inlineStr">
        <is>
          <t>OVANÅKER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19788-2020</t>
        </is>
      </c>
      <c r="B198" s="1" t="n">
        <v>43942</v>
      </c>
      <c r="C198" s="1" t="n">
        <v>45838</v>
      </c>
      <c r="D198" t="inlineStr">
        <is>
          <t>GÄVLEBORGS LÄN</t>
        </is>
      </c>
      <c r="E198" t="inlineStr">
        <is>
          <t>OVANÅKER</t>
        </is>
      </c>
      <c r="F198" t="inlineStr">
        <is>
          <t>Bergvik skog väst AB</t>
        </is>
      </c>
      <c r="G198" t="n">
        <v>5.3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19797-2020</t>
        </is>
      </c>
      <c r="B199" s="1" t="n">
        <v>43942</v>
      </c>
      <c r="C199" s="1" t="n">
        <v>45838</v>
      </c>
      <c r="D199" t="inlineStr">
        <is>
          <t>GÄVLEBORGS LÄN</t>
        </is>
      </c>
      <c r="E199" t="inlineStr">
        <is>
          <t>OVANÅKER</t>
        </is>
      </c>
      <c r="F199" t="inlineStr">
        <is>
          <t>Bergvik skog väst AB</t>
        </is>
      </c>
      <c r="G199" t="n">
        <v>10.9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20315-2020</t>
        </is>
      </c>
      <c r="B200" s="1" t="n">
        <v>43945</v>
      </c>
      <c r="C200" s="1" t="n">
        <v>45838</v>
      </c>
      <c r="D200" t="inlineStr">
        <is>
          <t>GÄVLEBORGS LÄN</t>
        </is>
      </c>
      <c r="E200" t="inlineStr">
        <is>
          <t>OVANÅKER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20499-2020</t>
        </is>
      </c>
      <c r="B201" s="1" t="n">
        <v>43948</v>
      </c>
      <c r="C201" s="1" t="n">
        <v>45838</v>
      </c>
      <c r="D201" t="inlineStr">
        <is>
          <t>GÄVLEBORGS LÄN</t>
        </is>
      </c>
      <c r="E201" t="inlineStr">
        <is>
          <t>OVANÅKER</t>
        </is>
      </c>
      <c r="F201" t="inlineStr">
        <is>
          <t>Bergvik skog väst AB</t>
        </is>
      </c>
      <c r="G201" t="n">
        <v>43.9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20631-2020</t>
        </is>
      </c>
      <c r="B202" s="1" t="n">
        <v>43949</v>
      </c>
      <c r="C202" s="1" t="n">
        <v>45838</v>
      </c>
      <c r="D202" t="inlineStr">
        <is>
          <t>GÄVLEBORGS LÄN</t>
        </is>
      </c>
      <c r="E202" t="inlineStr">
        <is>
          <t>OVANÅKER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20850-2020</t>
        </is>
      </c>
      <c r="B203" s="1" t="n">
        <v>43950</v>
      </c>
      <c r="C203" s="1" t="n">
        <v>45838</v>
      </c>
      <c r="D203" t="inlineStr">
        <is>
          <t>GÄVLEBORGS LÄN</t>
        </is>
      </c>
      <c r="E203" t="inlineStr">
        <is>
          <t>OVANÅKER</t>
        </is>
      </c>
      <c r="G203" t="n">
        <v>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21182-2020</t>
        </is>
      </c>
      <c r="B204" s="1" t="n">
        <v>43951</v>
      </c>
      <c r="C204" s="1" t="n">
        <v>45838</v>
      </c>
      <c r="D204" t="inlineStr">
        <is>
          <t>GÄVLEBORGS LÄN</t>
        </is>
      </c>
      <c r="E204" t="inlineStr">
        <is>
          <t>OVANÅKER</t>
        </is>
      </c>
      <c r="G204" t="n">
        <v>3.6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21647-2020</t>
        </is>
      </c>
      <c r="B205" s="1" t="n">
        <v>43957</v>
      </c>
      <c r="C205" s="1" t="n">
        <v>45838</v>
      </c>
      <c r="D205" t="inlineStr">
        <is>
          <t>GÄVLEBORGS LÄN</t>
        </is>
      </c>
      <c r="E205" t="inlineStr">
        <is>
          <t>OVANÅKER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21639-2020</t>
        </is>
      </c>
      <c r="B206" s="1" t="n">
        <v>43957</v>
      </c>
      <c r="C206" s="1" t="n">
        <v>45838</v>
      </c>
      <c r="D206" t="inlineStr">
        <is>
          <t>GÄVLEBORGS LÄN</t>
        </is>
      </c>
      <c r="E206" t="inlineStr">
        <is>
          <t>OVANÅKER</t>
        </is>
      </c>
      <c r="G206" t="n">
        <v>10.3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22187-2020</t>
        </is>
      </c>
      <c r="B207" s="1" t="n">
        <v>43962</v>
      </c>
      <c r="C207" s="1" t="n">
        <v>45838</v>
      </c>
      <c r="D207" t="inlineStr">
        <is>
          <t>GÄVLEBORGS LÄN</t>
        </is>
      </c>
      <c r="E207" t="inlineStr">
        <is>
          <t>OVANÅKER</t>
        </is>
      </c>
      <c r="F207" t="inlineStr">
        <is>
          <t>Kyrkan</t>
        </is>
      </c>
      <c r="G207" t="n">
        <v>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23060-2020</t>
        </is>
      </c>
      <c r="B208" s="1" t="n">
        <v>43965</v>
      </c>
      <c r="C208" s="1" t="n">
        <v>45838</v>
      </c>
      <c r="D208" t="inlineStr">
        <is>
          <t>GÄVLEBORGS LÄN</t>
        </is>
      </c>
      <c r="E208" t="inlineStr">
        <is>
          <t>OVANÅKER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23057-2020</t>
        </is>
      </c>
      <c r="B209" s="1" t="n">
        <v>43965</v>
      </c>
      <c r="C209" s="1" t="n">
        <v>45838</v>
      </c>
      <c r="D209" t="inlineStr">
        <is>
          <t>GÄVLEBORGS LÄN</t>
        </is>
      </c>
      <c r="E209" t="inlineStr">
        <is>
          <t>OVANÅKER</t>
        </is>
      </c>
      <c r="F209" t="inlineStr">
        <is>
          <t>Sveaskog</t>
        </is>
      </c>
      <c r="G209" t="n">
        <v>3.7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23527-2020</t>
        </is>
      </c>
      <c r="B210" s="1" t="n">
        <v>43969</v>
      </c>
      <c r="C210" s="1" t="n">
        <v>45838</v>
      </c>
      <c r="D210" t="inlineStr">
        <is>
          <t>GÄVLEBORGS LÄN</t>
        </is>
      </c>
      <c r="E210" t="inlineStr">
        <is>
          <t>OVANÅKER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25969-2020</t>
        </is>
      </c>
      <c r="B211" s="1" t="n">
        <v>43985</v>
      </c>
      <c r="C211" s="1" t="n">
        <v>45838</v>
      </c>
      <c r="D211" t="inlineStr">
        <is>
          <t>GÄVLEBORGS LÄN</t>
        </is>
      </c>
      <c r="E211" t="inlineStr">
        <is>
          <t>OVANÅKER</t>
        </is>
      </c>
      <c r="G211" t="n">
        <v>0.4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26506-2020</t>
        </is>
      </c>
      <c r="B212" s="1" t="n">
        <v>43987</v>
      </c>
      <c r="C212" s="1" t="n">
        <v>45838</v>
      </c>
      <c r="D212" t="inlineStr">
        <is>
          <t>GÄVLEBORGS LÄN</t>
        </is>
      </c>
      <c r="E212" t="inlineStr">
        <is>
          <t>OVANÅKER</t>
        </is>
      </c>
      <c r="G212" t="n">
        <v>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26583-2020</t>
        </is>
      </c>
      <c r="B213" s="1" t="n">
        <v>43987</v>
      </c>
      <c r="C213" s="1" t="n">
        <v>45838</v>
      </c>
      <c r="D213" t="inlineStr">
        <is>
          <t>GÄVLEBORGS LÄN</t>
        </is>
      </c>
      <c r="E213" t="inlineStr">
        <is>
          <t>OVANÅKER</t>
        </is>
      </c>
      <c r="F213" t="inlineStr">
        <is>
          <t>Bergvik skog väst AB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27269-2020</t>
        </is>
      </c>
      <c r="B214" s="1" t="n">
        <v>43992</v>
      </c>
      <c r="C214" s="1" t="n">
        <v>45838</v>
      </c>
      <c r="D214" t="inlineStr">
        <is>
          <t>GÄVLEBORGS LÄN</t>
        </is>
      </c>
      <c r="E214" t="inlineStr">
        <is>
          <t>OVANÅKER</t>
        </is>
      </c>
      <c r="G214" t="n">
        <v>2.4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27855-2020</t>
        </is>
      </c>
      <c r="B215" s="1" t="n">
        <v>43994</v>
      </c>
      <c r="C215" s="1" t="n">
        <v>45838</v>
      </c>
      <c r="D215" t="inlineStr">
        <is>
          <t>GÄVLEBORGS LÄN</t>
        </is>
      </c>
      <c r="E215" t="inlineStr">
        <is>
          <t>OVANÅKER</t>
        </is>
      </c>
      <c r="G215" t="n">
        <v>7.7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28723-2020</t>
        </is>
      </c>
      <c r="B216" s="1" t="n">
        <v>43999</v>
      </c>
      <c r="C216" s="1" t="n">
        <v>45838</v>
      </c>
      <c r="D216" t="inlineStr">
        <is>
          <t>GÄVLEBORGS LÄN</t>
        </is>
      </c>
      <c r="E216" t="inlineStr">
        <is>
          <t>OVANÅKER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29541-2020</t>
        </is>
      </c>
      <c r="B217" s="1" t="n">
        <v>44005</v>
      </c>
      <c r="C217" s="1" t="n">
        <v>45838</v>
      </c>
      <c r="D217" t="inlineStr">
        <is>
          <t>GÄVLEBORGS LÄN</t>
        </is>
      </c>
      <c r="E217" t="inlineStr">
        <is>
          <t>OVANÅKER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29536-2020</t>
        </is>
      </c>
      <c r="B218" s="1" t="n">
        <v>44005</v>
      </c>
      <c r="C218" s="1" t="n">
        <v>45838</v>
      </c>
      <c r="D218" t="inlineStr">
        <is>
          <t>GÄVLEBORGS LÄN</t>
        </is>
      </c>
      <c r="E218" t="inlineStr">
        <is>
          <t>OVANÅKER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29538-2020</t>
        </is>
      </c>
      <c r="B219" s="1" t="n">
        <v>44005</v>
      </c>
      <c r="C219" s="1" t="n">
        <v>45838</v>
      </c>
      <c r="D219" t="inlineStr">
        <is>
          <t>GÄVLEBORGS LÄN</t>
        </is>
      </c>
      <c r="E219" t="inlineStr">
        <is>
          <t>OVANÅKER</t>
        </is>
      </c>
      <c r="G219" t="n">
        <v>2.5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30290-2020</t>
        </is>
      </c>
      <c r="B220" s="1" t="n">
        <v>44007</v>
      </c>
      <c r="C220" s="1" t="n">
        <v>45838</v>
      </c>
      <c r="D220" t="inlineStr">
        <is>
          <t>GÄVLEBORGS LÄN</t>
        </is>
      </c>
      <c r="E220" t="inlineStr">
        <is>
          <t>OVANÅKER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31231-2020</t>
        </is>
      </c>
      <c r="B221" s="1" t="n">
        <v>44012</v>
      </c>
      <c r="C221" s="1" t="n">
        <v>45838</v>
      </c>
      <c r="D221" t="inlineStr">
        <is>
          <t>GÄVLEBORGS LÄN</t>
        </is>
      </c>
      <c r="E221" t="inlineStr">
        <is>
          <t>OVANÅKER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31214-2020</t>
        </is>
      </c>
      <c r="B222" s="1" t="n">
        <v>44012</v>
      </c>
      <c r="C222" s="1" t="n">
        <v>45838</v>
      </c>
      <c r="D222" t="inlineStr">
        <is>
          <t>GÄVLEBORGS LÄN</t>
        </is>
      </c>
      <c r="E222" t="inlineStr">
        <is>
          <t>OVANÅKER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31810-2020</t>
        </is>
      </c>
      <c r="B223" s="1" t="n">
        <v>44014</v>
      </c>
      <c r="C223" s="1" t="n">
        <v>45838</v>
      </c>
      <c r="D223" t="inlineStr">
        <is>
          <t>GÄVLEBORGS LÄN</t>
        </is>
      </c>
      <c r="E223" t="inlineStr">
        <is>
          <t>OVANÅKER</t>
        </is>
      </c>
      <c r="F223" t="inlineStr">
        <is>
          <t>Sveaskog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31860-2020</t>
        </is>
      </c>
      <c r="B224" s="1" t="n">
        <v>44014</v>
      </c>
      <c r="C224" s="1" t="n">
        <v>45838</v>
      </c>
      <c r="D224" t="inlineStr">
        <is>
          <t>GÄVLEBORGS LÄN</t>
        </is>
      </c>
      <c r="E224" t="inlineStr">
        <is>
          <t>OVANÅKER</t>
        </is>
      </c>
      <c r="G224" t="n">
        <v>4.3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33127-2020</t>
        </is>
      </c>
      <c r="B225" s="1" t="n">
        <v>44021</v>
      </c>
      <c r="C225" s="1" t="n">
        <v>45838</v>
      </c>
      <c r="D225" t="inlineStr">
        <is>
          <t>GÄVLEBORGS LÄN</t>
        </is>
      </c>
      <c r="E225" t="inlineStr">
        <is>
          <t>OVANÅKER</t>
        </is>
      </c>
      <c r="G225" t="n">
        <v>4.7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33889-2020</t>
        </is>
      </c>
      <c r="B226" s="1" t="n">
        <v>44025</v>
      </c>
      <c r="C226" s="1" t="n">
        <v>45838</v>
      </c>
      <c r="D226" t="inlineStr">
        <is>
          <t>GÄVLEBORGS LÄN</t>
        </is>
      </c>
      <c r="E226" t="inlineStr">
        <is>
          <t>OVANÅKER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34722-2020</t>
        </is>
      </c>
      <c r="B227" s="1" t="n">
        <v>44035</v>
      </c>
      <c r="C227" s="1" t="n">
        <v>45838</v>
      </c>
      <c r="D227" t="inlineStr">
        <is>
          <t>GÄVLEBORGS LÄN</t>
        </is>
      </c>
      <c r="E227" t="inlineStr">
        <is>
          <t>OVANÅKER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35295-2020</t>
        </is>
      </c>
      <c r="B228" s="1" t="n">
        <v>44041</v>
      </c>
      <c r="C228" s="1" t="n">
        <v>45838</v>
      </c>
      <c r="D228" t="inlineStr">
        <is>
          <t>GÄVLEBORGS LÄN</t>
        </is>
      </c>
      <c r="E228" t="inlineStr">
        <is>
          <t>OVANÅKER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35270-2020</t>
        </is>
      </c>
      <c r="B229" s="1" t="n">
        <v>44041</v>
      </c>
      <c r="C229" s="1" t="n">
        <v>45838</v>
      </c>
      <c r="D229" t="inlineStr">
        <is>
          <t>GÄVLEBORGS LÄN</t>
        </is>
      </c>
      <c r="E229" t="inlineStr">
        <is>
          <t>OVANÅKER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36896-2020</t>
        </is>
      </c>
      <c r="B230" s="1" t="n">
        <v>44053</v>
      </c>
      <c r="C230" s="1" t="n">
        <v>45838</v>
      </c>
      <c r="D230" t="inlineStr">
        <is>
          <t>GÄVLEBORGS LÄN</t>
        </is>
      </c>
      <c r="E230" t="inlineStr">
        <is>
          <t>OVANÅKER</t>
        </is>
      </c>
      <c r="F230" t="inlineStr">
        <is>
          <t>Bergvik skog väst AB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36899-2020</t>
        </is>
      </c>
      <c r="B231" s="1" t="n">
        <v>44053</v>
      </c>
      <c r="C231" s="1" t="n">
        <v>45838</v>
      </c>
      <c r="D231" t="inlineStr">
        <is>
          <t>GÄVLEBORGS LÄN</t>
        </is>
      </c>
      <c r="E231" t="inlineStr">
        <is>
          <t>OVANÅKER</t>
        </is>
      </c>
      <c r="G231" t="n">
        <v>3.4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36903-2020</t>
        </is>
      </c>
      <c r="B232" s="1" t="n">
        <v>44053</v>
      </c>
      <c r="C232" s="1" t="n">
        <v>45838</v>
      </c>
      <c r="D232" t="inlineStr">
        <is>
          <t>GÄVLEBORGS LÄN</t>
        </is>
      </c>
      <c r="E232" t="inlineStr">
        <is>
          <t>OVANÅKER</t>
        </is>
      </c>
      <c r="F232" t="inlineStr">
        <is>
          <t>Bergvik skog väst AB</t>
        </is>
      </c>
      <c r="G232" t="n">
        <v>0.4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36988-2020</t>
        </is>
      </c>
      <c r="B233" s="1" t="n">
        <v>44054</v>
      </c>
      <c r="C233" s="1" t="n">
        <v>45838</v>
      </c>
      <c r="D233" t="inlineStr">
        <is>
          <t>GÄVLEBORGS LÄN</t>
        </is>
      </c>
      <c r="E233" t="inlineStr">
        <is>
          <t>OVANÅKER</t>
        </is>
      </c>
      <c r="F233" t="inlineStr">
        <is>
          <t>Bergvik skog väst AB</t>
        </is>
      </c>
      <c r="G233" t="n">
        <v>5.7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36991-2020</t>
        </is>
      </c>
      <c r="B234" s="1" t="n">
        <v>44054</v>
      </c>
      <c r="C234" s="1" t="n">
        <v>45838</v>
      </c>
      <c r="D234" t="inlineStr">
        <is>
          <t>GÄVLEBORGS LÄN</t>
        </is>
      </c>
      <c r="E234" t="inlineStr">
        <is>
          <t>OVANÅKER</t>
        </is>
      </c>
      <c r="F234" t="inlineStr">
        <is>
          <t>Bergvik skog väst AB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36986-2020</t>
        </is>
      </c>
      <c r="B235" s="1" t="n">
        <v>44054</v>
      </c>
      <c r="C235" s="1" t="n">
        <v>45838</v>
      </c>
      <c r="D235" t="inlineStr">
        <is>
          <t>GÄVLEBORGS LÄN</t>
        </is>
      </c>
      <c r="E235" t="inlineStr">
        <is>
          <t>OVANÅKER</t>
        </is>
      </c>
      <c r="F235" t="inlineStr">
        <is>
          <t>Bergvik skog väst AB</t>
        </is>
      </c>
      <c r="G235" t="n">
        <v>2.4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36990-2020</t>
        </is>
      </c>
      <c r="B236" s="1" t="n">
        <v>44054</v>
      </c>
      <c r="C236" s="1" t="n">
        <v>45838</v>
      </c>
      <c r="D236" t="inlineStr">
        <is>
          <t>GÄVLEBORGS LÄN</t>
        </is>
      </c>
      <c r="E236" t="inlineStr">
        <is>
          <t>OVANÅKER</t>
        </is>
      </c>
      <c r="F236" t="inlineStr">
        <is>
          <t>Bergvik skog väst AB</t>
        </is>
      </c>
      <c r="G236" t="n">
        <v>3.7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38676-2020</t>
        </is>
      </c>
      <c r="B237" s="1" t="n">
        <v>44061</v>
      </c>
      <c r="C237" s="1" t="n">
        <v>45838</v>
      </c>
      <c r="D237" t="inlineStr">
        <is>
          <t>GÄVLEBORGS LÄN</t>
        </is>
      </c>
      <c r="E237" t="inlineStr">
        <is>
          <t>OVANÅKER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38884-2020</t>
        </is>
      </c>
      <c r="B238" s="1" t="n">
        <v>44062</v>
      </c>
      <c r="C238" s="1" t="n">
        <v>45838</v>
      </c>
      <c r="D238" t="inlineStr">
        <is>
          <t>GÄVLEBORGS LÄN</t>
        </is>
      </c>
      <c r="E238" t="inlineStr">
        <is>
          <t>OVANÅKER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39120-2020</t>
        </is>
      </c>
      <c r="B239" s="1" t="n">
        <v>44063</v>
      </c>
      <c r="C239" s="1" t="n">
        <v>45838</v>
      </c>
      <c r="D239" t="inlineStr">
        <is>
          <t>GÄVLEBORGS LÄN</t>
        </is>
      </c>
      <c r="E239" t="inlineStr">
        <is>
          <t>OVANÅKER</t>
        </is>
      </c>
      <c r="G239" t="n">
        <v>25.3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39128-2020</t>
        </is>
      </c>
      <c r="B240" s="1" t="n">
        <v>44063</v>
      </c>
      <c r="C240" s="1" t="n">
        <v>45838</v>
      </c>
      <c r="D240" t="inlineStr">
        <is>
          <t>GÄVLEBORGS LÄN</t>
        </is>
      </c>
      <c r="E240" t="inlineStr">
        <is>
          <t>OVANÅKER</t>
        </is>
      </c>
      <c r="G240" t="n">
        <v>6.3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39934-2020</t>
        </is>
      </c>
      <c r="B241" s="1" t="n">
        <v>44067</v>
      </c>
      <c r="C241" s="1" t="n">
        <v>45838</v>
      </c>
      <c r="D241" t="inlineStr">
        <is>
          <t>GÄVLEBORGS LÄN</t>
        </is>
      </c>
      <c r="E241" t="inlineStr">
        <is>
          <t>OVANÅKER</t>
        </is>
      </c>
      <c r="G241" t="n">
        <v>4.2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40005-2020</t>
        </is>
      </c>
      <c r="B242" s="1" t="n">
        <v>44067</v>
      </c>
      <c r="C242" s="1" t="n">
        <v>45838</v>
      </c>
      <c r="D242" t="inlineStr">
        <is>
          <t>GÄVLEBORGS LÄN</t>
        </is>
      </c>
      <c r="E242" t="inlineStr">
        <is>
          <t>OVANÅKER</t>
        </is>
      </c>
      <c r="G242" t="n">
        <v>3.2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41155-2020</t>
        </is>
      </c>
      <c r="B243" s="1" t="n">
        <v>44071</v>
      </c>
      <c r="C243" s="1" t="n">
        <v>45838</v>
      </c>
      <c r="D243" t="inlineStr">
        <is>
          <t>GÄVLEBORGS LÄN</t>
        </is>
      </c>
      <c r="E243" t="inlineStr">
        <is>
          <t>OVANÅKER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41184-2020</t>
        </is>
      </c>
      <c r="B244" s="1" t="n">
        <v>44071</v>
      </c>
      <c r="C244" s="1" t="n">
        <v>45838</v>
      </c>
      <c r="D244" t="inlineStr">
        <is>
          <t>GÄVLEBORGS LÄN</t>
        </is>
      </c>
      <c r="E244" t="inlineStr">
        <is>
          <t>OVANÅKER</t>
        </is>
      </c>
      <c r="G244" t="n">
        <v>2.3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41219-2020</t>
        </is>
      </c>
      <c r="B245" s="1" t="n">
        <v>44071</v>
      </c>
      <c r="C245" s="1" t="n">
        <v>45838</v>
      </c>
      <c r="D245" t="inlineStr">
        <is>
          <t>GÄVLEBORGS LÄN</t>
        </is>
      </c>
      <c r="E245" t="inlineStr">
        <is>
          <t>OVANÅKER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41519-2020</t>
        </is>
      </c>
      <c r="B246" s="1" t="n">
        <v>44074</v>
      </c>
      <c r="C246" s="1" t="n">
        <v>45838</v>
      </c>
      <c r="D246" t="inlineStr">
        <is>
          <t>GÄVLEBORGS LÄN</t>
        </is>
      </c>
      <c r="E246" t="inlineStr">
        <is>
          <t>OVANÅKER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44050-2020</t>
        </is>
      </c>
      <c r="B247" s="1" t="n">
        <v>44083</v>
      </c>
      <c r="C247" s="1" t="n">
        <v>45838</v>
      </c>
      <c r="D247" t="inlineStr">
        <is>
          <t>GÄVLEBORGS LÄN</t>
        </is>
      </c>
      <c r="E247" t="inlineStr">
        <is>
          <t>OVANÅKER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44130-2020</t>
        </is>
      </c>
      <c r="B248" s="1" t="n">
        <v>44083</v>
      </c>
      <c r="C248" s="1" t="n">
        <v>45838</v>
      </c>
      <c r="D248" t="inlineStr">
        <is>
          <t>GÄVLEBORGS LÄN</t>
        </is>
      </c>
      <c r="E248" t="inlineStr">
        <is>
          <t>OVANÅKER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45268-2020</t>
        </is>
      </c>
      <c r="B249" s="1" t="n">
        <v>44089</v>
      </c>
      <c r="C249" s="1" t="n">
        <v>45838</v>
      </c>
      <c r="D249" t="inlineStr">
        <is>
          <t>GÄVLEBORGS LÄN</t>
        </is>
      </c>
      <c r="E249" t="inlineStr">
        <is>
          <t>OVANÅKER</t>
        </is>
      </c>
      <c r="F249" t="inlineStr">
        <is>
          <t>Sveaskog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45925-2020</t>
        </is>
      </c>
      <c r="B250" s="1" t="n">
        <v>44091</v>
      </c>
      <c r="C250" s="1" t="n">
        <v>45838</v>
      </c>
      <c r="D250" t="inlineStr">
        <is>
          <t>GÄVLEBORGS LÄN</t>
        </is>
      </c>
      <c r="E250" t="inlineStr">
        <is>
          <t>OVANÅKER</t>
        </is>
      </c>
      <c r="G250" t="n">
        <v>0.3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46069-2020</t>
        </is>
      </c>
      <c r="B251" s="1" t="n">
        <v>44091</v>
      </c>
      <c r="C251" s="1" t="n">
        <v>45838</v>
      </c>
      <c r="D251" t="inlineStr">
        <is>
          <t>GÄVLEBORGS LÄN</t>
        </is>
      </c>
      <c r="E251" t="inlineStr">
        <is>
          <t>OVANÅKER</t>
        </is>
      </c>
      <c r="F251" t="inlineStr">
        <is>
          <t>Holmen skog AB</t>
        </is>
      </c>
      <c r="G251" t="n">
        <v>14.4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47029-2020</t>
        </is>
      </c>
      <c r="B252" s="1" t="n">
        <v>44096</v>
      </c>
      <c r="C252" s="1" t="n">
        <v>45838</v>
      </c>
      <c r="D252" t="inlineStr">
        <is>
          <t>GÄVLEBORGS LÄN</t>
        </is>
      </c>
      <c r="E252" t="inlineStr">
        <is>
          <t>OVANÅKER</t>
        </is>
      </c>
      <c r="G252" t="n">
        <v>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47036-2020</t>
        </is>
      </c>
      <c r="B253" s="1" t="n">
        <v>44096</v>
      </c>
      <c r="C253" s="1" t="n">
        <v>45838</v>
      </c>
      <c r="D253" t="inlineStr">
        <is>
          <t>GÄVLEBORGS LÄN</t>
        </is>
      </c>
      <c r="E253" t="inlineStr">
        <is>
          <t>OVANÅKER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48124-2020</t>
        </is>
      </c>
      <c r="B254" s="1" t="n">
        <v>44102</v>
      </c>
      <c r="C254" s="1" t="n">
        <v>45838</v>
      </c>
      <c r="D254" t="inlineStr">
        <is>
          <t>GÄVLEBORGS LÄN</t>
        </is>
      </c>
      <c r="E254" t="inlineStr">
        <is>
          <t>OVANÅKER</t>
        </is>
      </c>
      <c r="F254" t="inlineStr">
        <is>
          <t>Bergvik skog väst AB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48720-2020</t>
        </is>
      </c>
      <c r="B255" s="1" t="n">
        <v>44103</v>
      </c>
      <c r="C255" s="1" t="n">
        <v>45838</v>
      </c>
      <c r="D255" t="inlineStr">
        <is>
          <t>GÄVLEBORGS LÄN</t>
        </is>
      </c>
      <c r="E255" t="inlineStr">
        <is>
          <t>OVANÅKER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49191-2020</t>
        </is>
      </c>
      <c r="B256" s="1" t="n">
        <v>44105</v>
      </c>
      <c r="C256" s="1" t="n">
        <v>45838</v>
      </c>
      <c r="D256" t="inlineStr">
        <is>
          <t>GÄVLEBORGS LÄN</t>
        </is>
      </c>
      <c r="E256" t="inlineStr">
        <is>
          <t>OVANÅKER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49198-2020</t>
        </is>
      </c>
      <c r="B257" s="1" t="n">
        <v>44105</v>
      </c>
      <c r="C257" s="1" t="n">
        <v>45838</v>
      </c>
      <c r="D257" t="inlineStr">
        <is>
          <t>GÄVLEBORGS LÄN</t>
        </is>
      </c>
      <c r="E257" t="inlineStr">
        <is>
          <t>OVANÅKER</t>
        </is>
      </c>
      <c r="F257" t="inlineStr">
        <is>
          <t>Sveaskog</t>
        </is>
      </c>
      <c r="G257" t="n">
        <v>3.8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49578-2020</t>
        </is>
      </c>
      <c r="B258" s="1" t="n">
        <v>44106</v>
      </c>
      <c r="C258" s="1" t="n">
        <v>45838</v>
      </c>
      <c r="D258" t="inlineStr">
        <is>
          <t>GÄVLEBORGS LÄN</t>
        </is>
      </c>
      <c r="E258" t="inlineStr">
        <is>
          <t>OVANÅKER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50243-2020</t>
        </is>
      </c>
      <c r="B259" s="1" t="n">
        <v>44109</v>
      </c>
      <c r="C259" s="1" t="n">
        <v>45838</v>
      </c>
      <c r="D259" t="inlineStr">
        <is>
          <t>GÄVLEBORGS LÄN</t>
        </is>
      </c>
      <c r="E259" t="inlineStr">
        <is>
          <t>OVANÅKER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49991-2020</t>
        </is>
      </c>
      <c r="B260" s="1" t="n">
        <v>44109</v>
      </c>
      <c r="C260" s="1" t="n">
        <v>45838</v>
      </c>
      <c r="D260" t="inlineStr">
        <is>
          <t>GÄVLEBORGS LÄN</t>
        </is>
      </c>
      <c r="E260" t="inlineStr">
        <is>
          <t>OVANÅKER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50244-2020</t>
        </is>
      </c>
      <c r="B261" s="1" t="n">
        <v>44109</v>
      </c>
      <c r="C261" s="1" t="n">
        <v>45838</v>
      </c>
      <c r="D261" t="inlineStr">
        <is>
          <t>GÄVLEBORGS LÄN</t>
        </is>
      </c>
      <c r="E261" t="inlineStr">
        <is>
          <t>OVANÅKER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51086-2020</t>
        </is>
      </c>
      <c r="B262" s="1" t="n">
        <v>44112</v>
      </c>
      <c r="C262" s="1" t="n">
        <v>45838</v>
      </c>
      <c r="D262" t="inlineStr">
        <is>
          <t>GÄVLEBORGS LÄN</t>
        </is>
      </c>
      <c r="E262" t="inlineStr">
        <is>
          <t>OVANÅKER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51083-2020</t>
        </is>
      </c>
      <c r="B263" s="1" t="n">
        <v>44112</v>
      </c>
      <c r="C263" s="1" t="n">
        <v>45838</v>
      </c>
      <c r="D263" t="inlineStr">
        <is>
          <t>GÄVLEBORGS LÄN</t>
        </is>
      </c>
      <c r="E263" t="inlineStr">
        <is>
          <t>OVANÅKER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51103-2020</t>
        </is>
      </c>
      <c r="B264" s="1" t="n">
        <v>44112</v>
      </c>
      <c r="C264" s="1" t="n">
        <v>45838</v>
      </c>
      <c r="D264" t="inlineStr">
        <is>
          <t>GÄVLEBORGS LÄN</t>
        </is>
      </c>
      <c r="E264" t="inlineStr">
        <is>
          <t>OVANÅKER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51274-2020</t>
        </is>
      </c>
      <c r="B265" s="1" t="n">
        <v>44112</v>
      </c>
      <c r="C265" s="1" t="n">
        <v>45838</v>
      </c>
      <c r="D265" t="inlineStr">
        <is>
          <t>GÄVLEBORGS LÄN</t>
        </is>
      </c>
      <c r="E265" t="inlineStr">
        <is>
          <t>OVANÅKER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52448-2020</t>
        </is>
      </c>
      <c r="B266" s="1" t="n">
        <v>44113</v>
      </c>
      <c r="C266" s="1" t="n">
        <v>45838</v>
      </c>
      <c r="D266" t="inlineStr">
        <is>
          <t>GÄVLEBORGS LÄN</t>
        </is>
      </c>
      <c r="E266" t="inlineStr">
        <is>
          <t>OVANÅKER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51983-2020</t>
        </is>
      </c>
      <c r="B267" s="1" t="n">
        <v>44116</v>
      </c>
      <c r="C267" s="1" t="n">
        <v>45838</v>
      </c>
      <c r="D267" t="inlineStr">
        <is>
          <t>GÄVLEBORGS LÄN</t>
        </is>
      </c>
      <c r="E267" t="inlineStr">
        <is>
          <t>OVANÅKER</t>
        </is>
      </c>
      <c r="G267" t="n">
        <v>26.7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52962-2020</t>
        </is>
      </c>
      <c r="B268" s="1" t="n">
        <v>44120</v>
      </c>
      <c r="C268" s="1" t="n">
        <v>45838</v>
      </c>
      <c r="D268" t="inlineStr">
        <is>
          <t>GÄVLEBORGS LÄN</t>
        </is>
      </c>
      <c r="E268" t="inlineStr">
        <is>
          <t>OVANÅKER</t>
        </is>
      </c>
      <c r="G268" t="n">
        <v>5.3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54070-2020</t>
        </is>
      </c>
      <c r="B269" s="1" t="n">
        <v>44125</v>
      </c>
      <c r="C269" s="1" t="n">
        <v>45838</v>
      </c>
      <c r="D269" t="inlineStr">
        <is>
          <t>GÄVLEBORGS LÄN</t>
        </is>
      </c>
      <c r="E269" t="inlineStr">
        <is>
          <t>OVANÅKER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55606-2020</t>
        </is>
      </c>
      <c r="B270" s="1" t="n">
        <v>44131</v>
      </c>
      <c r="C270" s="1" t="n">
        <v>45838</v>
      </c>
      <c r="D270" t="inlineStr">
        <is>
          <t>GÄVLEBORGS LÄN</t>
        </is>
      </c>
      <c r="E270" t="inlineStr">
        <is>
          <t>OVANÅKER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55600-2020</t>
        </is>
      </c>
      <c r="B271" s="1" t="n">
        <v>44131</v>
      </c>
      <c r="C271" s="1" t="n">
        <v>45838</v>
      </c>
      <c r="D271" t="inlineStr">
        <is>
          <t>GÄVLEBORGS LÄN</t>
        </is>
      </c>
      <c r="E271" t="inlineStr">
        <is>
          <t>OVANÅKER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55604-2020</t>
        </is>
      </c>
      <c r="B272" s="1" t="n">
        <v>44131</v>
      </c>
      <c r="C272" s="1" t="n">
        <v>45838</v>
      </c>
      <c r="D272" t="inlineStr">
        <is>
          <t>GÄVLEBORGS LÄN</t>
        </is>
      </c>
      <c r="E272" t="inlineStr">
        <is>
          <t>OVANÅKER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56503-2020</t>
        </is>
      </c>
      <c r="B273" s="1" t="n">
        <v>44137</v>
      </c>
      <c r="C273" s="1" t="n">
        <v>45838</v>
      </c>
      <c r="D273" t="inlineStr">
        <is>
          <t>GÄVLEBORGS LÄN</t>
        </is>
      </c>
      <c r="E273" t="inlineStr">
        <is>
          <t>OVANÅKER</t>
        </is>
      </c>
      <c r="G273" t="n">
        <v>2.9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56626-2020</t>
        </is>
      </c>
      <c r="B274" s="1" t="n">
        <v>44137</v>
      </c>
      <c r="C274" s="1" t="n">
        <v>45838</v>
      </c>
      <c r="D274" t="inlineStr">
        <is>
          <t>GÄVLEBORGS LÄN</t>
        </is>
      </c>
      <c r="E274" t="inlineStr">
        <is>
          <t>OVANÅKER</t>
        </is>
      </c>
      <c r="G274" t="n">
        <v>11.4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58352-2020</t>
        </is>
      </c>
      <c r="B275" s="1" t="n">
        <v>44145</v>
      </c>
      <c r="C275" s="1" t="n">
        <v>45838</v>
      </c>
      <c r="D275" t="inlineStr">
        <is>
          <t>GÄVLEBORGS LÄN</t>
        </is>
      </c>
      <c r="E275" t="inlineStr">
        <is>
          <t>OVANÅKER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58341-2020</t>
        </is>
      </c>
      <c r="B276" s="1" t="n">
        <v>44145</v>
      </c>
      <c r="C276" s="1" t="n">
        <v>45838</v>
      </c>
      <c r="D276" t="inlineStr">
        <is>
          <t>GÄVLEBORGS LÄN</t>
        </is>
      </c>
      <c r="E276" t="inlineStr">
        <is>
          <t>OVANÅKER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58814-2020</t>
        </is>
      </c>
      <c r="B277" s="1" t="n">
        <v>44146</v>
      </c>
      <c r="C277" s="1" t="n">
        <v>45838</v>
      </c>
      <c r="D277" t="inlineStr">
        <is>
          <t>GÄVLEBORGS LÄN</t>
        </is>
      </c>
      <c r="E277" t="inlineStr">
        <is>
          <t>OVANÅKER</t>
        </is>
      </c>
      <c r="G277" t="n">
        <v>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58853-2020</t>
        </is>
      </c>
      <c r="B278" s="1" t="n">
        <v>44146</v>
      </c>
      <c r="C278" s="1" t="n">
        <v>45838</v>
      </c>
      <c r="D278" t="inlineStr">
        <is>
          <t>GÄVLEBORGS LÄN</t>
        </is>
      </c>
      <c r="E278" t="inlineStr">
        <is>
          <t>OVANÅKER</t>
        </is>
      </c>
      <c r="G278" t="n">
        <v>2.6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58841-2020</t>
        </is>
      </c>
      <c r="B279" s="1" t="n">
        <v>44146</v>
      </c>
      <c r="C279" s="1" t="n">
        <v>45838</v>
      </c>
      <c r="D279" t="inlineStr">
        <is>
          <t>GÄVLEBORGS LÄN</t>
        </is>
      </c>
      <c r="E279" t="inlineStr">
        <is>
          <t>OVANÅKER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60743-2020</t>
        </is>
      </c>
      <c r="B280" s="1" t="n">
        <v>44153</v>
      </c>
      <c r="C280" s="1" t="n">
        <v>45838</v>
      </c>
      <c r="D280" t="inlineStr">
        <is>
          <t>GÄVLEBORGS LÄN</t>
        </is>
      </c>
      <c r="E280" t="inlineStr">
        <is>
          <t>OVANÅKER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61984-2020</t>
        </is>
      </c>
      <c r="B281" s="1" t="n">
        <v>44159</v>
      </c>
      <c r="C281" s="1" t="n">
        <v>45838</v>
      </c>
      <c r="D281" t="inlineStr">
        <is>
          <t>GÄVLEBORGS LÄN</t>
        </is>
      </c>
      <c r="E281" t="inlineStr">
        <is>
          <t>OVANÅKER</t>
        </is>
      </c>
      <c r="F281" t="inlineStr">
        <is>
          <t>Bergvik skog öst AB</t>
        </is>
      </c>
      <c r="G281" t="n">
        <v>8.6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62033-2020</t>
        </is>
      </c>
      <c r="B282" s="1" t="n">
        <v>44159</v>
      </c>
      <c r="C282" s="1" t="n">
        <v>45838</v>
      </c>
      <c r="D282" t="inlineStr">
        <is>
          <t>GÄVLEBORGS LÄN</t>
        </is>
      </c>
      <c r="E282" t="inlineStr">
        <is>
          <t>OVANÅKER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62478-2020</t>
        </is>
      </c>
      <c r="B283" s="1" t="n">
        <v>44160</v>
      </c>
      <c r="C283" s="1" t="n">
        <v>45838</v>
      </c>
      <c r="D283" t="inlineStr">
        <is>
          <t>GÄVLEBORGS LÄN</t>
        </is>
      </c>
      <c r="E283" t="inlineStr">
        <is>
          <t>OVANÅKER</t>
        </is>
      </c>
      <c r="F283" t="inlineStr">
        <is>
          <t>Bergvik skog väst AB</t>
        </is>
      </c>
      <c r="G283" t="n">
        <v>22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63128-2020</t>
        </is>
      </c>
      <c r="B284" s="1" t="n">
        <v>44162</v>
      </c>
      <c r="C284" s="1" t="n">
        <v>45838</v>
      </c>
      <c r="D284" t="inlineStr">
        <is>
          <t>GÄVLEBORGS LÄN</t>
        </is>
      </c>
      <c r="E284" t="inlineStr">
        <is>
          <t>OVANÅKER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64088-2020</t>
        </is>
      </c>
      <c r="B285" s="1" t="n">
        <v>44167</v>
      </c>
      <c r="C285" s="1" t="n">
        <v>45838</v>
      </c>
      <c r="D285" t="inlineStr">
        <is>
          <t>GÄVLEBORGS LÄN</t>
        </is>
      </c>
      <c r="E285" t="inlineStr">
        <is>
          <t>OVANÅKER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64117-2020</t>
        </is>
      </c>
      <c r="B286" s="1" t="n">
        <v>44167</v>
      </c>
      <c r="C286" s="1" t="n">
        <v>45838</v>
      </c>
      <c r="D286" t="inlineStr">
        <is>
          <t>GÄVLEBORGS LÄN</t>
        </is>
      </c>
      <c r="E286" t="inlineStr">
        <is>
          <t>OVANÅKER</t>
        </is>
      </c>
      <c r="G286" t="n">
        <v>0.4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63963-2020</t>
        </is>
      </c>
      <c r="B287" s="1" t="n">
        <v>44167</v>
      </c>
      <c r="C287" s="1" t="n">
        <v>45838</v>
      </c>
      <c r="D287" t="inlineStr">
        <is>
          <t>GÄVLEBORGS LÄN</t>
        </is>
      </c>
      <c r="E287" t="inlineStr">
        <is>
          <t>OVANÅKER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64008-2020</t>
        </is>
      </c>
      <c r="B288" s="1" t="n">
        <v>44167</v>
      </c>
      <c r="C288" s="1" t="n">
        <v>45838</v>
      </c>
      <c r="D288" t="inlineStr">
        <is>
          <t>GÄVLEBORGS LÄN</t>
        </is>
      </c>
      <c r="E288" t="inlineStr">
        <is>
          <t>OVANÅKER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64044-2020</t>
        </is>
      </c>
      <c r="B289" s="1" t="n">
        <v>44167</v>
      </c>
      <c r="C289" s="1" t="n">
        <v>45838</v>
      </c>
      <c r="D289" t="inlineStr">
        <is>
          <t>GÄVLEBORGS LÄN</t>
        </is>
      </c>
      <c r="E289" t="inlineStr">
        <is>
          <t>OVANÅKER</t>
        </is>
      </c>
      <c r="G289" t="n">
        <v>2.7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64010-2020</t>
        </is>
      </c>
      <c r="B290" s="1" t="n">
        <v>44167</v>
      </c>
      <c r="C290" s="1" t="n">
        <v>45838</v>
      </c>
      <c r="D290" t="inlineStr">
        <is>
          <t>GÄVLEBORGS LÄN</t>
        </is>
      </c>
      <c r="E290" t="inlineStr">
        <is>
          <t>OVANÅKER</t>
        </is>
      </c>
      <c r="G290" t="n">
        <v>3.3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64654-2020</t>
        </is>
      </c>
      <c r="B291" s="1" t="n">
        <v>44169</v>
      </c>
      <c r="C291" s="1" t="n">
        <v>45838</v>
      </c>
      <c r="D291" t="inlineStr">
        <is>
          <t>GÄVLEBORGS LÄN</t>
        </is>
      </c>
      <c r="E291" t="inlineStr">
        <is>
          <t>OVANÅKER</t>
        </is>
      </c>
      <c r="G291" t="n">
        <v>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64730-2020</t>
        </is>
      </c>
      <c r="B292" s="1" t="n">
        <v>44169</v>
      </c>
      <c r="C292" s="1" t="n">
        <v>45838</v>
      </c>
      <c r="D292" t="inlineStr">
        <is>
          <t>GÄVLEBORGS LÄN</t>
        </is>
      </c>
      <c r="E292" t="inlineStr">
        <is>
          <t>OVANÅKER</t>
        </is>
      </c>
      <c r="G292" t="n">
        <v>2.7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65806-2020</t>
        </is>
      </c>
      <c r="B293" s="1" t="n">
        <v>44174</v>
      </c>
      <c r="C293" s="1" t="n">
        <v>45838</v>
      </c>
      <c r="D293" t="inlineStr">
        <is>
          <t>GÄVLEBORGS LÄN</t>
        </is>
      </c>
      <c r="E293" t="inlineStr">
        <is>
          <t>OVANÅKER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65689-2020</t>
        </is>
      </c>
      <c r="B294" s="1" t="n">
        <v>44174</v>
      </c>
      <c r="C294" s="1" t="n">
        <v>45838</v>
      </c>
      <c r="D294" t="inlineStr">
        <is>
          <t>GÄVLEBORGS LÄN</t>
        </is>
      </c>
      <c r="E294" t="inlineStr">
        <is>
          <t>OVANÅKER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67475-2020</t>
        </is>
      </c>
      <c r="B295" s="1" t="n">
        <v>44181</v>
      </c>
      <c r="C295" s="1" t="n">
        <v>45838</v>
      </c>
      <c r="D295" t="inlineStr">
        <is>
          <t>GÄVLEBORGS LÄN</t>
        </is>
      </c>
      <c r="E295" t="inlineStr">
        <is>
          <t>OVANÅKER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68228-2020</t>
        </is>
      </c>
      <c r="B296" s="1" t="n">
        <v>44183</v>
      </c>
      <c r="C296" s="1" t="n">
        <v>45838</v>
      </c>
      <c r="D296" t="inlineStr">
        <is>
          <t>GÄVLEBORGS LÄN</t>
        </is>
      </c>
      <c r="E296" t="inlineStr">
        <is>
          <t>OVANÅKER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69304-2020</t>
        </is>
      </c>
      <c r="B297" s="1" t="n">
        <v>44188</v>
      </c>
      <c r="C297" s="1" t="n">
        <v>45838</v>
      </c>
      <c r="D297" t="inlineStr">
        <is>
          <t>GÄVLEBORGS LÄN</t>
        </is>
      </c>
      <c r="E297" t="inlineStr">
        <is>
          <t>OVANÅKER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748-2021</t>
        </is>
      </c>
      <c r="B298" s="1" t="n">
        <v>44204</v>
      </c>
      <c r="C298" s="1" t="n">
        <v>45838</v>
      </c>
      <c r="D298" t="inlineStr">
        <is>
          <t>GÄVLEBORGS LÄN</t>
        </is>
      </c>
      <c r="E298" t="inlineStr">
        <is>
          <t>OVANÅKER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3828-2021</t>
        </is>
      </c>
      <c r="B299" s="1" t="n">
        <v>44222</v>
      </c>
      <c r="C299" s="1" t="n">
        <v>45838</v>
      </c>
      <c r="D299" t="inlineStr">
        <is>
          <t>GÄVLEBORGS LÄN</t>
        </is>
      </c>
      <c r="E299" t="inlineStr">
        <is>
          <t>OVANÅKER</t>
        </is>
      </c>
      <c r="G299" t="n">
        <v>4.2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4287-2021</t>
        </is>
      </c>
      <c r="B300" s="1" t="n">
        <v>44223</v>
      </c>
      <c r="C300" s="1" t="n">
        <v>45838</v>
      </c>
      <c r="D300" t="inlineStr">
        <is>
          <t>GÄVLEBORGS LÄN</t>
        </is>
      </c>
      <c r="E300" t="inlineStr">
        <is>
          <t>OVANÅKER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5903-2021</t>
        </is>
      </c>
      <c r="B301" s="1" t="n">
        <v>44231</v>
      </c>
      <c r="C301" s="1" t="n">
        <v>45838</v>
      </c>
      <c r="D301" t="inlineStr">
        <is>
          <t>GÄVLEBORGS LÄN</t>
        </is>
      </c>
      <c r="E301" t="inlineStr">
        <is>
          <t>OVANÅKER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8432-2021</t>
        </is>
      </c>
      <c r="B302" s="1" t="n">
        <v>44245</v>
      </c>
      <c r="C302" s="1" t="n">
        <v>45838</v>
      </c>
      <c r="D302" t="inlineStr">
        <is>
          <t>GÄVLEBORGS LÄN</t>
        </is>
      </c>
      <c r="E302" t="inlineStr">
        <is>
          <t>OVANÅKER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9506-2021</t>
        </is>
      </c>
      <c r="B303" s="1" t="n">
        <v>44251</v>
      </c>
      <c r="C303" s="1" t="n">
        <v>45838</v>
      </c>
      <c r="D303" t="inlineStr">
        <is>
          <t>GÄVLEBORGS LÄN</t>
        </is>
      </c>
      <c r="E303" t="inlineStr">
        <is>
          <t>OVANÅKER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10542-2021</t>
        </is>
      </c>
      <c r="B304" s="1" t="n">
        <v>44258</v>
      </c>
      <c r="C304" s="1" t="n">
        <v>45838</v>
      </c>
      <c r="D304" t="inlineStr">
        <is>
          <t>GÄVLEBORGS LÄN</t>
        </is>
      </c>
      <c r="E304" t="inlineStr">
        <is>
          <t>OVANÅKER</t>
        </is>
      </c>
      <c r="G304" t="n">
        <v>2.1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10632-2021</t>
        </is>
      </c>
      <c r="B305" s="1" t="n">
        <v>44258</v>
      </c>
      <c r="C305" s="1" t="n">
        <v>45838</v>
      </c>
      <c r="D305" t="inlineStr">
        <is>
          <t>GÄVLEBORGS LÄN</t>
        </is>
      </c>
      <c r="E305" t="inlineStr">
        <is>
          <t>OVANÅKER</t>
        </is>
      </c>
      <c r="G305" t="n">
        <v>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10641-2021</t>
        </is>
      </c>
      <c r="B306" s="1" t="n">
        <v>44258</v>
      </c>
      <c r="C306" s="1" t="n">
        <v>45838</v>
      </c>
      <c r="D306" t="inlineStr">
        <is>
          <t>GÄVLEBORGS LÄN</t>
        </is>
      </c>
      <c r="E306" t="inlineStr">
        <is>
          <t>OVANÅKER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10708-2021</t>
        </is>
      </c>
      <c r="B307" s="1" t="n">
        <v>44258</v>
      </c>
      <c r="C307" s="1" t="n">
        <v>45838</v>
      </c>
      <c r="D307" t="inlineStr">
        <is>
          <t>GÄVLEBORGS LÄN</t>
        </is>
      </c>
      <c r="E307" t="inlineStr">
        <is>
          <t>OVANÅKER</t>
        </is>
      </c>
      <c r="G307" t="n">
        <v>22.6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11533-2021</t>
        </is>
      </c>
      <c r="B308" s="1" t="n">
        <v>44264</v>
      </c>
      <c r="C308" s="1" t="n">
        <v>45838</v>
      </c>
      <c r="D308" t="inlineStr">
        <is>
          <t>GÄVLEBORGS LÄN</t>
        </is>
      </c>
      <c r="E308" t="inlineStr">
        <is>
          <t>OVANÅKER</t>
        </is>
      </c>
      <c r="G308" t="n">
        <v>0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11543-2021</t>
        </is>
      </c>
      <c r="B309" s="1" t="n">
        <v>44264</v>
      </c>
      <c r="C309" s="1" t="n">
        <v>45838</v>
      </c>
      <c r="D309" t="inlineStr">
        <is>
          <t>GÄVLEBORGS LÄN</t>
        </is>
      </c>
      <c r="E309" t="inlineStr">
        <is>
          <t>OVANÅKER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11540-2021</t>
        </is>
      </c>
      <c r="B310" s="1" t="n">
        <v>44264</v>
      </c>
      <c r="C310" s="1" t="n">
        <v>45838</v>
      </c>
      <c r="D310" t="inlineStr">
        <is>
          <t>GÄVLEBORGS LÄN</t>
        </is>
      </c>
      <c r="E310" t="inlineStr">
        <is>
          <t>OVANÅKER</t>
        </is>
      </c>
      <c r="G310" t="n">
        <v>0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11536-2021</t>
        </is>
      </c>
      <c r="B311" s="1" t="n">
        <v>44264</v>
      </c>
      <c r="C311" s="1" t="n">
        <v>45838</v>
      </c>
      <c r="D311" t="inlineStr">
        <is>
          <t>GÄVLEBORGS LÄN</t>
        </is>
      </c>
      <c r="E311" t="inlineStr">
        <is>
          <t>OVANÅKER</t>
        </is>
      </c>
      <c r="G311" t="n">
        <v>0.1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12196-2021</t>
        </is>
      </c>
      <c r="B312" s="1" t="n">
        <v>44266</v>
      </c>
      <c r="C312" s="1" t="n">
        <v>45838</v>
      </c>
      <c r="D312" t="inlineStr">
        <is>
          <t>GÄVLEBORGS LÄN</t>
        </is>
      </c>
      <c r="E312" t="inlineStr">
        <is>
          <t>OVANÅKER</t>
        </is>
      </c>
      <c r="G312" t="n">
        <v>3.6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12139-2021</t>
        </is>
      </c>
      <c r="B313" s="1" t="n">
        <v>44266</v>
      </c>
      <c r="C313" s="1" t="n">
        <v>45838</v>
      </c>
      <c r="D313" t="inlineStr">
        <is>
          <t>GÄVLEBORGS LÄN</t>
        </is>
      </c>
      <c r="E313" t="inlineStr">
        <is>
          <t>OVANÅKER</t>
        </is>
      </c>
      <c r="G313" t="n">
        <v>3.3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12146-2021</t>
        </is>
      </c>
      <c r="B314" s="1" t="n">
        <v>44266</v>
      </c>
      <c r="C314" s="1" t="n">
        <v>45838</v>
      </c>
      <c r="D314" t="inlineStr">
        <is>
          <t>GÄVLEBORGS LÄN</t>
        </is>
      </c>
      <c r="E314" t="inlineStr">
        <is>
          <t>OVANÅKER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12140-2021</t>
        </is>
      </c>
      <c r="B315" s="1" t="n">
        <v>44266</v>
      </c>
      <c r="C315" s="1" t="n">
        <v>45838</v>
      </c>
      <c r="D315" t="inlineStr">
        <is>
          <t>GÄVLEBORGS LÄN</t>
        </is>
      </c>
      <c r="E315" t="inlineStr">
        <is>
          <t>OVANÅKER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12207-2021</t>
        </is>
      </c>
      <c r="B316" s="1" t="n">
        <v>44266</v>
      </c>
      <c r="C316" s="1" t="n">
        <v>45838</v>
      </c>
      <c r="D316" t="inlineStr">
        <is>
          <t>GÄVLEBORGS LÄN</t>
        </is>
      </c>
      <c r="E316" t="inlineStr">
        <is>
          <t>OVANÅKER</t>
        </is>
      </c>
      <c r="G316" t="n">
        <v>4.8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12825-2021</t>
        </is>
      </c>
      <c r="B317" s="1" t="n">
        <v>44270</v>
      </c>
      <c r="C317" s="1" t="n">
        <v>45838</v>
      </c>
      <c r="D317" t="inlineStr">
        <is>
          <t>GÄVLEBORGS LÄN</t>
        </is>
      </c>
      <c r="E317" t="inlineStr">
        <is>
          <t>OVANÅKER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12824-2021</t>
        </is>
      </c>
      <c r="B318" s="1" t="n">
        <v>44271</v>
      </c>
      <c r="C318" s="1" t="n">
        <v>45838</v>
      </c>
      <c r="D318" t="inlineStr">
        <is>
          <t>GÄVLEBORGS LÄN</t>
        </is>
      </c>
      <c r="E318" t="inlineStr">
        <is>
          <t>OVANÅKER</t>
        </is>
      </c>
      <c r="F318" t="inlineStr">
        <is>
          <t>Bergvik skog väst AB</t>
        </is>
      </c>
      <c r="G318" t="n">
        <v>11.5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13276-2021</t>
        </is>
      </c>
      <c r="B319" s="1" t="n">
        <v>44272</v>
      </c>
      <c r="C319" s="1" t="n">
        <v>45838</v>
      </c>
      <c r="D319" t="inlineStr">
        <is>
          <t>GÄVLEBORGS LÄN</t>
        </is>
      </c>
      <c r="E319" t="inlineStr">
        <is>
          <t>OVANÅKER</t>
        </is>
      </c>
      <c r="G319" t="n">
        <v>7.7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13404-2021</t>
        </is>
      </c>
      <c r="B320" s="1" t="n">
        <v>44273</v>
      </c>
      <c r="C320" s="1" t="n">
        <v>45838</v>
      </c>
      <c r="D320" t="inlineStr">
        <is>
          <t>GÄVLEBORGS LÄN</t>
        </is>
      </c>
      <c r="E320" t="inlineStr">
        <is>
          <t>OVANÅKER</t>
        </is>
      </c>
      <c r="G320" t="n">
        <v>4.1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13901-2021</t>
        </is>
      </c>
      <c r="B321" s="1" t="n">
        <v>44277</v>
      </c>
      <c r="C321" s="1" t="n">
        <v>45838</v>
      </c>
      <c r="D321" t="inlineStr">
        <is>
          <t>GÄVLEBORGS LÄN</t>
        </is>
      </c>
      <c r="E321" t="inlineStr">
        <is>
          <t>OVANÅKER</t>
        </is>
      </c>
      <c r="F321" t="inlineStr">
        <is>
          <t>Bergvik skog väst AB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14261-2021</t>
        </is>
      </c>
      <c r="B322" s="1" t="n">
        <v>44278</v>
      </c>
      <c r="C322" s="1" t="n">
        <v>45838</v>
      </c>
      <c r="D322" t="inlineStr">
        <is>
          <t>GÄVLEBORGS LÄN</t>
        </is>
      </c>
      <c r="E322" t="inlineStr">
        <is>
          <t>OVANÅKER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14413-2021</t>
        </is>
      </c>
      <c r="B323" s="1" t="n">
        <v>44279</v>
      </c>
      <c r="C323" s="1" t="n">
        <v>45838</v>
      </c>
      <c r="D323" t="inlineStr">
        <is>
          <t>GÄVLEBORGS LÄN</t>
        </is>
      </c>
      <c r="E323" t="inlineStr">
        <is>
          <t>OVANÅKER</t>
        </is>
      </c>
      <c r="G323" t="n">
        <v>2.6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14500-2021</t>
        </is>
      </c>
      <c r="B324" s="1" t="n">
        <v>44279</v>
      </c>
      <c r="C324" s="1" t="n">
        <v>45838</v>
      </c>
      <c r="D324" t="inlineStr">
        <is>
          <t>GÄVLEBORGS LÄN</t>
        </is>
      </c>
      <c r="E324" t="inlineStr">
        <is>
          <t>OVANÅKER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15534-2021</t>
        </is>
      </c>
      <c r="B325" s="1" t="n">
        <v>44285</v>
      </c>
      <c r="C325" s="1" t="n">
        <v>45838</v>
      </c>
      <c r="D325" t="inlineStr">
        <is>
          <t>GÄVLEBORGS LÄN</t>
        </is>
      </c>
      <c r="E325" t="inlineStr">
        <is>
          <t>OVANÅKER</t>
        </is>
      </c>
      <c r="F325" t="inlineStr">
        <is>
          <t>Bergvik skog väst AB</t>
        </is>
      </c>
      <c r="G325" t="n">
        <v>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15902-2021</t>
        </is>
      </c>
      <c r="B326" s="1" t="n">
        <v>44287</v>
      </c>
      <c r="C326" s="1" t="n">
        <v>45838</v>
      </c>
      <c r="D326" t="inlineStr">
        <is>
          <t>GÄVLEBORGS LÄN</t>
        </is>
      </c>
      <c r="E326" t="inlineStr">
        <is>
          <t>OVANÅKER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17215-2021</t>
        </is>
      </c>
      <c r="B327" s="1" t="n">
        <v>44298</v>
      </c>
      <c r="C327" s="1" t="n">
        <v>45838</v>
      </c>
      <c r="D327" t="inlineStr">
        <is>
          <t>GÄVLEBORGS LÄN</t>
        </is>
      </c>
      <c r="E327" t="inlineStr">
        <is>
          <t>OVANÅKER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17290-2021</t>
        </is>
      </c>
      <c r="B328" s="1" t="n">
        <v>44298</v>
      </c>
      <c r="C328" s="1" t="n">
        <v>45838</v>
      </c>
      <c r="D328" t="inlineStr">
        <is>
          <t>GÄVLEBORGS LÄN</t>
        </is>
      </c>
      <c r="E328" t="inlineStr">
        <is>
          <t>OVANÅKER</t>
        </is>
      </c>
      <c r="G328" t="n">
        <v>5.4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17959-2021</t>
        </is>
      </c>
      <c r="B329" s="1" t="n">
        <v>44301</v>
      </c>
      <c r="C329" s="1" t="n">
        <v>45838</v>
      </c>
      <c r="D329" t="inlineStr">
        <is>
          <t>GÄVLEBORGS LÄN</t>
        </is>
      </c>
      <c r="E329" t="inlineStr">
        <is>
          <t>OVANÅKER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18350-2021</t>
        </is>
      </c>
      <c r="B330" s="1" t="n">
        <v>44305</v>
      </c>
      <c r="C330" s="1" t="n">
        <v>45838</v>
      </c>
      <c r="D330" t="inlineStr">
        <is>
          <t>GÄVLEBORGS LÄN</t>
        </is>
      </c>
      <c r="E330" t="inlineStr">
        <is>
          <t>OVANÅKER</t>
        </is>
      </c>
      <c r="G330" t="n">
        <v>2.3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19441-2021</t>
        </is>
      </c>
      <c r="B331" s="1" t="n">
        <v>44310</v>
      </c>
      <c r="C331" s="1" t="n">
        <v>45838</v>
      </c>
      <c r="D331" t="inlineStr">
        <is>
          <t>GÄVLEBORGS LÄN</t>
        </is>
      </c>
      <c r="E331" t="inlineStr">
        <is>
          <t>OVANÅKER</t>
        </is>
      </c>
      <c r="F331" t="inlineStr">
        <is>
          <t>Bergvik skog väst AB</t>
        </is>
      </c>
      <c r="G331" t="n">
        <v>6.6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19442-2021</t>
        </is>
      </c>
      <c r="B332" s="1" t="n">
        <v>44310</v>
      </c>
      <c r="C332" s="1" t="n">
        <v>45838</v>
      </c>
      <c r="D332" t="inlineStr">
        <is>
          <t>GÄVLEBORGS LÄN</t>
        </is>
      </c>
      <c r="E332" t="inlineStr">
        <is>
          <t>OVANÅKER</t>
        </is>
      </c>
      <c r="F332" t="inlineStr">
        <is>
          <t>Bergvik skog väst AB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19661-2021</t>
        </is>
      </c>
      <c r="B333" s="1" t="n">
        <v>44312</v>
      </c>
      <c r="C333" s="1" t="n">
        <v>45838</v>
      </c>
      <c r="D333" t="inlineStr">
        <is>
          <t>GÄVLEBORGS LÄN</t>
        </is>
      </c>
      <c r="E333" t="inlineStr">
        <is>
          <t>OVANÅKER</t>
        </is>
      </c>
      <c r="F333" t="inlineStr">
        <is>
          <t>Bergvik skog väst AB</t>
        </is>
      </c>
      <c r="G333" t="n">
        <v>4.2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19919-2021</t>
        </is>
      </c>
      <c r="B334" s="1" t="n">
        <v>44313</v>
      </c>
      <c r="C334" s="1" t="n">
        <v>45838</v>
      </c>
      <c r="D334" t="inlineStr">
        <is>
          <t>GÄVLEBORGS LÄN</t>
        </is>
      </c>
      <c r="E334" t="inlineStr">
        <is>
          <t>OVANÅKER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20089-2021</t>
        </is>
      </c>
      <c r="B335" s="1" t="n">
        <v>44314</v>
      </c>
      <c r="C335" s="1" t="n">
        <v>45838</v>
      </c>
      <c r="D335" t="inlineStr">
        <is>
          <t>GÄVLEBORGS LÄN</t>
        </is>
      </c>
      <c r="E335" t="inlineStr">
        <is>
          <t>OVANÅKER</t>
        </is>
      </c>
      <c r="F335" t="inlineStr">
        <is>
          <t>Sveaskog</t>
        </is>
      </c>
      <c r="G335" t="n">
        <v>3.6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20101-2021</t>
        </is>
      </c>
      <c r="B336" s="1" t="n">
        <v>44314</v>
      </c>
      <c r="C336" s="1" t="n">
        <v>45838</v>
      </c>
      <c r="D336" t="inlineStr">
        <is>
          <t>GÄVLEBORGS LÄN</t>
        </is>
      </c>
      <c r="E336" t="inlineStr">
        <is>
          <t>OVANÅKER</t>
        </is>
      </c>
      <c r="F336" t="inlineStr">
        <is>
          <t>Sveaskog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20095-2021</t>
        </is>
      </c>
      <c r="B337" s="1" t="n">
        <v>44314</v>
      </c>
      <c r="C337" s="1" t="n">
        <v>45838</v>
      </c>
      <c r="D337" t="inlineStr">
        <is>
          <t>GÄVLEBORGS LÄN</t>
        </is>
      </c>
      <c r="E337" t="inlineStr">
        <is>
          <t>OVANÅKER</t>
        </is>
      </c>
      <c r="F337" t="inlineStr">
        <is>
          <t>Sveaskog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20108-2021</t>
        </is>
      </c>
      <c r="B338" s="1" t="n">
        <v>44314</v>
      </c>
      <c r="C338" s="1" t="n">
        <v>45838</v>
      </c>
      <c r="D338" t="inlineStr">
        <is>
          <t>GÄVLEBORGS LÄN</t>
        </is>
      </c>
      <c r="E338" t="inlineStr">
        <is>
          <t>OVANÅKER</t>
        </is>
      </c>
      <c r="F338" t="inlineStr">
        <is>
          <t>Sveaskog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20356-2021</t>
        </is>
      </c>
      <c r="B339" s="1" t="n">
        <v>44315</v>
      </c>
      <c r="C339" s="1" t="n">
        <v>45838</v>
      </c>
      <c r="D339" t="inlineStr">
        <is>
          <t>GÄVLEBORGS LÄN</t>
        </is>
      </c>
      <c r="E339" t="inlineStr">
        <is>
          <t>OVANÅKER</t>
        </is>
      </c>
      <c r="G339" t="n">
        <v>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21709-2021</t>
        </is>
      </c>
      <c r="B340" s="1" t="n">
        <v>44322</v>
      </c>
      <c r="C340" s="1" t="n">
        <v>45838</v>
      </c>
      <c r="D340" t="inlineStr">
        <is>
          <t>GÄVLEBORGS LÄN</t>
        </is>
      </c>
      <c r="E340" t="inlineStr">
        <is>
          <t>OVANÅKER</t>
        </is>
      </c>
      <c r="F340" t="inlineStr">
        <is>
          <t>Bergvik skog väst AB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22416-2021</t>
        </is>
      </c>
      <c r="B341" s="1" t="n">
        <v>44326</v>
      </c>
      <c r="C341" s="1" t="n">
        <v>45838</v>
      </c>
      <c r="D341" t="inlineStr">
        <is>
          <t>GÄVLEBORGS LÄN</t>
        </is>
      </c>
      <c r="E341" t="inlineStr">
        <is>
          <t>OVANÅKER</t>
        </is>
      </c>
      <c r="G341" t="n">
        <v>2.4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22945-2021</t>
        </is>
      </c>
      <c r="B342" s="1" t="n">
        <v>44328</v>
      </c>
      <c r="C342" s="1" t="n">
        <v>45838</v>
      </c>
      <c r="D342" t="inlineStr">
        <is>
          <t>GÄVLEBORGS LÄN</t>
        </is>
      </c>
      <c r="E342" t="inlineStr">
        <is>
          <t>OVANÅKER</t>
        </is>
      </c>
      <c r="F342" t="inlineStr">
        <is>
          <t>Bergvik skog väst AB</t>
        </is>
      </c>
      <c r="G342" t="n">
        <v>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24075-2021</t>
        </is>
      </c>
      <c r="B343" s="1" t="n">
        <v>44336</v>
      </c>
      <c r="C343" s="1" t="n">
        <v>45838</v>
      </c>
      <c r="D343" t="inlineStr">
        <is>
          <t>GÄVLEBORGS LÄN</t>
        </is>
      </c>
      <c r="E343" t="inlineStr">
        <is>
          <t>OVANÅKER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24344-2021</t>
        </is>
      </c>
      <c r="B344" s="1" t="n">
        <v>44337</v>
      </c>
      <c r="C344" s="1" t="n">
        <v>45838</v>
      </c>
      <c r="D344" t="inlineStr">
        <is>
          <t>GÄVLEBORGS LÄN</t>
        </is>
      </c>
      <c r="E344" t="inlineStr">
        <is>
          <t>OVANÅKER</t>
        </is>
      </c>
      <c r="G344" t="n">
        <v>3.5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24665-2021</t>
        </is>
      </c>
      <c r="B345" s="1" t="n">
        <v>44340</v>
      </c>
      <c r="C345" s="1" t="n">
        <v>45838</v>
      </c>
      <c r="D345" t="inlineStr">
        <is>
          <t>GÄVLEBORGS LÄN</t>
        </is>
      </c>
      <c r="E345" t="inlineStr">
        <is>
          <t>OVANÅKER</t>
        </is>
      </c>
      <c r="G345" t="n">
        <v>4.4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25939-2021</t>
        </is>
      </c>
      <c r="B346" s="1" t="n">
        <v>44344</v>
      </c>
      <c r="C346" s="1" t="n">
        <v>45838</v>
      </c>
      <c r="D346" t="inlineStr">
        <is>
          <t>GÄVLEBORGS LÄN</t>
        </is>
      </c>
      <c r="E346" t="inlineStr">
        <is>
          <t>OVANÅKER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26269-2021</t>
        </is>
      </c>
      <c r="B347" s="1" t="n">
        <v>44347</v>
      </c>
      <c r="C347" s="1" t="n">
        <v>45838</v>
      </c>
      <c r="D347" t="inlineStr">
        <is>
          <t>GÄVLEBORGS LÄN</t>
        </is>
      </c>
      <c r="E347" t="inlineStr">
        <is>
          <t>OVANÅKER</t>
        </is>
      </c>
      <c r="G347" t="n">
        <v>2.3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26365-2021</t>
        </is>
      </c>
      <c r="B348" s="1" t="n">
        <v>44347</v>
      </c>
      <c r="C348" s="1" t="n">
        <v>45838</v>
      </c>
      <c r="D348" t="inlineStr">
        <is>
          <t>GÄVLEBORGS LÄN</t>
        </is>
      </c>
      <c r="E348" t="inlineStr">
        <is>
          <t>OVANÅKER</t>
        </is>
      </c>
      <c r="G348" t="n">
        <v>0.4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26754-2021</t>
        </is>
      </c>
      <c r="B349" s="1" t="n">
        <v>44349</v>
      </c>
      <c r="C349" s="1" t="n">
        <v>45838</v>
      </c>
      <c r="D349" t="inlineStr">
        <is>
          <t>GÄVLEBORGS LÄN</t>
        </is>
      </c>
      <c r="E349" t="inlineStr">
        <is>
          <t>OVANÅKER</t>
        </is>
      </c>
      <c r="G349" t="n">
        <v>2.4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26800-2021</t>
        </is>
      </c>
      <c r="B350" s="1" t="n">
        <v>44349</v>
      </c>
      <c r="C350" s="1" t="n">
        <v>45838</v>
      </c>
      <c r="D350" t="inlineStr">
        <is>
          <t>GÄVLEBORGS LÄN</t>
        </is>
      </c>
      <c r="E350" t="inlineStr">
        <is>
          <t>OVANÅKER</t>
        </is>
      </c>
      <c r="F350" t="inlineStr">
        <is>
          <t>Sveaskog</t>
        </is>
      </c>
      <c r="G350" t="n">
        <v>3.1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26752-2021</t>
        </is>
      </c>
      <c r="B351" s="1" t="n">
        <v>44349</v>
      </c>
      <c r="C351" s="1" t="n">
        <v>45838</v>
      </c>
      <c r="D351" t="inlineStr">
        <is>
          <t>GÄVLEBORGS LÄN</t>
        </is>
      </c>
      <c r="E351" t="inlineStr">
        <is>
          <t>OVANÅKER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26806-2021</t>
        </is>
      </c>
      <c r="B352" s="1" t="n">
        <v>44349</v>
      </c>
      <c r="C352" s="1" t="n">
        <v>45838</v>
      </c>
      <c r="D352" t="inlineStr">
        <is>
          <t>GÄVLEBORGS LÄN</t>
        </is>
      </c>
      <c r="E352" t="inlineStr">
        <is>
          <t>OVANÅKER</t>
        </is>
      </c>
      <c r="F352" t="inlineStr">
        <is>
          <t>Sveaskog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27078-2021</t>
        </is>
      </c>
      <c r="B353" s="1" t="n">
        <v>44350</v>
      </c>
      <c r="C353" s="1" t="n">
        <v>45838</v>
      </c>
      <c r="D353" t="inlineStr">
        <is>
          <t>GÄVLEBORGS LÄN</t>
        </is>
      </c>
      <c r="E353" t="inlineStr">
        <is>
          <t>OVANÅKER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27374-2021</t>
        </is>
      </c>
      <c r="B354" s="1" t="n">
        <v>44351</v>
      </c>
      <c r="C354" s="1" t="n">
        <v>45838</v>
      </c>
      <c r="D354" t="inlineStr">
        <is>
          <t>GÄVLEBORGS LÄN</t>
        </is>
      </c>
      <c r="E354" t="inlineStr">
        <is>
          <t>OVANÅKER</t>
        </is>
      </c>
      <c r="G354" t="n">
        <v>3.3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27536-2021</t>
        </is>
      </c>
      <c r="B355" s="1" t="n">
        <v>44351</v>
      </c>
      <c r="C355" s="1" t="n">
        <v>45838</v>
      </c>
      <c r="D355" t="inlineStr">
        <is>
          <t>GÄVLEBORGS LÄN</t>
        </is>
      </c>
      <c r="E355" t="inlineStr">
        <is>
          <t>OVANÅKER</t>
        </is>
      </c>
      <c r="F355" t="inlineStr">
        <is>
          <t>Sveaskog</t>
        </is>
      </c>
      <c r="G355" t="n">
        <v>3.2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27534-2021</t>
        </is>
      </c>
      <c r="B356" s="1" t="n">
        <v>44351</v>
      </c>
      <c r="C356" s="1" t="n">
        <v>45838</v>
      </c>
      <c r="D356" t="inlineStr">
        <is>
          <t>GÄVLEBORGS LÄN</t>
        </is>
      </c>
      <c r="E356" t="inlineStr">
        <is>
          <t>OVANÅKER</t>
        </is>
      </c>
      <c r="F356" t="inlineStr">
        <is>
          <t>Sveaskog</t>
        </is>
      </c>
      <c r="G356" t="n">
        <v>4.1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28182-2021</t>
        </is>
      </c>
      <c r="B357" s="1" t="n">
        <v>44355</v>
      </c>
      <c r="C357" s="1" t="n">
        <v>45838</v>
      </c>
      <c r="D357" t="inlineStr">
        <is>
          <t>GÄVLEBORGS LÄN</t>
        </is>
      </c>
      <c r="E357" t="inlineStr">
        <is>
          <t>OVANÅKER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30424-2021</t>
        </is>
      </c>
      <c r="B358" s="1" t="n">
        <v>44364</v>
      </c>
      <c r="C358" s="1" t="n">
        <v>45838</v>
      </c>
      <c r="D358" t="inlineStr">
        <is>
          <t>GÄVLEBORGS LÄN</t>
        </is>
      </c>
      <c r="E358" t="inlineStr">
        <is>
          <t>OVANÅKER</t>
        </is>
      </c>
      <c r="G358" t="n">
        <v>3.6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30439-2021</t>
        </is>
      </c>
      <c r="B359" s="1" t="n">
        <v>44364</v>
      </c>
      <c r="C359" s="1" t="n">
        <v>45838</v>
      </c>
      <c r="D359" t="inlineStr">
        <is>
          <t>GÄVLEBORGS LÄN</t>
        </is>
      </c>
      <c r="E359" t="inlineStr">
        <is>
          <t>OVANÅKER</t>
        </is>
      </c>
      <c r="G359" t="n">
        <v>3.6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30956-2021</t>
        </is>
      </c>
      <c r="B360" s="1" t="n">
        <v>44365</v>
      </c>
      <c r="C360" s="1" t="n">
        <v>45838</v>
      </c>
      <c r="D360" t="inlineStr">
        <is>
          <t>GÄVLEBORGS LÄN</t>
        </is>
      </c>
      <c r="E360" t="inlineStr">
        <is>
          <t>OVANÅKER</t>
        </is>
      </c>
      <c r="F360" t="inlineStr">
        <is>
          <t>Sveaskog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32238-2021</t>
        </is>
      </c>
      <c r="B361" s="1" t="n">
        <v>44371</v>
      </c>
      <c r="C361" s="1" t="n">
        <v>45838</v>
      </c>
      <c r="D361" t="inlineStr">
        <is>
          <t>GÄVLEBORGS LÄN</t>
        </is>
      </c>
      <c r="E361" t="inlineStr">
        <is>
          <t>OVANÅKER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32420-2021</t>
        </is>
      </c>
      <c r="B362" s="1" t="n">
        <v>44371</v>
      </c>
      <c r="C362" s="1" t="n">
        <v>45838</v>
      </c>
      <c r="D362" t="inlineStr">
        <is>
          <t>GÄVLEBORGS LÄN</t>
        </is>
      </c>
      <c r="E362" t="inlineStr">
        <is>
          <t>OVANÅKER</t>
        </is>
      </c>
      <c r="F362" t="inlineStr">
        <is>
          <t>Bergvik skog väst AB</t>
        </is>
      </c>
      <c r="G362" t="n">
        <v>3.2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33180-2021</t>
        </is>
      </c>
      <c r="B363" s="1" t="n">
        <v>44376</v>
      </c>
      <c r="C363" s="1" t="n">
        <v>45838</v>
      </c>
      <c r="D363" t="inlineStr">
        <is>
          <t>GÄVLEBORGS LÄN</t>
        </is>
      </c>
      <c r="E363" t="inlineStr">
        <is>
          <t>OVANÅKER</t>
        </is>
      </c>
      <c r="F363" t="inlineStr">
        <is>
          <t>Sveaskog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34186-2021</t>
        </is>
      </c>
      <c r="B364" s="1" t="n">
        <v>44379</v>
      </c>
      <c r="C364" s="1" t="n">
        <v>45838</v>
      </c>
      <c r="D364" t="inlineStr">
        <is>
          <t>GÄVLEBORGS LÄN</t>
        </is>
      </c>
      <c r="E364" t="inlineStr">
        <is>
          <t>OVANÅKER</t>
        </is>
      </c>
      <c r="F364" t="inlineStr">
        <is>
          <t>Holmen skog AB</t>
        </is>
      </c>
      <c r="G364" t="n">
        <v>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34298-2021</t>
        </is>
      </c>
      <c r="B365" s="1" t="n">
        <v>44379</v>
      </c>
      <c r="C365" s="1" t="n">
        <v>45838</v>
      </c>
      <c r="D365" t="inlineStr">
        <is>
          <t>GÄVLEBORGS LÄN</t>
        </is>
      </c>
      <c r="E365" t="inlineStr">
        <is>
          <t>OVANÅKER</t>
        </is>
      </c>
      <c r="F365" t="inlineStr">
        <is>
          <t>Holmen skog AB</t>
        </is>
      </c>
      <c r="G365" t="n">
        <v>4.2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34222-2021</t>
        </is>
      </c>
      <c r="B366" s="1" t="n">
        <v>44379</v>
      </c>
      <c r="C366" s="1" t="n">
        <v>45838</v>
      </c>
      <c r="D366" t="inlineStr">
        <is>
          <t>GÄVLEBORGS LÄN</t>
        </is>
      </c>
      <c r="E366" t="inlineStr">
        <is>
          <t>OVANÅKER</t>
        </is>
      </c>
      <c r="G366" t="n">
        <v>1.9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34303-2021</t>
        </is>
      </c>
      <c r="B367" s="1" t="n">
        <v>44379</v>
      </c>
      <c r="C367" s="1" t="n">
        <v>45838</v>
      </c>
      <c r="D367" t="inlineStr">
        <is>
          <t>GÄVLEBORGS LÄN</t>
        </is>
      </c>
      <c r="E367" t="inlineStr">
        <is>
          <t>OVANÅKER</t>
        </is>
      </c>
      <c r="F367" t="inlineStr">
        <is>
          <t>Holmen skog AB</t>
        </is>
      </c>
      <c r="G367" t="n">
        <v>2.5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34260-2021</t>
        </is>
      </c>
      <c r="B368" s="1" t="n">
        <v>44379</v>
      </c>
      <c r="C368" s="1" t="n">
        <v>45838</v>
      </c>
      <c r="D368" t="inlineStr">
        <is>
          <t>GÄVLEBORGS LÄN</t>
        </is>
      </c>
      <c r="E368" t="inlineStr">
        <is>
          <t>OVANÅKER</t>
        </is>
      </c>
      <c r="F368" t="inlineStr">
        <is>
          <t>Kyrkan</t>
        </is>
      </c>
      <c r="G368" t="n">
        <v>8.300000000000001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34308-2021</t>
        </is>
      </c>
      <c r="B369" s="1" t="n">
        <v>44379</v>
      </c>
      <c r="C369" s="1" t="n">
        <v>45838</v>
      </c>
      <c r="D369" t="inlineStr">
        <is>
          <t>GÄVLEBORGS LÄN</t>
        </is>
      </c>
      <c r="E369" t="inlineStr">
        <is>
          <t>OVANÅKER</t>
        </is>
      </c>
      <c r="F369" t="inlineStr">
        <is>
          <t>Holmen skog AB</t>
        </is>
      </c>
      <c r="G369" t="n">
        <v>2.8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34200-2021</t>
        </is>
      </c>
      <c r="B370" s="1" t="n">
        <v>44379</v>
      </c>
      <c r="C370" s="1" t="n">
        <v>45838</v>
      </c>
      <c r="D370" t="inlineStr">
        <is>
          <t>GÄVLEBORGS LÄN</t>
        </is>
      </c>
      <c r="E370" t="inlineStr">
        <is>
          <t>OVANÅKER</t>
        </is>
      </c>
      <c r="F370" t="inlineStr">
        <is>
          <t>Kyrkan</t>
        </is>
      </c>
      <c r="G370" t="n">
        <v>16.3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34128-2021</t>
        </is>
      </c>
      <c r="B371" s="1" t="n">
        <v>44379</v>
      </c>
      <c r="C371" s="1" t="n">
        <v>45838</v>
      </c>
      <c r="D371" t="inlineStr">
        <is>
          <t>GÄVLEBORGS LÄN</t>
        </is>
      </c>
      <c r="E371" t="inlineStr">
        <is>
          <t>OVANÅKER</t>
        </is>
      </c>
      <c r="G371" t="n">
        <v>2.5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34513-2021</t>
        </is>
      </c>
      <c r="B372" s="1" t="n">
        <v>44382</v>
      </c>
      <c r="C372" s="1" t="n">
        <v>45838</v>
      </c>
      <c r="D372" t="inlineStr">
        <is>
          <t>GÄVLEBORGS LÄN</t>
        </is>
      </c>
      <c r="E372" t="inlineStr">
        <is>
          <t>OVANÅKER</t>
        </is>
      </c>
      <c r="F372" t="inlineStr">
        <is>
          <t>Sveaskog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35269-2021</t>
        </is>
      </c>
      <c r="B373" s="1" t="n">
        <v>44384</v>
      </c>
      <c r="C373" s="1" t="n">
        <v>45838</v>
      </c>
      <c r="D373" t="inlineStr">
        <is>
          <t>GÄVLEBORGS LÄN</t>
        </is>
      </c>
      <c r="E373" t="inlineStr">
        <is>
          <t>OVANÅKER</t>
        </is>
      </c>
      <c r="F373" t="inlineStr">
        <is>
          <t>Holmen skog AB</t>
        </is>
      </c>
      <c r="G373" t="n">
        <v>2.7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35239-2021</t>
        </is>
      </c>
      <c r="B374" s="1" t="n">
        <v>44384</v>
      </c>
      <c r="C374" s="1" t="n">
        <v>45838</v>
      </c>
      <c r="D374" t="inlineStr">
        <is>
          <t>GÄVLEBORGS LÄN</t>
        </is>
      </c>
      <c r="E374" t="inlineStr">
        <is>
          <t>OVANÅKER</t>
        </is>
      </c>
      <c r="F374" t="inlineStr">
        <is>
          <t>Holmen skog AB</t>
        </is>
      </c>
      <c r="G374" t="n">
        <v>4.8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35278-2021</t>
        </is>
      </c>
      <c r="B375" s="1" t="n">
        <v>44384</v>
      </c>
      <c r="C375" s="1" t="n">
        <v>45838</v>
      </c>
      <c r="D375" t="inlineStr">
        <is>
          <t>GÄVLEBORGS LÄN</t>
        </is>
      </c>
      <c r="E375" t="inlineStr">
        <is>
          <t>OVANÅKER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36056-2021</t>
        </is>
      </c>
      <c r="B376" s="1" t="n">
        <v>44389</v>
      </c>
      <c r="C376" s="1" t="n">
        <v>45838</v>
      </c>
      <c r="D376" t="inlineStr">
        <is>
          <t>GÄVLEBORGS LÄN</t>
        </is>
      </c>
      <c r="E376" t="inlineStr">
        <is>
          <t>OVANÅKER</t>
        </is>
      </c>
      <c r="F376" t="inlineStr">
        <is>
          <t>Bergvik skog väst AB</t>
        </is>
      </c>
      <c r="G376" t="n">
        <v>5.4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37729-2021</t>
        </is>
      </c>
      <c r="B377" s="1" t="n">
        <v>44400</v>
      </c>
      <c r="C377" s="1" t="n">
        <v>45838</v>
      </c>
      <c r="D377" t="inlineStr">
        <is>
          <t>GÄVLEBORGS LÄN</t>
        </is>
      </c>
      <c r="E377" t="inlineStr">
        <is>
          <t>OVANÅKER</t>
        </is>
      </c>
      <c r="F377" t="inlineStr">
        <is>
          <t>Sveaskog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37734-2021</t>
        </is>
      </c>
      <c r="B378" s="1" t="n">
        <v>44400</v>
      </c>
      <c r="C378" s="1" t="n">
        <v>45838</v>
      </c>
      <c r="D378" t="inlineStr">
        <is>
          <t>GÄVLEBORGS LÄN</t>
        </is>
      </c>
      <c r="E378" t="inlineStr">
        <is>
          <t>OVANÅKER</t>
        </is>
      </c>
      <c r="F378" t="inlineStr">
        <is>
          <t>Sveaskog</t>
        </is>
      </c>
      <c r="G378" t="n">
        <v>6.2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37726-2021</t>
        </is>
      </c>
      <c r="B379" s="1" t="n">
        <v>44400</v>
      </c>
      <c r="C379" s="1" t="n">
        <v>45838</v>
      </c>
      <c r="D379" t="inlineStr">
        <is>
          <t>GÄVLEBORGS LÄN</t>
        </is>
      </c>
      <c r="E379" t="inlineStr">
        <is>
          <t>OVANÅKER</t>
        </is>
      </c>
      <c r="F379" t="inlineStr">
        <is>
          <t>Sveaskog</t>
        </is>
      </c>
      <c r="G379" t="n">
        <v>6.2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41529-2021</t>
        </is>
      </c>
      <c r="B380" s="1" t="n">
        <v>44425</v>
      </c>
      <c r="C380" s="1" t="n">
        <v>45838</v>
      </c>
      <c r="D380" t="inlineStr">
        <is>
          <t>GÄVLEBORGS LÄN</t>
        </is>
      </c>
      <c r="E380" t="inlineStr">
        <is>
          <t>OVANÅKER</t>
        </is>
      </c>
      <c r="F380" t="inlineStr">
        <is>
          <t>Bergvik skog väst AB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41527-2021</t>
        </is>
      </c>
      <c r="B381" s="1" t="n">
        <v>44425</v>
      </c>
      <c r="C381" s="1" t="n">
        <v>45838</v>
      </c>
      <c r="D381" t="inlineStr">
        <is>
          <t>GÄVLEBORGS LÄN</t>
        </is>
      </c>
      <c r="E381" t="inlineStr">
        <is>
          <t>OVANÅKER</t>
        </is>
      </c>
      <c r="F381" t="inlineStr">
        <is>
          <t>Bergvik skog väst AB</t>
        </is>
      </c>
      <c r="G381" t="n">
        <v>5.2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41545-2021</t>
        </is>
      </c>
      <c r="B382" s="1" t="n">
        <v>44425</v>
      </c>
      <c r="C382" s="1" t="n">
        <v>45838</v>
      </c>
      <c r="D382" t="inlineStr">
        <is>
          <t>GÄVLEBORGS LÄN</t>
        </is>
      </c>
      <c r="E382" t="inlineStr">
        <is>
          <t>OVANÅKER</t>
        </is>
      </c>
      <c r="F382" t="inlineStr">
        <is>
          <t>Bergvik skog väst AB</t>
        </is>
      </c>
      <c r="G382" t="n">
        <v>4.4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41533-2021</t>
        </is>
      </c>
      <c r="B383" s="1" t="n">
        <v>44425</v>
      </c>
      <c r="C383" s="1" t="n">
        <v>45838</v>
      </c>
      <c r="D383" t="inlineStr">
        <is>
          <t>GÄVLEBORGS LÄN</t>
        </is>
      </c>
      <c r="E383" t="inlineStr">
        <is>
          <t>OVANÅKER</t>
        </is>
      </c>
      <c r="F383" t="inlineStr">
        <is>
          <t>Bergvik skog väst AB</t>
        </is>
      </c>
      <c r="G383" t="n">
        <v>2.8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42227-2021</t>
        </is>
      </c>
      <c r="B384" s="1" t="n">
        <v>44427</v>
      </c>
      <c r="C384" s="1" t="n">
        <v>45838</v>
      </c>
      <c r="D384" t="inlineStr">
        <is>
          <t>GÄVLEBORGS LÄN</t>
        </is>
      </c>
      <c r="E384" t="inlineStr">
        <is>
          <t>OVANÅKER</t>
        </is>
      </c>
      <c r="F384" t="inlineStr">
        <is>
          <t>Bergvik skog väst AB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43278-2021</t>
        </is>
      </c>
      <c r="B385" s="1" t="n">
        <v>44432</v>
      </c>
      <c r="C385" s="1" t="n">
        <v>45838</v>
      </c>
      <c r="D385" t="inlineStr">
        <is>
          <t>GÄVLEBORGS LÄN</t>
        </is>
      </c>
      <c r="E385" t="inlineStr">
        <is>
          <t>OVANÅKER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44127-2021</t>
        </is>
      </c>
      <c r="B386" s="1" t="n">
        <v>44434</v>
      </c>
      <c r="C386" s="1" t="n">
        <v>45838</v>
      </c>
      <c r="D386" t="inlineStr">
        <is>
          <t>GÄVLEBORGS LÄN</t>
        </is>
      </c>
      <c r="E386" t="inlineStr">
        <is>
          <t>OVANÅKER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44585-2021</t>
        </is>
      </c>
      <c r="B387" s="1" t="n">
        <v>44435</v>
      </c>
      <c r="C387" s="1" t="n">
        <v>45838</v>
      </c>
      <c r="D387" t="inlineStr">
        <is>
          <t>GÄVLEBORGS LÄN</t>
        </is>
      </c>
      <c r="E387" t="inlineStr">
        <is>
          <t>OVANÅKER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44529-2021</t>
        </is>
      </c>
      <c r="B388" s="1" t="n">
        <v>44435</v>
      </c>
      <c r="C388" s="1" t="n">
        <v>45838</v>
      </c>
      <c r="D388" t="inlineStr">
        <is>
          <t>GÄVLEBORGS LÄN</t>
        </is>
      </c>
      <c r="E388" t="inlineStr">
        <is>
          <t>OVANÅKER</t>
        </is>
      </c>
      <c r="F388" t="inlineStr">
        <is>
          <t>Sveaskog</t>
        </is>
      </c>
      <c r="G388" t="n">
        <v>2.7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45273-2021</t>
        </is>
      </c>
      <c r="B389" s="1" t="n">
        <v>44439</v>
      </c>
      <c r="C389" s="1" t="n">
        <v>45838</v>
      </c>
      <c r="D389" t="inlineStr">
        <is>
          <t>GÄVLEBORGS LÄN</t>
        </is>
      </c>
      <c r="E389" t="inlineStr">
        <is>
          <t>OVANÅKER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46459-2021</t>
        </is>
      </c>
      <c r="B390" s="1" t="n">
        <v>44445</v>
      </c>
      <c r="C390" s="1" t="n">
        <v>45838</v>
      </c>
      <c r="D390" t="inlineStr">
        <is>
          <t>GÄVLEBORGS LÄN</t>
        </is>
      </c>
      <c r="E390" t="inlineStr">
        <is>
          <t>OVANÅKER</t>
        </is>
      </c>
      <c r="G390" t="n">
        <v>3.1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46733-2021</t>
        </is>
      </c>
      <c r="B391" s="1" t="n">
        <v>44445</v>
      </c>
      <c r="C391" s="1" t="n">
        <v>45838</v>
      </c>
      <c r="D391" t="inlineStr">
        <is>
          <t>GÄVLEBORGS LÄN</t>
        </is>
      </c>
      <c r="E391" t="inlineStr">
        <is>
          <t>OVANÅKER</t>
        </is>
      </c>
      <c r="F391" t="inlineStr">
        <is>
          <t>Sveaskog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47481-2021</t>
        </is>
      </c>
      <c r="B392" s="1" t="n">
        <v>44447</v>
      </c>
      <c r="C392" s="1" t="n">
        <v>45838</v>
      </c>
      <c r="D392" t="inlineStr">
        <is>
          <t>GÄVLEBORGS LÄN</t>
        </is>
      </c>
      <c r="E392" t="inlineStr">
        <is>
          <t>OVANÅKER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47486-2021</t>
        </is>
      </c>
      <c r="B393" s="1" t="n">
        <v>44447</v>
      </c>
      <c r="C393" s="1" t="n">
        <v>45838</v>
      </c>
      <c r="D393" t="inlineStr">
        <is>
          <t>GÄVLEBORGS LÄN</t>
        </is>
      </c>
      <c r="E393" t="inlineStr">
        <is>
          <t>OVANÅKER</t>
        </is>
      </c>
      <c r="G393" t="n">
        <v>3.2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48151-2021</t>
        </is>
      </c>
      <c r="B394" s="1" t="n">
        <v>44449</v>
      </c>
      <c r="C394" s="1" t="n">
        <v>45838</v>
      </c>
      <c r="D394" t="inlineStr">
        <is>
          <t>GÄVLEBORGS LÄN</t>
        </is>
      </c>
      <c r="E394" t="inlineStr">
        <is>
          <t>OVANÅKER</t>
        </is>
      </c>
      <c r="G394" t="n">
        <v>0.2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49565-2021</t>
        </is>
      </c>
      <c r="B395" s="1" t="n">
        <v>44455</v>
      </c>
      <c r="C395" s="1" t="n">
        <v>45838</v>
      </c>
      <c r="D395" t="inlineStr">
        <is>
          <t>GÄVLEBORGS LÄN</t>
        </is>
      </c>
      <c r="E395" t="inlineStr">
        <is>
          <t>OVANÅKER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52046-2021</t>
        </is>
      </c>
      <c r="B396" s="1" t="n">
        <v>44463</v>
      </c>
      <c r="C396" s="1" t="n">
        <v>45838</v>
      </c>
      <c r="D396" t="inlineStr">
        <is>
          <t>GÄVLEBORGS LÄN</t>
        </is>
      </c>
      <c r="E396" t="inlineStr">
        <is>
          <t>OVANÅKER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52608-2021</t>
        </is>
      </c>
      <c r="B397" s="1" t="n">
        <v>44466</v>
      </c>
      <c r="C397" s="1" t="n">
        <v>45838</v>
      </c>
      <c r="D397" t="inlineStr">
        <is>
          <t>GÄVLEBORGS LÄN</t>
        </is>
      </c>
      <c r="E397" t="inlineStr">
        <is>
          <t>OVANÅKER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52614-2021</t>
        </is>
      </c>
      <c r="B398" s="1" t="n">
        <v>44466</v>
      </c>
      <c r="C398" s="1" t="n">
        <v>45838</v>
      </c>
      <c r="D398" t="inlineStr">
        <is>
          <t>GÄVLEBORGS LÄN</t>
        </is>
      </c>
      <c r="E398" t="inlineStr">
        <is>
          <t>OVANÅKER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54013-2021</t>
        </is>
      </c>
      <c r="B399" s="1" t="n">
        <v>44470</v>
      </c>
      <c r="C399" s="1" t="n">
        <v>45838</v>
      </c>
      <c r="D399" t="inlineStr">
        <is>
          <t>GÄVLEBORGS LÄN</t>
        </is>
      </c>
      <c r="E399" t="inlineStr">
        <is>
          <t>OVANÅKER</t>
        </is>
      </c>
      <c r="G399" t="n">
        <v>2.5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54080-2021</t>
        </is>
      </c>
      <c r="B400" s="1" t="n">
        <v>44470</v>
      </c>
      <c r="C400" s="1" t="n">
        <v>45838</v>
      </c>
      <c r="D400" t="inlineStr">
        <is>
          <t>GÄVLEBORGS LÄN</t>
        </is>
      </c>
      <c r="E400" t="inlineStr">
        <is>
          <t>OVANÅKER</t>
        </is>
      </c>
      <c r="F400" t="inlineStr">
        <is>
          <t>Sveaskog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54661-2021</t>
        </is>
      </c>
      <c r="B401" s="1" t="n">
        <v>44473</v>
      </c>
      <c r="C401" s="1" t="n">
        <v>45838</v>
      </c>
      <c r="D401" t="inlineStr">
        <is>
          <t>GÄVLEBORGS LÄN</t>
        </is>
      </c>
      <c r="E401" t="inlineStr">
        <is>
          <t>OVANÅKER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55243-2021</t>
        </is>
      </c>
      <c r="B402" s="1" t="n">
        <v>44475</v>
      </c>
      <c r="C402" s="1" t="n">
        <v>45838</v>
      </c>
      <c r="D402" t="inlineStr">
        <is>
          <t>GÄVLEBORGS LÄN</t>
        </is>
      </c>
      <c r="E402" t="inlineStr">
        <is>
          <t>OVANÅKER</t>
        </is>
      </c>
      <c r="G402" t="n">
        <v>2.1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55241-2021</t>
        </is>
      </c>
      <c r="B403" s="1" t="n">
        <v>44475</v>
      </c>
      <c r="C403" s="1" t="n">
        <v>45838</v>
      </c>
      <c r="D403" t="inlineStr">
        <is>
          <t>GÄVLEBORGS LÄN</t>
        </is>
      </c>
      <c r="E403" t="inlineStr">
        <is>
          <t>OVANÅKER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55408-2021</t>
        </is>
      </c>
      <c r="B404" s="1" t="n">
        <v>44475</v>
      </c>
      <c r="C404" s="1" t="n">
        <v>45838</v>
      </c>
      <c r="D404" t="inlineStr">
        <is>
          <t>GÄVLEBORGS LÄN</t>
        </is>
      </c>
      <c r="E404" t="inlineStr">
        <is>
          <t>OVANÅKER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55298-2021</t>
        </is>
      </c>
      <c r="B405" s="1" t="n">
        <v>44475</v>
      </c>
      <c r="C405" s="1" t="n">
        <v>45838</v>
      </c>
      <c r="D405" t="inlineStr">
        <is>
          <t>GÄVLEBORGS LÄN</t>
        </is>
      </c>
      <c r="E405" t="inlineStr">
        <is>
          <t>OVANÅKER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55371-2021</t>
        </is>
      </c>
      <c r="B406" s="1" t="n">
        <v>44475</v>
      </c>
      <c r="C406" s="1" t="n">
        <v>45838</v>
      </c>
      <c r="D406" t="inlineStr">
        <is>
          <t>GÄVLEBORGS LÄN</t>
        </is>
      </c>
      <c r="E406" t="inlineStr">
        <is>
          <t>OVANÅKER</t>
        </is>
      </c>
      <c r="G406" t="n">
        <v>3.3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55403-2021</t>
        </is>
      </c>
      <c r="B407" s="1" t="n">
        <v>44475</v>
      </c>
      <c r="C407" s="1" t="n">
        <v>45838</v>
      </c>
      <c r="D407" t="inlineStr">
        <is>
          <t>GÄVLEBORGS LÄN</t>
        </is>
      </c>
      <c r="E407" t="inlineStr">
        <is>
          <t>OVANÅKER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57124-2021</t>
        </is>
      </c>
      <c r="B408" s="1" t="n">
        <v>44482</v>
      </c>
      <c r="C408" s="1" t="n">
        <v>45838</v>
      </c>
      <c r="D408" t="inlineStr">
        <is>
          <t>GÄVLEBORGS LÄN</t>
        </is>
      </c>
      <c r="E408" t="inlineStr">
        <is>
          <t>OVANÅKER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57798-2021</t>
        </is>
      </c>
      <c r="B409" s="1" t="n">
        <v>44484</v>
      </c>
      <c r="C409" s="1" t="n">
        <v>45838</v>
      </c>
      <c r="D409" t="inlineStr">
        <is>
          <t>GÄVLEBORGS LÄN</t>
        </is>
      </c>
      <c r="E409" t="inlineStr">
        <is>
          <t>OVANÅKER</t>
        </is>
      </c>
      <c r="G409" t="n">
        <v>13.4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58817-2021</t>
        </is>
      </c>
      <c r="B410" s="1" t="n">
        <v>44489</v>
      </c>
      <c r="C410" s="1" t="n">
        <v>45838</v>
      </c>
      <c r="D410" t="inlineStr">
        <is>
          <t>GÄVLEBORGS LÄN</t>
        </is>
      </c>
      <c r="E410" t="inlineStr">
        <is>
          <t>OVANÅKER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59442-2021</t>
        </is>
      </c>
      <c r="B411" s="1" t="n">
        <v>44491</v>
      </c>
      <c r="C411" s="1" t="n">
        <v>45838</v>
      </c>
      <c r="D411" t="inlineStr">
        <is>
          <t>GÄVLEBORGS LÄN</t>
        </is>
      </c>
      <c r="E411" t="inlineStr">
        <is>
          <t>OVANÅKER</t>
        </is>
      </c>
      <c r="G411" t="n">
        <v>2.9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59718-2021</t>
        </is>
      </c>
      <c r="B412" s="1" t="n">
        <v>44494</v>
      </c>
      <c r="C412" s="1" t="n">
        <v>45838</v>
      </c>
      <c r="D412" t="inlineStr">
        <is>
          <t>GÄVLEBORGS LÄN</t>
        </is>
      </c>
      <c r="E412" t="inlineStr">
        <is>
          <t>OVANÅKER</t>
        </is>
      </c>
      <c r="G412" t="n">
        <v>2.1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60999-2021</t>
        </is>
      </c>
      <c r="B413" s="1" t="n">
        <v>44497</v>
      </c>
      <c r="C413" s="1" t="n">
        <v>45838</v>
      </c>
      <c r="D413" t="inlineStr">
        <is>
          <t>GÄVLEBORGS LÄN</t>
        </is>
      </c>
      <c r="E413" t="inlineStr">
        <is>
          <t>OVANÅKER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61020-2021</t>
        </is>
      </c>
      <c r="B414" s="1" t="n">
        <v>44497</v>
      </c>
      <c r="C414" s="1" t="n">
        <v>45838</v>
      </c>
      <c r="D414" t="inlineStr">
        <is>
          <t>GÄVLEBORGS LÄN</t>
        </is>
      </c>
      <c r="E414" t="inlineStr">
        <is>
          <t>OVANÅKER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62595-2021</t>
        </is>
      </c>
      <c r="B415" s="1" t="n">
        <v>44503</v>
      </c>
      <c r="C415" s="1" t="n">
        <v>45838</v>
      </c>
      <c r="D415" t="inlineStr">
        <is>
          <t>GÄVLEBORGS LÄN</t>
        </is>
      </c>
      <c r="E415" t="inlineStr">
        <is>
          <t>OVANÅKER</t>
        </is>
      </c>
      <c r="G415" t="n">
        <v>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62774-2021</t>
        </is>
      </c>
      <c r="B416" s="1" t="n">
        <v>44503</v>
      </c>
      <c r="C416" s="1" t="n">
        <v>45838</v>
      </c>
      <c r="D416" t="inlineStr">
        <is>
          <t>GÄVLEBORGS LÄN</t>
        </is>
      </c>
      <c r="E416" t="inlineStr">
        <is>
          <t>OVANÅKER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63109-2021</t>
        </is>
      </c>
      <c r="B417" s="1" t="n">
        <v>44505</v>
      </c>
      <c r="C417" s="1" t="n">
        <v>45838</v>
      </c>
      <c r="D417" t="inlineStr">
        <is>
          <t>GÄVLEBORGS LÄN</t>
        </is>
      </c>
      <c r="E417" t="inlineStr">
        <is>
          <t>OVANÅKER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64843-2021</t>
        </is>
      </c>
      <c r="B418" s="1" t="n">
        <v>44512</v>
      </c>
      <c r="C418" s="1" t="n">
        <v>45838</v>
      </c>
      <c r="D418" t="inlineStr">
        <is>
          <t>GÄVLEBORGS LÄN</t>
        </is>
      </c>
      <c r="E418" t="inlineStr">
        <is>
          <t>OVANÅKER</t>
        </is>
      </c>
      <c r="F418" t="inlineStr">
        <is>
          <t>Bergvik skog väst AB</t>
        </is>
      </c>
      <c r="G418" t="n">
        <v>0.3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65542-2021</t>
        </is>
      </c>
      <c r="B419" s="1" t="n">
        <v>44516</v>
      </c>
      <c r="C419" s="1" t="n">
        <v>45838</v>
      </c>
      <c r="D419" t="inlineStr">
        <is>
          <t>GÄVLEBORGS LÄN</t>
        </is>
      </c>
      <c r="E419" t="inlineStr">
        <is>
          <t>OVANÅKER</t>
        </is>
      </c>
      <c r="G419" t="n">
        <v>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65960-2021</t>
        </is>
      </c>
      <c r="B420" s="1" t="n">
        <v>44517</v>
      </c>
      <c r="C420" s="1" t="n">
        <v>45838</v>
      </c>
      <c r="D420" t="inlineStr">
        <is>
          <t>GÄVLEBORGS LÄN</t>
        </is>
      </c>
      <c r="E420" t="inlineStr">
        <is>
          <t>OVANÅKER</t>
        </is>
      </c>
      <c r="G420" t="n">
        <v>4.8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66083-2021</t>
        </is>
      </c>
      <c r="B421" s="1" t="n">
        <v>44517</v>
      </c>
      <c r="C421" s="1" t="n">
        <v>45838</v>
      </c>
      <c r="D421" t="inlineStr">
        <is>
          <t>GÄVLEBORGS LÄN</t>
        </is>
      </c>
      <c r="E421" t="inlineStr">
        <is>
          <t>OVANÅKER</t>
        </is>
      </c>
      <c r="F421" t="inlineStr">
        <is>
          <t>Bergvik skog väst AB</t>
        </is>
      </c>
      <c r="G421" t="n">
        <v>14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66299-2021</t>
        </is>
      </c>
      <c r="B422" s="1" t="n">
        <v>44518</v>
      </c>
      <c r="C422" s="1" t="n">
        <v>45838</v>
      </c>
      <c r="D422" t="inlineStr">
        <is>
          <t>GÄVLEBORGS LÄN</t>
        </is>
      </c>
      <c r="E422" t="inlineStr">
        <is>
          <t>OVANÅKER</t>
        </is>
      </c>
      <c r="G422" t="n">
        <v>2.6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66403-2021</t>
        </is>
      </c>
      <c r="B423" s="1" t="n">
        <v>44518</v>
      </c>
      <c r="C423" s="1" t="n">
        <v>45838</v>
      </c>
      <c r="D423" t="inlineStr">
        <is>
          <t>GÄVLEBORGS LÄN</t>
        </is>
      </c>
      <c r="E423" t="inlineStr">
        <is>
          <t>OVANÅKER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67188-2021</t>
        </is>
      </c>
      <c r="B424" s="1" t="n">
        <v>44523</v>
      </c>
      <c r="C424" s="1" t="n">
        <v>45838</v>
      </c>
      <c r="D424" t="inlineStr">
        <is>
          <t>GÄVLEBORGS LÄN</t>
        </is>
      </c>
      <c r="E424" t="inlineStr">
        <is>
          <t>OVANÅKER</t>
        </is>
      </c>
      <c r="G424" t="n">
        <v>2.3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67315-2021</t>
        </is>
      </c>
      <c r="B425" s="1" t="n">
        <v>44523</v>
      </c>
      <c r="C425" s="1" t="n">
        <v>45838</v>
      </c>
      <c r="D425" t="inlineStr">
        <is>
          <t>GÄVLEBORGS LÄN</t>
        </is>
      </c>
      <c r="E425" t="inlineStr">
        <is>
          <t>OVANÅKER</t>
        </is>
      </c>
      <c r="F425" t="inlineStr">
        <is>
          <t>Bergvik skog väst AB</t>
        </is>
      </c>
      <c r="G425" t="n">
        <v>5.4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68245-2021</t>
        </is>
      </c>
      <c r="B426" s="1" t="n">
        <v>44526</v>
      </c>
      <c r="C426" s="1" t="n">
        <v>45838</v>
      </c>
      <c r="D426" t="inlineStr">
        <is>
          <t>GÄVLEBORGS LÄN</t>
        </is>
      </c>
      <c r="E426" t="inlineStr">
        <is>
          <t>OVANÅKER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69001-2021</t>
        </is>
      </c>
      <c r="B427" s="1" t="n">
        <v>44530</v>
      </c>
      <c r="C427" s="1" t="n">
        <v>45838</v>
      </c>
      <c r="D427" t="inlineStr">
        <is>
          <t>GÄVLEBORGS LÄN</t>
        </is>
      </c>
      <c r="E427" t="inlineStr">
        <is>
          <t>OVANÅKER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69007-2021</t>
        </is>
      </c>
      <c r="B428" s="1" t="n">
        <v>44530</v>
      </c>
      <c r="C428" s="1" t="n">
        <v>45838</v>
      </c>
      <c r="D428" t="inlineStr">
        <is>
          <t>GÄVLEBORGS LÄN</t>
        </is>
      </c>
      <c r="E428" t="inlineStr">
        <is>
          <t>OVANÅKER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69445-2021</t>
        </is>
      </c>
      <c r="B429" s="1" t="n">
        <v>44531</v>
      </c>
      <c r="C429" s="1" t="n">
        <v>45838</v>
      </c>
      <c r="D429" t="inlineStr">
        <is>
          <t>GÄVLEBORGS LÄN</t>
        </is>
      </c>
      <c r="E429" t="inlineStr">
        <is>
          <t>OVANÅKER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69688-2021</t>
        </is>
      </c>
      <c r="B430" s="1" t="n">
        <v>44532</v>
      </c>
      <c r="C430" s="1" t="n">
        <v>45838</v>
      </c>
      <c r="D430" t="inlineStr">
        <is>
          <t>GÄVLEBORGS LÄN</t>
        </is>
      </c>
      <c r="E430" t="inlineStr">
        <is>
          <t>OVANÅKER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70305-2021</t>
        </is>
      </c>
      <c r="B431" s="1" t="n">
        <v>44536</v>
      </c>
      <c r="C431" s="1" t="n">
        <v>45838</v>
      </c>
      <c r="D431" t="inlineStr">
        <is>
          <t>GÄVLEBORGS LÄN</t>
        </is>
      </c>
      <c r="E431" t="inlineStr">
        <is>
          <t>OVANÅKER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70573-2021</t>
        </is>
      </c>
      <c r="B432" s="1" t="n">
        <v>44537</v>
      </c>
      <c r="C432" s="1" t="n">
        <v>45838</v>
      </c>
      <c r="D432" t="inlineStr">
        <is>
          <t>GÄVLEBORGS LÄN</t>
        </is>
      </c>
      <c r="E432" t="inlineStr">
        <is>
          <t>OVANÅKER</t>
        </is>
      </c>
      <c r="G432" t="n">
        <v>2.9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72110-2021</t>
        </is>
      </c>
      <c r="B433" s="1" t="n">
        <v>44544</v>
      </c>
      <c r="C433" s="1" t="n">
        <v>45838</v>
      </c>
      <c r="D433" t="inlineStr">
        <is>
          <t>GÄVLEBORGS LÄN</t>
        </is>
      </c>
      <c r="E433" t="inlineStr">
        <is>
          <t>OVANÅKER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72854-2021</t>
        </is>
      </c>
      <c r="B434" s="1" t="n">
        <v>44547</v>
      </c>
      <c r="C434" s="1" t="n">
        <v>45838</v>
      </c>
      <c r="D434" t="inlineStr">
        <is>
          <t>GÄVLEBORGS LÄN</t>
        </is>
      </c>
      <c r="E434" t="inlineStr">
        <is>
          <t>OVANÅKER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80-2022</t>
        </is>
      </c>
      <c r="B435" s="1" t="n">
        <v>44564</v>
      </c>
      <c r="C435" s="1" t="n">
        <v>45838</v>
      </c>
      <c r="D435" t="inlineStr">
        <is>
          <t>GÄVLEBORGS LÄN</t>
        </is>
      </c>
      <c r="E435" t="inlineStr">
        <is>
          <t>OVANÅKER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65-2022</t>
        </is>
      </c>
      <c r="B436" s="1" t="n">
        <v>44564</v>
      </c>
      <c r="C436" s="1" t="n">
        <v>45838</v>
      </c>
      <c r="D436" t="inlineStr">
        <is>
          <t>GÄVLEBORGS LÄN</t>
        </is>
      </c>
      <c r="E436" t="inlineStr">
        <is>
          <t>OVANÅKER</t>
        </is>
      </c>
      <c r="G436" t="n">
        <v>2.2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926-2022</t>
        </is>
      </c>
      <c r="B437" s="1" t="n">
        <v>44571</v>
      </c>
      <c r="C437" s="1" t="n">
        <v>45838</v>
      </c>
      <c r="D437" t="inlineStr">
        <is>
          <t>GÄVLEBORGS LÄN</t>
        </is>
      </c>
      <c r="E437" t="inlineStr">
        <is>
          <t>OVANÅKER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892-2022</t>
        </is>
      </c>
      <c r="B438" s="1" t="n">
        <v>44571</v>
      </c>
      <c r="C438" s="1" t="n">
        <v>45838</v>
      </c>
      <c r="D438" t="inlineStr">
        <is>
          <t>GÄVLEBORGS LÄN</t>
        </is>
      </c>
      <c r="E438" t="inlineStr">
        <is>
          <t>OVANÅKER</t>
        </is>
      </c>
      <c r="F438" t="inlineStr">
        <is>
          <t>Holmen skog AB</t>
        </is>
      </c>
      <c r="G438" t="n">
        <v>1.9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1530-2022</t>
        </is>
      </c>
      <c r="B439" s="1" t="n">
        <v>44573</v>
      </c>
      <c r="C439" s="1" t="n">
        <v>45838</v>
      </c>
      <c r="D439" t="inlineStr">
        <is>
          <t>GÄVLEBORGS LÄN</t>
        </is>
      </c>
      <c r="E439" t="inlineStr">
        <is>
          <t>OVANÅKER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1588-2022</t>
        </is>
      </c>
      <c r="B440" s="1" t="n">
        <v>44573</v>
      </c>
      <c r="C440" s="1" t="n">
        <v>45838</v>
      </c>
      <c r="D440" t="inlineStr">
        <is>
          <t>GÄVLEBORGS LÄN</t>
        </is>
      </c>
      <c r="E440" t="inlineStr">
        <is>
          <t>OVANÅKER</t>
        </is>
      </c>
      <c r="G440" t="n">
        <v>0.4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1594-2022</t>
        </is>
      </c>
      <c r="B441" s="1" t="n">
        <v>44573</v>
      </c>
      <c r="C441" s="1" t="n">
        <v>45838</v>
      </c>
      <c r="D441" t="inlineStr">
        <is>
          <t>GÄVLEBORGS LÄN</t>
        </is>
      </c>
      <c r="E441" t="inlineStr">
        <is>
          <t>OVANÅKER</t>
        </is>
      </c>
      <c r="G441" t="n">
        <v>0.4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2417-2022</t>
        </is>
      </c>
      <c r="B442" s="1" t="n">
        <v>44579</v>
      </c>
      <c r="C442" s="1" t="n">
        <v>45838</v>
      </c>
      <c r="D442" t="inlineStr">
        <is>
          <t>GÄVLEBORGS LÄN</t>
        </is>
      </c>
      <c r="E442" t="inlineStr">
        <is>
          <t>OVANÅKER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2946-2022</t>
        </is>
      </c>
      <c r="B443" s="1" t="n">
        <v>44581</v>
      </c>
      <c r="C443" s="1" t="n">
        <v>45838</v>
      </c>
      <c r="D443" t="inlineStr">
        <is>
          <t>GÄVLEBORGS LÄN</t>
        </is>
      </c>
      <c r="E443" t="inlineStr">
        <is>
          <t>OVANÅKER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3047-2022</t>
        </is>
      </c>
      <c r="B444" s="1" t="n">
        <v>44581</v>
      </c>
      <c r="C444" s="1" t="n">
        <v>45838</v>
      </c>
      <c r="D444" t="inlineStr">
        <is>
          <t>GÄVLEBORGS LÄN</t>
        </is>
      </c>
      <c r="E444" t="inlineStr">
        <is>
          <t>OVANÅKER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3402-2022</t>
        </is>
      </c>
      <c r="B445" s="1" t="n">
        <v>44585</v>
      </c>
      <c r="C445" s="1" t="n">
        <v>45838</v>
      </c>
      <c r="D445" t="inlineStr">
        <is>
          <t>GÄVLEBORGS LÄN</t>
        </is>
      </c>
      <c r="E445" t="inlineStr">
        <is>
          <t>OVANÅKER</t>
        </is>
      </c>
      <c r="G445" t="n">
        <v>2.4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6766-2022</t>
        </is>
      </c>
      <c r="B446" s="1" t="n">
        <v>44602</v>
      </c>
      <c r="C446" s="1" t="n">
        <v>45838</v>
      </c>
      <c r="D446" t="inlineStr">
        <is>
          <t>GÄVLEBORGS LÄN</t>
        </is>
      </c>
      <c r="E446" t="inlineStr">
        <is>
          <t>OVANÅKER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6956-2022</t>
        </is>
      </c>
      <c r="B447" s="1" t="n">
        <v>44603</v>
      </c>
      <c r="C447" s="1" t="n">
        <v>45838</v>
      </c>
      <c r="D447" t="inlineStr">
        <is>
          <t>GÄVLEBORGS LÄN</t>
        </is>
      </c>
      <c r="E447" t="inlineStr">
        <is>
          <t>OVANÅKER</t>
        </is>
      </c>
      <c r="G447" t="n">
        <v>8.4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7569-2022</t>
        </is>
      </c>
      <c r="B448" s="1" t="n">
        <v>44607</v>
      </c>
      <c r="C448" s="1" t="n">
        <v>45838</v>
      </c>
      <c r="D448" t="inlineStr">
        <is>
          <t>GÄVLEBORGS LÄN</t>
        </is>
      </c>
      <c r="E448" t="inlineStr">
        <is>
          <t>OVANÅKER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7785-2022</t>
        </is>
      </c>
      <c r="B449" s="1" t="n">
        <v>44608</v>
      </c>
      <c r="C449" s="1" t="n">
        <v>45838</v>
      </c>
      <c r="D449" t="inlineStr">
        <is>
          <t>GÄVLEBORGS LÄN</t>
        </is>
      </c>
      <c r="E449" t="inlineStr">
        <is>
          <t>OVANÅKER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8769-2022</t>
        </is>
      </c>
      <c r="B450" s="1" t="n">
        <v>44614</v>
      </c>
      <c r="C450" s="1" t="n">
        <v>45838</v>
      </c>
      <c r="D450" t="inlineStr">
        <is>
          <t>GÄVLEBORGS LÄN</t>
        </is>
      </c>
      <c r="E450" t="inlineStr">
        <is>
          <t>OVANÅKER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8840-2022</t>
        </is>
      </c>
      <c r="B451" s="1" t="n">
        <v>44614</v>
      </c>
      <c r="C451" s="1" t="n">
        <v>45838</v>
      </c>
      <c r="D451" t="inlineStr">
        <is>
          <t>GÄVLEBORGS LÄN</t>
        </is>
      </c>
      <c r="E451" t="inlineStr">
        <is>
          <t>OVANÅKER</t>
        </is>
      </c>
      <c r="G451" t="n">
        <v>5.7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8968-2022</t>
        </is>
      </c>
      <c r="B452" s="1" t="n">
        <v>44614</v>
      </c>
      <c r="C452" s="1" t="n">
        <v>45838</v>
      </c>
      <c r="D452" t="inlineStr">
        <is>
          <t>GÄVLEBORGS LÄN</t>
        </is>
      </c>
      <c r="E452" t="inlineStr">
        <is>
          <t>OVANÅKER</t>
        </is>
      </c>
      <c r="G452" t="n">
        <v>0.4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8927-2022</t>
        </is>
      </c>
      <c r="B453" s="1" t="n">
        <v>44614</v>
      </c>
      <c r="C453" s="1" t="n">
        <v>45838</v>
      </c>
      <c r="D453" t="inlineStr">
        <is>
          <t>GÄVLEBORGS LÄN</t>
        </is>
      </c>
      <c r="E453" t="inlineStr">
        <is>
          <t>OVANÅKER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8967-2022</t>
        </is>
      </c>
      <c r="B454" s="1" t="n">
        <v>44614</v>
      </c>
      <c r="C454" s="1" t="n">
        <v>45838</v>
      </c>
      <c r="D454" t="inlineStr">
        <is>
          <t>GÄVLEBORGS LÄN</t>
        </is>
      </c>
      <c r="E454" t="inlineStr">
        <is>
          <t>OVANÅKER</t>
        </is>
      </c>
      <c r="G454" t="n">
        <v>0.4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9277-2022</t>
        </is>
      </c>
      <c r="B455" s="1" t="n">
        <v>44616</v>
      </c>
      <c r="C455" s="1" t="n">
        <v>45838</v>
      </c>
      <c r="D455" t="inlineStr">
        <is>
          <t>GÄVLEBORGS LÄN</t>
        </is>
      </c>
      <c r="E455" t="inlineStr">
        <is>
          <t>OVANÅKER</t>
        </is>
      </c>
      <c r="G455" t="n">
        <v>3.6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9285-2022</t>
        </is>
      </c>
      <c r="B456" s="1" t="n">
        <v>44616</v>
      </c>
      <c r="C456" s="1" t="n">
        <v>45838</v>
      </c>
      <c r="D456" t="inlineStr">
        <is>
          <t>GÄVLEBORGS LÄN</t>
        </is>
      </c>
      <c r="E456" t="inlineStr">
        <is>
          <t>OVANÅKER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9286-2022</t>
        </is>
      </c>
      <c r="B457" s="1" t="n">
        <v>44616</v>
      </c>
      <c r="C457" s="1" t="n">
        <v>45838</v>
      </c>
      <c r="D457" t="inlineStr">
        <is>
          <t>GÄVLEBORGS LÄN</t>
        </is>
      </c>
      <c r="E457" t="inlineStr">
        <is>
          <t>OVANÅKER</t>
        </is>
      </c>
      <c r="G457" t="n">
        <v>2.4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9593-2022</t>
        </is>
      </c>
      <c r="B458" s="1" t="n">
        <v>44617</v>
      </c>
      <c r="C458" s="1" t="n">
        <v>45838</v>
      </c>
      <c r="D458" t="inlineStr">
        <is>
          <t>GÄVLEBORGS LÄN</t>
        </is>
      </c>
      <c r="E458" t="inlineStr">
        <is>
          <t>OVANÅKER</t>
        </is>
      </c>
      <c r="G458" t="n">
        <v>11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9635-2022</t>
        </is>
      </c>
      <c r="B459" s="1" t="n">
        <v>44617</v>
      </c>
      <c r="C459" s="1" t="n">
        <v>45838</v>
      </c>
      <c r="D459" t="inlineStr">
        <is>
          <t>GÄVLEBORGS LÄN</t>
        </is>
      </c>
      <c r="E459" t="inlineStr">
        <is>
          <t>OVANÅKER</t>
        </is>
      </c>
      <c r="G459" t="n">
        <v>1.7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9980-2022</t>
        </is>
      </c>
      <c r="B460" s="1" t="n">
        <v>44621</v>
      </c>
      <c r="C460" s="1" t="n">
        <v>45838</v>
      </c>
      <c r="D460" t="inlineStr">
        <is>
          <t>GÄVLEBORGS LÄN</t>
        </is>
      </c>
      <c r="E460" t="inlineStr">
        <is>
          <t>OVANÅKER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12130-2022</t>
        </is>
      </c>
      <c r="B461" s="1" t="n">
        <v>44636</v>
      </c>
      <c r="C461" s="1" t="n">
        <v>45838</v>
      </c>
      <c r="D461" t="inlineStr">
        <is>
          <t>GÄVLEBORGS LÄN</t>
        </is>
      </c>
      <c r="E461" t="inlineStr">
        <is>
          <t>OVANÅKER</t>
        </is>
      </c>
      <c r="G461" t="n">
        <v>1.6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12129-2022</t>
        </is>
      </c>
      <c r="B462" s="1" t="n">
        <v>44636</v>
      </c>
      <c r="C462" s="1" t="n">
        <v>45838</v>
      </c>
      <c r="D462" t="inlineStr">
        <is>
          <t>GÄVLEBORGS LÄN</t>
        </is>
      </c>
      <c r="E462" t="inlineStr">
        <is>
          <t>OVANÅKER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12339-2022</t>
        </is>
      </c>
      <c r="B463" s="1" t="n">
        <v>44637</v>
      </c>
      <c r="C463" s="1" t="n">
        <v>45838</v>
      </c>
      <c r="D463" t="inlineStr">
        <is>
          <t>GÄVLEBORGS LÄN</t>
        </is>
      </c>
      <c r="E463" t="inlineStr">
        <is>
          <t>OVANÅKER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12330-2022</t>
        </is>
      </c>
      <c r="B464" s="1" t="n">
        <v>44637</v>
      </c>
      <c r="C464" s="1" t="n">
        <v>45838</v>
      </c>
      <c r="D464" t="inlineStr">
        <is>
          <t>GÄVLEBORGS LÄN</t>
        </is>
      </c>
      <c r="E464" t="inlineStr">
        <is>
          <t>OVANÅKER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12594-2022</t>
        </is>
      </c>
      <c r="B465" s="1" t="n">
        <v>44640</v>
      </c>
      <c r="C465" s="1" t="n">
        <v>45838</v>
      </c>
      <c r="D465" t="inlineStr">
        <is>
          <t>GÄVLEBORGS LÄN</t>
        </is>
      </c>
      <c r="E465" t="inlineStr">
        <is>
          <t>OVANÅKER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13995-2022</t>
        </is>
      </c>
      <c r="B466" s="1" t="n">
        <v>44650</v>
      </c>
      <c r="C466" s="1" t="n">
        <v>45838</v>
      </c>
      <c r="D466" t="inlineStr">
        <is>
          <t>GÄVLEBORGS LÄN</t>
        </is>
      </c>
      <c r="E466" t="inlineStr">
        <is>
          <t>OVANÅKER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15998-2022</t>
        </is>
      </c>
      <c r="B467" s="1" t="n">
        <v>44665</v>
      </c>
      <c r="C467" s="1" t="n">
        <v>45838</v>
      </c>
      <c r="D467" t="inlineStr">
        <is>
          <t>GÄVLEBORGS LÄN</t>
        </is>
      </c>
      <c r="E467" t="inlineStr">
        <is>
          <t>OVANÅKER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16615-2022</t>
        </is>
      </c>
      <c r="B468" s="1" t="n">
        <v>44672</v>
      </c>
      <c r="C468" s="1" t="n">
        <v>45838</v>
      </c>
      <c r="D468" t="inlineStr">
        <is>
          <t>GÄVLEBORGS LÄN</t>
        </is>
      </c>
      <c r="E468" t="inlineStr">
        <is>
          <t>OVANÅKER</t>
        </is>
      </c>
      <c r="G468" t="n">
        <v>4.5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16955-2022</t>
        </is>
      </c>
      <c r="B469" s="1" t="n">
        <v>44676</v>
      </c>
      <c r="C469" s="1" t="n">
        <v>45838</v>
      </c>
      <c r="D469" t="inlineStr">
        <is>
          <t>GÄVLEBORGS LÄN</t>
        </is>
      </c>
      <c r="E469" t="inlineStr">
        <is>
          <t>OVANÅKER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19308-2022</t>
        </is>
      </c>
      <c r="B470" s="1" t="n">
        <v>44692</v>
      </c>
      <c r="C470" s="1" t="n">
        <v>45838</v>
      </c>
      <c r="D470" t="inlineStr">
        <is>
          <t>GÄVLEBORGS LÄN</t>
        </is>
      </c>
      <c r="E470" t="inlineStr">
        <is>
          <t>OVANÅKER</t>
        </is>
      </c>
      <c r="F470" t="inlineStr">
        <is>
          <t>Sveaskog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19767-2022</t>
        </is>
      </c>
      <c r="B471" s="1" t="n">
        <v>44694</v>
      </c>
      <c r="C471" s="1" t="n">
        <v>45838</v>
      </c>
      <c r="D471" t="inlineStr">
        <is>
          <t>GÄVLEBORGS LÄN</t>
        </is>
      </c>
      <c r="E471" t="inlineStr">
        <is>
          <t>OVANÅKER</t>
        </is>
      </c>
      <c r="G471" t="n">
        <v>1.7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19741-2022</t>
        </is>
      </c>
      <c r="B472" s="1" t="n">
        <v>44694</v>
      </c>
      <c r="C472" s="1" t="n">
        <v>45838</v>
      </c>
      <c r="D472" t="inlineStr">
        <is>
          <t>GÄVLEBORGS LÄN</t>
        </is>
      </c>
      <c r="E472" t="inlineStr">
        <is>
          <t>OVANÅKER</t>
        </is>
      </c>
      <c r="G472" t="n">
        <v>0.4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20149-2022</t>
        </is>
      </c>
      <c r="B473" s="1" t="n">
        <v>44698</v>
      </c>
      <c r="C473" s="1" t="n">
        <v>45838</v>
      </c>
      <c r="D473" t="inlineStr">
        <is>
          <t>GÄVLEBORGS LÄN</t>
        </is>
      </c>
      <c r="E473" t="inlineStr">
        <is>
          <t>OVANÅKER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20666-2022</t>
        </is>
      </c>
      <c r="B474" s="1" t="n">
        <v>44700</v>
      </c>
      <c r="C474" s="1" t="n">
        <v>45838</v>
      </c>
      <c r="D474" t="inlineStr">
        <is>
          <t>GÄVLEBORGS LÄN</t>
        </is>
      </c>
      <c r="E474" t="inlineStr">
        <is>
          <t>OVANÅKER</t>
        </is>
      </c>
      <c r="G474" t="n">
        <v>1.9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20926-2022</t>
        </is>
      </c>
      <c r="B475" s="1" t="n">
        <v>44701</v>
      </c>
      <c r="C475" s="1" t="n">
        <v>45838</v>
      </c>
      <c r="D475" t="inlineStr">
        <is>
          <t>GÄVLEBORGS LÄN</t>
        </is>
      </c>
      <c r="E475" t="inlineStr">
        <is>
          <t>OVANÅKER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21345-2022</t>
        </is>
      </c>
      <c r="B476" s="1" t="n">
        <v>44705</v>
      </c>
      <c r="C476" s="1" t="n">
        <v>45838</v>
      </c>
      <c r="D476" t="inlineStr">
        <is>
          <t>GÄVLEBORGS LÄN</t>
        </is>
      </c>
      <c r="E476" t="inlineStr">
        <is>
          <t>OVANÅKER</t>
        </is>
      </c>
      <c r="F476" t="inlineStr">
        <is>
          <t>Sveaskog</t>
        </is>
      </c>
      <c r="G476" t="n">
        <v>4.2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21326-2022</t>
        </is>
      </c>
      <c r="B477" s="1" t="n">
        <v>44705</v>
      </c>
      <c r="C477" s="1" t="n">
        <v>45838</v>
      </c>
      <c r="D477" t="inlineStr">
        <is>
          <t>GÄVLEBORGS LÄN</t>
        </is>
      </c>
      <c r="E477" t="inlineStr">
        <is>
          <t>OVANÅKER</t>
        </is>
      </c>
      <c r="G477" t="n">
        <v>2.3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21347-2022</t>
        </is>
      </c>
      <c r="B478" s="1" t="n">
        <v>44705</v>
      </c>
      <c r="C478" s="1" t="n">
        <v>45838</v>
      </c>
      <c r="D478" t="inlineStr">
        <is>
          <t>GÄVLEBORGS LÄN</t>
        </is>
      </c>
      <c r="E478" t="inlineStr">
        <is>
          <t>OVANÅKER</t>
        </is>
      </c>
      <c r="G478" t="n">
        <v>5.6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21536-2022</t>
        </is>
      </c>
      <c r="B479" s="1" t="n">
        <v>44706</v>
      </c>
      <c r="C479" s="1" t="n">
        <v>45838</v>
      </c>
      <c r="D479" t="inlineStr">
        <is>
          <t>GÄVLEBORGS LÄN</t>
        </is>
      </c>
      <c r="E479" t="inlineStr">
        <is>
          <t>OVANÅKER</t>
        </is>
      </c>
      <c r="F479" t="inlineStr">
        <is>
          <t>Sveaskog</t>
        </is>
      </c>
      <c r="G479" t="n">
        <v>1.9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21527-2022</t>
        </is>
      </c>
      <c r="B480" s="1" t="n">
        <v>44706</v>
      </c>
      <c r="C480" s="1" t="n">
        <v>45838</v>
      </c>
      <c r="D480" t="inlineStr">
        <is>
          <t>GÄVLEBORGS LÄN</t>
        </is>
      </c>
      <c r="E480" t="inlineStr">
        <is>
          <t>OVANÅKER</t>
        </is>
      </c>
      <c r="F480" t="inlineStr">
        <is>
          <t>Sveaskog</t>
        </is>
      </c>
      <c r="G480" t="n">
        <v>5.4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21957-2022</t>
        </is>
      </c>
      <c r="B481" s="1" t="n">
        <v>44711</v>
      </c>
      <c r="C481" s="1" t="n">
        <v>45838</v>
      </c>
      <c r="D481" t="inlineStr">
        <is>
          <t>GÄVLEBORGS LÄN</t>
        </is>
      </c>
      <c r="E481" t="inlineStr">
        <is>
          <t>OVANÅKER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21973-2022</t>
        </is>
      </c>
      <c r="B482" s="1" t="n">
        <v>44711</v>
      </c>
      <c r="C482" s="1" t="n">
        <v>45838</v>
      </c>
      <c r="D482" t="inlineStr">
        <is>
          <t>GÄVLEBORGS LÄN</t>
        </is>
      </c>
      <c r="E482" t="inlineStr">
        <is>
          <t>OVANÅKER</t>
        </is>
      </c>
      <c r="G482" t="n">
        <v>4.2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22007-2022</t>
        </is>
      </c>
      <c r="B483" s="1" t="n">
        <v>44711</v>
      </c>
      <c r="C483" s="1" t="n">
        <v>45838</v>
      </c>
      <c r="D483" t="inlineStr">
        <is>
          <t>GÄVLEBORGS LÄN</t>
        </is>
      </c>
      <c r="E483" t="inlineStr">
        <is>
          <t>OVANÅKER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22700-2022</t>
        </is>
      </c>
      <c r="B484" s="1" t="n">
        <v>44714</v>
      </c>
      <c r="C484" s="1" t="n">
        <v>45838</v>
      </c>
      <c r="D484" t="inlineStr">
        <is>
          <t>GÄVLEBORGS LÄN</t>
        </is>
      </c>
      <c r="E484" t="inlineStr">
        <is>
          <t>OVANÅKER</t>
        </is>
      </c>
      <c r="G484" t="n">
        <v>8.800000000000001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22809-2022</t>
        </is>
      </c>
      <c r="B485" s="1" t="n">
        <v>44715</v>
      </c>
      <c r="C485" s="1" t="n">
        <v>45838</v>
      </c>
      <c r="D485" t="inlineStr">
        <is>
          <t>GÄVLEBORGS LÄN</t>
        </is>
      </c>
      <c r="E485" t="inlineStr">
        <is>
          <t>OVANÅKER</t>
        </is>
      </c>
      <c r="F485" t="inlineStr">
        <is>
          <t>Bergvik skog väst AB</t>
        </is>
      </c>
      <c r="G485" t="n">
        <v>13.5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23014-2022</t>
        </is>
      </c>
      <c r="B486" s="1" t="n">
        <v>44719</v>
      </c>
      <c r="C486" s="1" t="n">
        <v>45838</v>
      </c>
      <c r="D486" t="inlineStr">
        <is>
          <t>GÄVLEBORGS LÄN</t>
        </is>
      </c>
      <c r="E486" t="inlineStr">
        <is>
          <t>OVANÅKER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23023-2022</t>
        </is>
      </c>
      <c r="B487" s="1" t="n">
        <v>44719</v>
      </c>
      <c r="C487" s="1" t="n">
        <v>45838</v>
      </c>
      <c r="D487" t="inlineStr">
        <is>
          <t>GÄVLEBORGS LÄN</t>
        </is>
      </c>
      <c r="E487" t="inlineStr">
        <is>
          <t>OVANÅKER</t>
        </is>
      </c>
      <c r="G487" t="n">
        <v>6.1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23093-2022</t>
        </is>
      </c>
      <c r="B488" s="1" t="n">
        <v>44719</v>
      </c>
      <c r="C488" s="1" t="n">
        <v>45838</v>
      </c>
      <c r="D488" t="inlineStr">
        <is>
          <t>GÄVLEBORGS LÄN</t>
        </is>
      </c>
      <c r="E488" t="inlineStr">
        <is>
          <t>OVANÅKER</t>
        </is>
      </c>
      <c r="G488" t="n">
        <v>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23029-2022</t>
        </is>
      </c>
      <c r="B489" s="1" t="n">
        <v>44719</v>
      </c>
      <c r="C489" s="1" t="n">
        <v>45838</v>
      </c>
      <c r="D489" t="inlineStr">
        <is>
          <t>GÄVLEBORGS LÄN</t>
        </is>
      </c>
      <c r="E489" t="inlineStr">
        <is>
          <t>OVANÅKER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23251-2022</t>
        </is>
      </c>
      <c r="B490" s="1" t="n">
        <v>44720</v>
      </c>
      <c r="C490" s="1" t="n">
        <v>45838</v>
      </c>
      <c r="D490" t="inlineStr">
        <is>
          <t>GÄVLEBORGS LÄN</t>
        </is>
      </c>
      <c r="E490" t="inlineStr">
        <is>
          <t>OVANÅKER</t>
        </is>
      </c>
      <c r="G490" t="n">
        <v>3.2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24095-2022</t>
        </is>
      </c>
      <c r="B491" s="1" t="n">
        <v>44725</v>
      </c>
      <c r="C491" s="1" t="n">
        <v>45838</v>
      </c>
      <c r="D491" t="inlineStr">
        <is>
          <t>GÄVLEBORGS LÄN</t>
        </is>
      </c>
      <c r="E491" t="inlineStr">
        <is>
          <t>OVANÅKER</t>
        </is>
      </c>
      <c r="F491" t="inlineStr">
        <is>
          <t>Bergvik skog väst AB</t>
        </is>
      </c>
      <c r="G491" t="n">
        <v>3.2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24751-2022</t>
        </is>
      </c>
      <c r="B492" s="1" t="n">
        <v>44728</v>
      </c>
      <c r="C492" s="1" t="n">
        <v>45838</v>
      </c>
      <c r="D492" t="inlineStr">
        <is>
          <t>GÄVLEBORGS LÄN</t>
        </is>
      </c>
      <c r="E492" t="inlineStr">
        <is>
          <t>OVANÅKER</t>
        </is>
      </c>
      <c r="G492" t="n">
        <v>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24858-2022</t>
        </is>
      </c>
      <c r="B493" s="1" t="n">
        <v>44728</v>
      </c>
      <c r="C493" s="1" t="n">
        <v>45838</v>
      </c>
      <c r="D493" t="inlineStr">
        <is>
          <t>GÄVLEBORGS LÄN</t>
        </is>
      </c>
      <c r="E493" t="inlineStr">
        <is>
          <t>OVANÅKER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25058-2022</t>
        </is>
      </c>
      <c r="B494" s="1" t="n">
        <v>44729</v>
      </c>
      <c r="C494" s="1" t="n">
        <v>45838</v>
      </c>
      <c r="D494" t="inlineStr">
        <is>
          <t>GÄVLEBORGS LÄN</t>
        </is>
      </c>
      <c r="E494" t="inlineStr">
        <is>
          <t>OVANÅKER</t>
        </is>
      </c>
      <c r="G494" t="n">
        <v>2.5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25087-2022</t>
        </is>
      </c>
      <c r="B495" s="1" t="n">
        <v>44729</v>
      </c>
      <c r="C495" s="1" t="n">
        <v>45838</v>
      </c>
      <c r="D495" t="inlineStr">
        <is>
          <t>GÄVLEBORGS LÄN</t>
        </is>
      </c>
      <c r="E495" t="inlineStr">
        <is>
          <t>OVANÅKER</t>
        </is>
      </c>
      <c r="F495" t="inlineStr">
        <is>
          <t>Bergvik skog väst AB</t>
        </is>
      </c>
      <c r="G495" t="n">
        <v>0.4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25394-2022</t>
        </is>
      </c>
      <c r="B496" s="1" t="n">
        <v>44732</v>
      </c>
      <c r="C496" s="1" t="n">
        <v>45838</v>
      </c>
      <c r="D496" t="inlineStr">
        <is>
          <t>GÄVLEBORGS LÄN</t>
        </is>
      </c>
      <c r="E496" t="inlineStr">
        <is>
          <t>OVANÅKER</t>
        </is>
      </c>
      <c r="G496" t="n">
        <v>0.3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25409-2022</t>
        </is>
      </c>
      <c r="B497" s="1" t="n">
        <v>44732</v>
      </c>
      <c r="C497" s="1" t="n">
        <v>45838</v>
      </c>
      <c r="D497" t="inlineStr">
        <is>
          <t>GÄVLEBORGS LÄN</t>
        </is>
      </c>
      <c r="E497" t="inlineStr">
        <is>
          <t>OVANÅKER</t>
        </is>
      </c>
      <c r="G497" t="n">
        <v>2.8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26821-2022</t>
        </is>
      </c>
      <c r="B498" s="1" t="n">
        <v>44740</v>
      </c>
      <c r="C498" s="1" t="n">
        <v>45838</v>
      </c>
      <c r="D498" t="inlineStr">
        <is>
          <t>GÄVLEBORGS LÄN</t>
        </is>
      </c>
      <c r="E498" t="inlineStr">
        <is>
          <t>OVANÅKER</t>
        </is>
      </c>
      <c r="F498" t="inlineStr">
        <is>
          <t>Bergvik skog väst AB</t>
        </is>
      </c>
      <c r="G498" t="n">
        <v>3.2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26953-2022</t>
        </is>
      </c>
      <c r="B499" s="1" t="n">
        <v>44740</v>
      </c>
      <c r="C499" s="1" t="n">
        <v>45838</v>
      </c>
      <c r="D499" t="inlineStr">
        <is>
          <t>GÄVLEBORGS LÄN</t>
        </is>
      </c>
      <c r="E499" t="inlineStr">
        <is>
          <t>OVANÅKER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28231-2022</t>
        </is>
      </c>
      <c r="B500" s="1" t="n">
        <v>44746</v>
      </c>
      <c r="C500" s="1" t="n">
        <v>45838</v>
      </c>
      <c r="D500" t="inlineStr">
        <is>
          <t>GÄVLEBORGS LÄN</t>
        </is>
      </c>
      <c r="E500" t="inlineStr">
        <is>
          <t>OVANÅKER</t>
        </is>
      </c>
      <c r="G500" t="n">
        <v>1.9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28775-2022</t>
        </is>
      </c>
      <c r="B501" s="1" t="n">
        <v>44749</v>
      </c>
      <c r="C501" s="1" t="n">
        <v>45838</v>
      </c>
      <c r="D501" t="inlineStr">
        <is>
          <t>GÄVLEBORGS LÄN</t>
        </is>
      </c>
      <c r="E501" t="inlineStr">
        <is>
          <t>OVANÅKER</t>
        </is>
      </c>
      <c r="F501" t="inlineStr">
        <is>
          <t>Bergvik skog väst AB</t>
        </is>
      </c>
      <c r="G501" t="n">
        <v>21.9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29272-2022</t>
        </is>
      </c>
      <c r="B502" s="1" t="n">
        <v>44750</v>
      </c>
      <c r="C502" s="1" t="n">
        <v>45838</v>
      </c>
      <c r="D502" t="inlineStr">
        <is>
          <t>GÄVLEBORGS LÄN</t>
        </is>
      </c>
      <c r="E502" t="inlineStr">
        <is>
          <t>OVANÅKER</t>
        </is>
      </c>
      <c r="F502" t="inlineStr">
        <is>
          <t>Holmen skog AB</t>
        </is>
      </c>
      <c r="G502" t="n">
        <v>6.1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29676-2022</t>
        </is>
      </c>
      <c r="B503" s="1" t="n">
        <v>44754</v>
      </c>
      <c r="C503" s="1" t="n">
        <v>45838</v>
      </c>
      <c r="D503" t="inlineStr">
        <is>
          <t>GÄVLEBORGS LÄN</t>
        </is>
      </c>
      <c r="E503" t="inlineStr">
        <is>
          <t>OVANÅKER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29762-2022</t>
        </is>
      </c>
      <c r="B504" s="1" t="n">
        <v>44755</v>
      </c>
      <c r="C504" s="1" t="n">
        <v>45838</v>
      </c>
      <c r="D504" t="inlineStr">
        <is>
          <t>GÄVLEBORGS LÄN</t>
        </is>
      </c>
      <c r="E504" t="inlineStr">
        <is>
          <t>OVANÅKER</t>
        </is>
      </c>
      <c r="F504" t="inlineStr">
        <is>
          <t>Bergvik skog öst AB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30137-2022</t>
        </is>
      </c>
      <c r="B505" s="1" t="n">
        <v>44757</v>
      </c>
      <c r="C505" s="1" t="n">
        <v>45838</v>
      </c>
      <c r="D505" t="inlineStr">
        <is>
          <t>GÄVLEBORGS LÄN</t>
        </is>
      </c>
      <c r="E505" t="inlineStr">
        <is>
          <t>OVANÅKER</t>
        </is>
      </c>
      <c r="F505" t="inlineStr">
        <is>
          <t>Holmen skog AB</t>
        </is>
      </c>
      <c r="G505" t="n">
        <v>1.6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30168-2022</t>
        </is>
      </c>
      <c r="B506" s="1" t="n">
        <v>44757</v>
      </c>
      <c r="C506" s="1" t="n">
        <v>45838</v>
      </c>
      <c r="D506" t="inlineStr">
        <is>
          <t>GÄVLEBORGS LÄN</t>
        </is>
      </c>
      <c r="E506" t="inlineStr">
        <is>
          <t>OVANÅKER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30166-2022</t>
        </is>
      </c>
      <c r="B507" s="1" t="n">
        <v>44757</v>
      </c>
      <c r="C507" s="1" t="n">
        <v>45838</v>
      </c>
      <c r="D507" t="inlineStr">
        <is>
          <t>GÄVLEBORGS LÄN</t>
        </is>
      </c>
      <c r="E507" t="inlineStr">
        <is>
          <t>OVANÅKER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30201-2022</t>
        </is>
      </c>
      <c r="B508" s="1" t="n">
        <v>44757</v>
      </c>
      <c r="C508" s="1" t="n">
        <v>45838</v>
      </c>
      <c r="D508" t="inlineStr">
        <is>
          <t>GÄVLEBORGS LÄN</t>
        </is>
      </c>
      <c r="E508" t="inlineStr">
        <is>
          <t>OVANÅKER</t>
        </is>
      </c>
      <c r="F508" t="inlineStr">
        <is>
          <t>Holmen skog AB</t>
        </is>
      </c>
      <c r="G508" t="n">
        <v>6.4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30374-2022</t>
        </is>
      </c>
      <c r="B509" s="1" t="n">
        <v>44760</v>
      </c>
      <c r="C509" s="1" t="n">
        <v>45838</v>
      </c>
      <c r="D509" t="inlineStr">
        <is>
          <t>GÄVLEBORGS LÄN</t>
        </is>
      </c>
      <c r="E509" t="inlineStr">
        <is>
          <t>OVANÅKER</t>
        </is>
      </c>
      <c r="G509" t="n">
        <v>0.2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30372-2022</t>
        </is>
      </c>
      <c r="B510" s="1" t="n">
        <v>44760</v>
      </c>
      <c r="C510" s="1" t="n">
        <v>45838</v>
      </c>
      <c r="D510" t="inlineStr">
        <is>
          <t>GÄVLEBORGS LÄN</t>
        </is>
      </c>
      <c r="E510" t="inlineStr">
        <is>
          <t>OVANÅKER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31163-2022</t>
        </is>
      </c>
      <c r="B511" s="1" t="n">
        <v>44770</v>
      </c>
      <c r="C511" s="1" t="n">
        <v>45838</v>
      </c>
      <c r="D511" t="inlineStr">
        <is>
          <t>GÄVLEBORGS LÄN</t>
        </is>
      </c>
      <c r="E511" t="inlineStr">
        <is>
          <t>OVANÅKER</t>
        </is>
      </c>
      <c r="F511" t="inlineStr">
        <is>
          <t>Bergvik skog öst AB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31356-2022</t>
        </is>
      </c>
      <c r="B512" s="1" t="n">
        <v>44774</v>
      </c>
      <c r="C512" s="1" t="n">
        <v>45838</v>
      </c>
      <c r="D512" t="inlineStr">
        <is>
          <t>GÄVLEBORGS LÄN</t>
        </is>
      </c>
      <c r="E512" t="inlineStr">
        <is>
          <t>OVANÅKER</t>
        </is>
      </c>
      <c r="F512" t="inlineStr">
        <is>
          <t>Bergvik skog väst AB</t>
        </is>
      </c>
      <c r="G512" t="n">
        <v>5.8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31377-2022</t>
        </is>
      </c>
      <c r="B513" s="1" t="n">
        <v>44774</v>
      </c>
      <c r="C513" s="1" t="n">
        <v>45838</v>
      </c>
      <c r="D513" t="inlineStr">
        <is>
          <t>GÄVLEBORGS LÄN</t>
        </is>
      </c>
      <c r="E513" t="inlineStr">
        <is>
          <t>OVANÅKER</t>
        </is>
      </c>
      <c r="F513" t="inlineStr">
        <is>
          <t>Bergvik skog väst AB</t>
        </is>
      </c>
      <c r="G513" t="n">
        <v>5.7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31800-2022</t>
        </is>
      </c>
      <c r="B514" s="1" t="n">
        <v>44776</v>
      </c>
      <c r="C514" s="1" t="n">
        <v>45838</v>
      </c>
      <c r="D514" t="inlineStr">
        <is>
          <t>GÄVLEBORGS LÄN</t>
        </is>
      </c>
      <c r="E514" t="inlineStr">
        <is>
          <t>OVANÅKER</t>
        </is>
      </c>
      <c r="F514" t="inlineStr">
        <is>
          <t>Bergvik skog väst AB</t>
        </is>
      </c>
      <c r="G514" t="n">
        <v>2.7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31805-2022</t>
        </is>
      </c>
      <c r="B515" s="1" t="n">
        <v>44776</v>
      </c>
      <c r="C515" s="1" t="n">
        <v>45838</v>
      </c>
      <c r="D515" t="inlineStr">
        <is>
          <t>GÄVLEBORGS LÄN</t>
        </is>
      </c>
      <c r="E515" t="inlineStr">
        <is>
          <t>OVANÅKER</t>
        </is>
      </c>
      <c r="F515" t="inlineStr">
        <is>
          <t>Bergvik skog väst AB</t>
        </is>
      </c>
      <c r="G515" t="n">
        <v>3.2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33022-2022</t>
        </is>
      </c>
      <c r="B516" s="1" t="n">
        <v>44785</v>
      </c>
      <c r="C516" s="1" t="n">
        <v>45838</v>
      </c>
      <c r="D516" t="inlineStr">
        <is>
          <t>GÄVLEBORGS LÄN</t>
        </is>
      </c>
      <c r="E516" t="inlineStr">
        <is>
          <t>OVANÅKER</t>
        </is>
      </c>
      <c r="F516" t="inlineStr">
        <is>
          <t>Bergvik skog väst AB</t>
        </is>
      </c>
      <c r="G516" t="n">
        <v>15.3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33674-2022</t>
        </is>
      </c>
      <c r="B517" s="1" t="n">
        <v>44789</v>
      </c>
      <c r="C517" s="1" t="n">
        <v>45838</v>
      </c>
      <c r="D517" t="inlineStr">
        <is>
          <t>GÄVLEBORGS LÄN</t>
        </is>
      </c>
      <c r="E517" t="inlineStr">
        <is>
          <t>OVANÅKER</t>
        </is>
      </c>
      <c r="F517" t="inlineStr">
        <is>
          <t>Holmen skog AB</t>
        </is>
      </c>
      <c r="G517" t="n">
        <v>11.9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33775-2022</t>
        </is>
      </c>
      <c r="B518" s="1" t="n">
        <v>44790</v>
      </c>
      <c r="C518" s="1" t="n">
        <v>45838</v>
      </c>
      <c r="D518" t="inlineStr">
        <is>
          <t>GÄVLEBORGS LÄN</t>
        </is>
      </c>
      <c r="E518" t="inlineStr">
        <is>
          <t>OVANÅKER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35053-2022</t>
        </is>
      </c>
      <c r="B519" s="1" t="n">
        <v>44797</v>
      </c>
      <c r="C519" s="1" t="n">
        <v>45838</v>
      </c>
      <c r="D519" t="inlineStr">
        <is>
          <t>GÄVLEBORGS LÄN</t>
        </is>
      </c>
      <c r="E519" t="inlineStr">
        <is>
          <t>OVANÅKER</t>
        </is>
      </c>
      <c r="G519" t="n">
        <v>2.2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35324-2022</t>
        </is>
      </c>
      <c r="B520" s="1" t="n">
        <v>44798</v>
      </c>
      <c r="C520" s="1" t="n">
        <v>45838</v>
      </c>
      <c r="D520" t="inlineStr">
        <is>
          <t>GÄVLEBORGS LÄN</t>
        </is>
      </c>
      <c r="E520" t="inlineStr">
        <is>
          <t>OVANÅKER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35348-2022</t>
        </is>
      </c>
      <c r="B521" s="1" t="n">
        <v>44798</v>
      </c>
      <c r="C521" s="1" t="n">
        <v>45838</v>
      </c>
      <c r="D521" t="inlineStr">
        <is>
          <t>GÄVLEBORGS LÄN</t>
        </is>
      </c>
      <c r="E521" t="inlineStr">
        <is>
          <t>OVANÅKER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35737-2022</t>
        </is>
      </c>
      <c r="B522" s="1" t="n">
        <v>44800</v>
      </c>
      <c r="C522" s="1" t="n">
        <v>45838</v>
      </c>
      <c r="D522" t="inlineStr">
        <is>
          <t>GÄVLEBORGS LÄN</t>
        </is>
      </c>
      <c r="E522" t="inlineStr">
        <is>
          <t>OVANÅKER</t>
        </is>
      </c>
      <c r="G522" t="n">
        <v>6.4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35738-2022</t>
        </is>
      </c>
      <c r="B523" s="1" t="n">
        <v>44800</v>
      </c>
      <c r="C523" s="1" t="n">
        <v>45838</v>
      </c>
      <c r="D523" t="inlineStr">
        <is>
          <t>GÄVLEBORGS LÄN</t>
        </is>
      </c>
      <c r="E523" t="inlineStr">
        <is>
          <t>OVANÅKER</t>
        </is>
      </c>
      <c r="G523" t="n">
        <v>2.4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35739-2022</t>
        </is>
      </c>
      <c r="B524" s="1" t="n">
        <v>44799</v>
      </c>
      <c r="C524" s="1" t="n">
        <v>45838</v>
      </c>
      <c r="D524" t="inlineStr">
        <is>
          <t>GÄVLEBORGS LÄN</t>
        </is>
      </c>
      <c r="E524" t="inlineStr">
        <is>
          <t>OVANÅKER</t>
        </is>
      </c>
      <c r="G524" t="n">
        <v>4.6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  <c r="U524">
        <f>HYPERLINK("https://klasma.github.io/Logging_2121/knärot/A 35739-2022 karta knärot.png", "A 35739-2022")</f>
        <v/>
      </c>
      <c r="V524">
        <f>HYPERLINK("https://klasma.github.io/Logging_2121/klagomål/A 35739-2022 FSC-klagomål.docx", "A 35739-2022")</f>
        <v/>
      </c>
      <c r="W524">
        <f>HYPERLINK("https://klasma.github.io/Logging_2121/klagomålsmail/A 35739-2022 FSC-klagomål mail.docx", "A 35739-2022")</f>
        <v/>
      </c>
      <c r="X524">
        <f>HYPERLINK("https://klasma.github.io/Logging_2121/tillsyn/A 35739-2022 tillsynsbegäran.docx", "A 35739-2022")</f>
        <v/>
      </c>
      <c r="Y524">
        <f>HYPERLINK("https://klasma.github.io/Logging_2121/tillsynsmail/A 35739-2022 tillsynsbegäran mail.docx", "A 35739-2022")</f>
        <v/>
      </c>
    </row>
    <row r="525" ht="15" customHeight="1">
      <c r="A525" t="inlineStr">
        <is>
          <t>A 35823-2022</t>
        </is>
      </c>
      <c r="B525" s="1" t="n">
        <v>44802</v>
      </c>
      <c r="C525" s="1" t="n">
        <v>45838</v>
      </c>
      <c r="D525" t="inlineStr">
        <is>
          <t>GÄVLEBORGS LÄN</t>
        </is>
      </c>
      <c r="E525" t="inlineStr">
        <is>
          <t>OVANÅKER</t>
        </is>
      </c>
      <c r="G525" t="n">
        <v>1.6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36576-2022</t>
        </is>
      </c>
      <c r="B526" s="1" t="n">
        <v>44804</v>
      </c>
      <c r="C526" s="1" t="n">
        <v>45838</v>
      </c>
      <c r="D526" t="inlineStr">
        <is>
          <t>GÄVLEBORGS LÄN</t>
        </is>
      </c>
      <c r="E526" t="inlineStr">
        <is>
          <t>OVANÅKER</t>
        </is>
      </c>
      <c r="G526" t="n">
        <v>4.9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36718-2022</t>
        </is>
      </c>
      <c r="B527" s="1" t="n">
        <v>44805</v>
      </c>
      <c r="C527" s="1" t="n">
        <v>45838</v>
      </c>
      <c r="D527" t="inlineStr">
        <is>
          <t>GÄVLEBORGS LÄN</t>
        </is>
      </c>
      <c r="E527" t="inlineStr">
        <is>
          <t>OVANÅKER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37925-2022</t>
        </is>
      </c>
      <c r="B528" s="1" t="n">
        <v>44811</v>
      </c>
      <c r="C528" s="1" t="n">
        <v>45838</v>
      </c>
      <c r="D528" t="inlineStr">
        <is>
          <t>GÄVLEBORGS LÄN</t>
        </is>
      </c>
      <c r="E528" t="inlineStr">
        <is>
          <t>OVANÅKER</t>
        </is>
      </c>
      <c r="F528" t="inlineStr">
        <is>
          <t>Bergvik skog väst AB</t>
        </is>
      </c>
      <c r="G528" t="n">
        <v>2.2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38324-2022</t>
        </is>
      </c>
      <c r="B529" s="1" t="n">
        <v>44812</v>
      </c>
      <c r="C529" s="1" t="n">
        <v>45838</v>
      </c>
      <c r="D529" t="inlineStr">
        <is>
          <t>GÄVLEBORGS LÄN</t>
        </is>
      </c>
      <c r="E529" t="inlineStr">
        <is>
          <t>OVANÅKER</t>
        </is>
      </c>
      <c r="G529" t="n">
        <v>4.4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39450-2022</t>
        </is>
      </c>
      <c r="B530" s="1" t="n">
        <v>44818</v>
      </c>
      <c r="C530" s="1" t="n">
        <v>45838</v>
      </c>
      <c r="D530" t="inlineStr">
        <is>
          <t>GÄVLEBORGS LÄN</t>
        </is>
      </c>
      <c r="E530" t="inlineStr">
        <is>
          <t>OVANÅKER</t>
        </is>
      </c>
      <c r="G530" t="n">
        <v>2.3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39532-2022</t>
        </is>
      </c>
      <c r="B531" s="1" t="n">
        <v>44818</v>
      </c>
      <c r="C531" s="1" t="n">
        <v>45838</v>
      </c>
      <c r="D531" t="inlineStr">
        <is>
          <t>GÄVLEBORGS LÄN</t>
        </is>
      </c>
      <c r="E531" t="inlineStr">
        <is>
          <t>OVANÅKER</t>
        </is>
      </c>
      <c r="F531" t="inlineStr">
        <is>
          <t>Bergvik skog väst AB</t>
        </is>
      </c>
      <c r="G531" t="n">
        <v>1.8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39777-2022</t>
        </is>
      </c>
      <c r="B532" s="1" t="n">
        <v>44819</v>
      </c>
      <c r="C532" s="1" t="n">
        <v>45838</v>
      </c>
      <c r="D532" t="inlineStr">
        <is>
          <t>GÄVLEBORGS LÄN</t>
        </is>
      </c>
      <c r="E532" t="inlineStr">
        <is>
          <t>OVANÅKER</t>
        </is>
      </c>
      <c r="F532" t="inlineStr">
        <is>
          <t>Bergvik skog väst AB</t>
        </is>
      </c>
      <c r="G532" t="n">
        <v>15.8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40403-2022</t>
        </is>
      </c>
      <c r="B533" s="1" t="n">
        <v>44823</v>
      </c>
      <c r="C533" s="1" t="n">
        <v>45838</v>
      </c>
      <c r="D533" t="inlineStr">
        <is>
          <t>GÄVLEBORGS LÄN</t>
        </is>
      </c>
      <c r="E533" t="inlineStr">
        <is>
          <t>OVANÅKER</t>
        </is>
      </c>
      <c r="F533" t="inlineStr">
        <is>
          <t>Bergvik skog väst AB</t>
        </is>
      </c>
      <c r="G533" t="n">
        <v>3.7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40400-2022</t>
        </is>
      </c>
      <c r="B534" s="1" t="n">
        <v>44823</v>
      </c>
      <c r="C534" s="1" t="n">
        <v>45838</v>
      </c>
      <c r="D534" t="inlineStr">
        <is>
          <t>GÄVLEBORGS LÄN</t>
        </is>
      </c>
      <c r="E534" t="inlineStr">
        <is>
          <t>OVANÅKER</t>
        </is>
      </c>
      <c r="F534" t="inlineStr">
        <is>
          <t>Bergvik skog väst AB</t>
        </is>
      </c>
      <c r="G534" t="n">
        <v>2.7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40507-2022</t>
        </is>
      </c>
      <c r="B535" s="1" t="n">
        <v>44823</v>
      </c>
      <c r="C535" s="1" t="n">
        <v>45838</v>
      </c>
      <c r="D535" t="inlineStr">
        <is>
          <t>GÄVLEBORGS LÄN</t>
        </is>
      </c>
      <c r="E535" t="inlineStr">
        <is>
          <t>OVANÅKER</t>
        </is>
      </c>
      <c r="F535" t="inlineStr">
        <is>
          <t>Bergvik skog väst AB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40743-2022</t>
        </is>
      </c>
      <c r="B536" s="1" t="n">
        <v>44824</v>
      </c>
      <c r="C536" s="1" t="n">
        <v>45838</v>
      </c>
      <c r="D536" t="inlineStr">
        <is>
          <t>GÄVLEBORGS LÄN</t>
        </is>
      </c>
      <c r="E536" t="inlineStr">
        <is>
          <t>OVANÅKER</t>
        </is>
      </c>
      <c r="F536" t="inlineStr">
        <is>
          <t>Bergvik skog väst AB</t>
        </is>
      </c>
      <c r="G536" t="n">
        <v>6.4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41658-2022</t>
        </is>
      </c>
      <c r="B537" s="1" t="n">
        <v>44827</v>
      </c>
      <c r="C537" s="1" t="n">
        <v>45838</v>
      </c>
      <c r="D537" t="inlineStr">
        <is>
          <t>GÄVLEBORGS LÄN</t>
        </is>
      </c>
      <c r="E537" t="inlineStr">
        <is>
          <t>OVANÅKER</t>
        </is>
      </c>
      <c r="G537" t="n">
        <v>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42211-2022</t>
        </is>
      </c>
      <c r="B538" s="1" t="n">
        <v>44830</v>
      </c>
      <c r="C538" s="1" t="n">
        <v>45838</v>
      </c>
      <c r="D538" t="inlineStr">
        <is>
          <t>GÄVLEBORGS LÄN</t>
        </is>
      </c>
      <c r="E538" t="inlineStr">
        <is>
          <t>OVANÅKER</t>
        </is>
      </c>
      <c r="G538" t="n">
        <v>3.2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42685-2022</t>
        </is>
      </c>
      <c r="B539" s="1" t="n">
        <v>44832</v>
      </c>
      <c r="C539" s="1" t="n">
        <v>45838</v>
      </c>
      <c r="D539" t="inlineStr">
        <is>
          <t>GÄVLEBORGS LÄN</t>
        </is>
      </c>
      <c r="E539" t="inlineStr">
        <is>
          <t>OVANÅKER</t>
        </is>
      </c>
      <c r="G539" t="n">
        <v>7.2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44092-2022</t>
        </is>
      </c>
      <c r="B540" s="1" t="n">
        <v>44839</v>
      </c>
      <c r="C540" s="1" t="n">
        <v>45838</v>
      </c>
      <c r="D540" t="inlineStr">
        <is>
          <t>GÄVLEBORGS LÄN</t>
        </is>
      </c>
      <c r="E540" t="inlineStr">
        <is>
          <t>OVANÅKER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44310-2022</t>
        </is>
      </c>
      <c r="B541" s="1" t="n">
        <v>44839</v>
      </c>
      <c r="C541" s="1" t="n">
        <v>45838</v>
      </c>
      <c r="D541" t="inlineStr">
        <is>
          <t>GÄVLEBORGS LÄN</t>
        </is>
      </c>
      <c r="E541" t="inlineStr">
        <is>
          <t>OVANÅKER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44594-2022</t>
        </is>
      </c>
      <c r="B542" s="1" t="n">
        <v>44840</v>
      </c>
      <c r="C542" s="1" t="n">
        <v>45838</v>
      </c>
      <c r="D542" t="inlineStr">
        <is>
          <t>GÄVLEBORGS LÄN</t>
        </is>
      </c>
      <c r="E542" t="inlineStr">
        <is>
          <t>OVANÅKER</t>
        </is>
      </c>
      <c r="G542" t="n">
        <v>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44794-2022</t>
        </is>
      </c>
      <c r="B543" s="1" t="n">
        <v>44841</v>
      </c>
      <c r="C543" s="1" t="n">
        <v>45838</v>
      </c>
      <c r="D543" t="inlineStr">
        <is>
          <t>GÄVLEBORGS LÄN</t>
        </is>
      </c>
      <c r="E543" t="inlineStr">
        <is>
          <t>OVANÅKER</t>
        </is>
      </c>
      <c r="G543" t="n">
        <v>4.4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45456-2022</t>
        </is>
      </c>
      <c r="B544" s="1" t="n">
        <v>44845</v>
      </c>
      <c r="C544" s="1" t="n">
        <v>45838</v>
      </c>
      <c r="D544" t="inlineStr">
        <is>
          <t>GÄVLEBORGS LÄN</t>
        </is>
      </c>
      <c r="E544" t="inlineStr">
        <is>
          <t>OVANÅKER</t>
        </is>
      </c>
      <c r="F544" t="inlineStr">
        <is>
          <t>Kyrkan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45528-2022</t>
        </is>
      </c>
      <c r="B545" s="1" t="n">
        <v>44845</v>
      </c>
      <c r="C545" s="1" t="n">
        <v>45838</v>
      </c>
      <c r="D545" t="inlineStr">
        <is>
          <t>GÄVLEBORGS LÄN</t>
        </is>
      </c>
      <c r="E545" t="inlineStr">
        <is>
          <t>OVANÅKER</t>
        </is>
      </c>
      <c r="F545" t="inlineStr">
        <is>
          <t>Sveaskog</t>
        </is>
      </c>
      <c r="G545" t="n">
        <v>2.9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45486-2022</t>
        </is>
      </c>
      <c r="B546" s="1" t="n">
        <v>44845</v>
      </c>
      <c r="C546" s="1" t="n">
        <v>45838</v>
      </c>
      <c r="D546" t="inlineStr">
        <is>
          <t>GÄVLEBORGS LÄN</t>
        </is>
      </c>
      <c r="E546" t="inlineStr">
        <is>
          <t>OVANÅKER</t>
        </is>
      </c>
      <c r="F546" t="inlineStr">
        <is>
          <t>Kyrkan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45778-2022</t>
        </is>
      </c>
      <c r="B547" s="1" t="n">
        <v>44846</v>
      </c>
      <c r="C547" s="1" t="n">
        <v>45838</v>
      </c>
      <c r="D547" t="inlineStr">
        <is>
          <t>GÄVLEBORGS LÄN</t>
        </is>
      </c>
      <c r="E547" t="inlineStr">
        <is>
          <t>OVANÅKER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45949-2022</t>
        </is>
      </c>
      <c r="B548" s="1" t="n">
        <v>44846</v>
      </c>
      <c r="C548" s="1" t="n">
        <v>45838</v>
      </c>
      <c r="D548" t="inlineStr">
        <is>
          <t>GÄVLEBORGS LÄN</t>
        </is>
      </c>
      <c r="E548" t="inlineStr">
        <is>
          <t>OVANÅKER</t>
        </is>
      </c>
      <c r="G548" t="n">
        <v>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45947-2022</t>
        </is>
      </c>
      <c r="B549" s="1" t="n">
        <v>44846</v>
      </c>
      <c r="C549" s="1" t="n">
        <v>45838</v>
      </c>
      <c r="D549" t="inlineStr">
        <is>
          <t>GÄVLEBORGS LÄN</t>
        </is>
      </c>
      <c r="E549" t="inlineStr">
        <is>
          <t>OVANÅKER</t>
        </is>
      </c>
      <c r="G549" t="n">
        <v>4.4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46377-2022</t>
        </is>
      </c>
      <c r="B550" s="1" t="n">
        <v>44848</v>
      </c>
      <c r="C550" s="1" t="n">
        <v>45838</v>
      </c>
      <c r="D550" t="inlineStr">
        <is>
          <t>GÄVLEBORGS LÄN</t>
        </is>
      </c>
      <c r="E550" t="inlineStr">
        <is>
          <t>OVANÅKER</t>
        </is>
      </c>
      <c r="F550" t="inlineStr">
        <is>
          <t>Sveaskog</t>
        </is>
      </c>
      <c r="G550" t="n">
        <v>2.7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46709-2022</t>
        </is>
      </c>
      <c r="B551" s="1" t="n">
        <v>44851</v>
      </c>
      <c r="C551" s="1" t="n">
        <v>45838</v>
      </c>
      <c r="D551" t="inlineStr">
        <is>
          <t>GÄVLEBORGS LÄN</t>
        </is>
      </c>
      <c r="E551" t="inlineStr">
        <is>
          <t>OVANÅKER</t>
        </is>
      </c>
      <c r="G551" t="n">
        <v>2.7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46960-2022</t>
        </is>
      </c>
      <c r="B552" s="1" t="n">
        <v>44852</v>
      </c>
      <c r="C552" s="1" t="n">
        <v>45838</v>
      </c>
      <c r="D552" t="inlineStr">
        <is>
          <t>GÄVLEBORGS LÄN</t>
        </is>
      </c>
      <c r="E552" t="inlineStr">
        <is>
          <t>OVANÅKER</t>
        </is>
      </c>
      <c r="G552" t="n">
        <v>2.4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46823-2022</t>
        </is>
      </c>
      <c r="B553" s="1" t="n">
        <v>44851</v>
      </c>
      <c r="C553" s="1" t="n">
        <v>45838</v>
      </c>
      <c r="D553" t="inlineStr">
        <is>
          <t>GÄVLEBORGS LÄN</t>
        </is>
      </c>
      <c r="E553" t="inlineStr">
        <is>
          <t>OVANÅKER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47380-2022</t>
        </is>
      </c>
      <c r="B554" s="1" t="n">
        <v>44853</v>
      </c>
      <c r="C554" s="1" t="n">
        <v>45838</v>
      </c>
      <c r="D554" t="inlineStr">
        <is>
          <t>GÄVLEBORGS LÄN</t>
        </is>
      </c>
      <c r="E554" t="inlineStr">
        <is>
          <t>OVANÅKER</t>
        </is>
      </c>
      <c r="G554" t="n">
        <v>1.6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47480-2022</t>
        </is>
      </c>
      <c r="B555" s="1" t="n">
        <v>44853</v>
      </c>
      <c r="C555" s="1" t="n">
        <v>45838</v>
      </c>
      <c r="D555" t="inlineStr">
        <is>
          <t>GÄVLEBORGS LÄN</t>
        </is>
      </c>
      <c r="E555" t="inlineStr">
        <is>
          <t>OVANÅKER</t>
        </is>
      </c>
      <c r="G555" t="n">
        <v>2.8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47917-2022</t>
        </is>
      </c>
      <c r="B556" s="1" t="n">
        <v>44855</v>
      </c>
      <c r="C556" s="1" t="n">
        <v>45838</v>
      </c>
      <c r="D556" t="inlineStr">
        <is>
          <t>GÄVLEBORGS LÄN</t>
        </is>
      </c>
      <c r="E556" t="inlineStr">
        <is>
          <t>OVANÅKER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48369-2022</t>
        </is>
      </c>
      <c r="B557" s="1" t="n">
        <v>44858</v>
      </c>
      <c r="C557" s="1" t="n">
        <v>45838</v>
      </c>
      <c r="D557" t="inlineStr">
        <is>
          <t>GÄVLEBORGS LÄN</t>
        </is>
      </c>
      <c r="E557" t="inlineStr">
        <is>
          <t>OVANÅKER</t>
        </is>
      </c>
      <c r="G557" t="n">
        <v>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48811-2022</t>
        </is>
      </c>
      <c r="B558" s="1" t="n">
        <v>44859</v>
      </c>
      <c r="C558" s="1" t="n">
        <v>45838</v>
      </c>
      <c r="D558" t="inlineStr">
        <is>
          <t>GÄVLEBORGS LÄN</t>
        </is>
      </c>
      <c r="E558" t="inlineStr">
        <is>
          <t>OVANÅKER</t>
        </is>
      </c>
      <c r="F558" t="inlineStr">
        <is>
          <t>Bergvik skog väst AB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49021-2022</t>
        </is>
      </c>
      <c r="B559" s="1" t="n">
        <v>44860</v>
      </c>
      <c r="C559" s="1" t="n">
        <v>45838</v>
      </c>
      <c r="D559" t="inlineStr">
        <is>
          <t>GÄVLEBORGS LÄN</t>
        </is>
      </c>
      <c r="E559" t="inlineStr">
        <is>
          <t>OVANÅKER</t>
        </is>
      </c>
      <c r="G559" t="n">
        <v>4.6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49654-2022</t>
        </is>
      </c>
      <c r="B560" s="1" t="n">
        <v>44862</v>
      </c>
      <c r="C560" s="1" t="n">
        <v>45838</v>
      </c>
      <c r="D560" t="inlineStr">
        <is>
          <t>GÄVLEBORGS LÄN</t>
        </is>
      </c>
      <c r="E560" t="inlineStr">
        <is>
          <t>OVANÅKER</t>
        </is>
      </c>
      <c r="G560" t="n">
        <v>2.8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50637-2022</t>
        </is>
      </c>
      <c r="B561" s="1" t="n">
        <v>44866</v>
      </c>
      <c r="C561" s="1" t="n">
        <v>45838</v>
      </c>
      <c r="D561" t="inlineStr">
        <is>
          <t>GÄVLEBORGS LÄN</t>
        </is>
      </c>
      <c r="E561" t="inlineStr">
        <is>
          <t>OVANÅKER</t>
        </is>
      </c>
      <c r="G561" t="n">
        <v>3.3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50937-2022</t>
        </is>
      </c>
      <c r="B562" s="1" t="n">
        <v>44867</v>
      </c>
      <c r="C562" s="1" t="n">
        <v>45838</v>
      </c>
      <c r="D562" t="inlineStr">
        <is>
          <t>GÄVLEBORGS LÄN</t>
        </is>
      </c>
      <c r="E562" t="inlineStr">
        <is>
          <t>OVANÅKER</t>
        </is>
      </c>
      <c r="F562" t="inlineStr">
        <is>
          <t>Bergvik skog väst AB</t>
        </is>
      </c>
      <c r="G562" t="n">
        <v>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51092-2022</t>
        </is>
      </c>
      <c r="B563" s="1" t="n">
        <v>44868</v>
      </c>
      <c r="C563" s="1" t="n">
        <v>45838</v>
      </c>
      <c r="D563" t="inlineStr">
        <is>
          <t>GÄVLEBORGS LÄN</t>
        </is>
      </c>
      <c r="E563" t="inlineStr">
        <is>
          <t>OVANÅKER</t>
        </is>
      </c>
      <c r="G563" t="n">
        <v>7.3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51122-2022</t>
        </is>
      </c>
      <c r="B564" s="1" t="n">
        <v>44868</v>
      </c>
      <c r="C564" s="1" t="n">
        <v>45838</v>
      </c>
      <c r="D564" t="inlineStr">
        <is>
          <t>GÄVLEBORGS LÄN</t>
        </is>
      </c>
      <c r="E564" t="inlineStr">
        <is>
          <t>OVANÅKER</t>
        </is>
      </c>
      <c r="G564" t="n">
        <v>1.4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51127-2022</t>
        </is>
      </c>
      <c r="B565" s="1" t="n">
        <v>44868</v>
      </c>
      <c r="C565" s="1" t="n">
        <v>45838</v>
      </c>
      <c r="D565" t="inlineStr">
        <is>
          <t>GÄVLEBORGS LÄN</t>
        </is>
      </c>
      <c r="E565" t="inlineStr">
        <is>
          <t>OVANÅKER</t>
        </is>
      </c>
      <c r="G565" t="n">
        <v>0.4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51252-2022</t>
        </is>
      </c>
      <c r="B566" s="1" t="n">
        <v>44868</v>
      </c>
      <c r="C566" s="1" t="n">
        <v>45838</v>
      </c>
      <c r="D566" t="inlineStr">
        <is>
          <t>GÄVLEBORGS LÄN</t>
        </is>
      </c>
      <c r="E566" t="inlineStr">
        <is>
          <t>OVANÅKER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51237-2022</t>
        </is>
      </c>
      <c r="B567" s="1" t="n">
        <v>44868</v>
      </c>
      <c r="C567" s="1" t="n">
        <v>45838</v>
      </c>
      <c r="D567" t="inlineStr">
        <is>
          <t>GÄVLEBORGS LÄN</t>
        </is>
      </c>
      <c r="E567" t="inlineStr">
        <is>
          <t>OVANÅKER</t>
        </is>
      </c>
      <c r="G567" t="n">
        <v>6.5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51734-2022</t>
        </is>
      </c>
      <c r="B568" s="1" t="n">
        <v>44872</v>
      </c>
      <c r="C568" s="1" t="n">
        <v>45838</v>
      </c>
      <c r="D568" t="inlineStr">
        <is>
          <t>GÄVLEBORGS LÄN</t>
        </is>
      </c>
      <c r="E568" t="inlineStr">
        <is>
          <t>OVANÅKER</t>
        </is>
      </c>
      <c r="G568" t="n">
        <v>2.3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51700-2022</t>
        </is>
      </c>
      <c r="B569" s="1" t="n">
        <v>44872</v>
      </c>
      <c r="C569" s="1" t="n">
        <v>45838</v>
      </c>
      <c r="D569" t="inlineStr">
        <is>
          <t>GÄVLEBORGS LÄN</t>
        </is>
      </c>
      <c r="E569" t="inlineStr">
        <is>
          <t>OVANÅKER</t>
        </is>
      </c>
      <c r="G569" t="n">
        <v>2.1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51732-2022</t>
        </is>
      </c>
      <c r="B570" s="1" t="n">
        <v>44872</v>
      </c>
      <c r="C570" s="1" t="n">
        <v>45838</v>
      </c>
      <c r="D570" t="inlineStr">
        <is>
          <t>GÄVLEBORGS LÄN</t>
        </is>
      </c>
      <c r="E570" t="inlineStr">
        <is>
          <t>OVANÅKER</t>
        </is>
      </c>
      <c r="G570" t="n">
        <v>6.5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51737-2022</t>
        </is>
      </c>
      <c r="B571" s="1" t="n">
        <v>44872</v>
      </c>
      <c r="C571" s="1" t="n">
        <v>45838</v>
      </c>
      <c r="D571" t="inlineStr">
        <is>
          <t>GÄVLEBORGS LÄN</t>
        </is>
      </c>
      <c r="E571" t="inlineStr">
        <is>
          <t>OVANÅKER</t>
        </is>
      </c>
      <c r="F571" t="inlineStr">
        <is>
          <t>Bergvik skog väst AB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51783-2022</t>
        </is>
      </c>
      <c r="B572" s="1" t="n">
        <v>44872</v>
      </c>
      <c r="C572" s="1" t="n">
        <v>45838</v>
      </c>
      <c r="D572" t="inlineStr">
        <is>
          <t>GÄVLEBORGS LÄN</t>
        </is>
      </c>
      <c r="E572" t="inlineStr">
        <is>
          <t>OVANÅKER</t>
        </is>
      </c>
      <c r="F572" t="inlineStr">
        <is>
          <t>Bergvik skog väst AB</t>
        </is>
      </c>
      <c r="G572" t="n">
        <v>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51902-2022</t>
        </is>
      </c>
      <c r="B573" s="1" t="n">
        <v>44872</v>
      </c>
      <c r="C573" s="1" t="n">
        <v>45838</v>
      </c>
      <c r="D573" t="inlineStr">
        <is>
          <t>GÄVLEBORGS LÄN</t>
        </is>
      </c>
      <c r="E573" t="inlineStr">
        <is>
          <t>OVANÅKER</t>
        </is>
      </c>
      <c r="G573" t="n">
        <v>4.8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51927-2022</t>
        </is>
      </c>
      <c r="B574" s="1" t="n">
        <v>44872</v>
      </c>
      <c r="C574" s="1" t="n">
        <v>45838</v>
      </c>
      <c r="D574" t="inlineStr">
        <is>
          <t>GÄVLEBORGS LÄN</t>
        </is>
      </c>
      <c r="E574" t="inlineStr">
        <is>
          <t>OVANÅKER</t>
        </is>
      </c>
      <c r="G574" t="n">
        <v>9.1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52607-2022</t>
        </is>
      </c>
      <c r="B575" s="1" t="n">
        <v>44874</v>
      </c>
      <c r="C575" s="1" t="n">
        <v>45838</v>
      </c>
      <c r="D575" t="inlineStr">
        <is>
          <t>GÄVLEBORGS LÄN</t>
        </is>
      </c>
      <c r="E575" t="inlineStr">
        <is>
          <t>OVANÅKER</t>
        </is>
      </c>
      <c r="G575" t="n">
        <v>1.7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52615-2022</t>
        </is>
      </c>
      <c r="B576" s="1" t="n">
        <v>44874</v>
      </c>
      <c r="C576" s="1" t="n">
        <v>45838</v>
      </c>
      <c r="D576" t="inlineStr">
        <is>
          <t>GÄVLEBORGS LÄN</t>
        </is>
      </c>
      <c r="E576" t="inlineStr">
        <is>
          <t>OVANÅKER</t>
        </is>
      </c>
      <c r="G576" t="n">
        <v>4.6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53213-2022</t>
        </is>
      </c>
      <c r="B577" s="1" t="n">
        <v>44876</v>
      </c>
      <c r="C577" s="1" t="n">
        <v>45838</v>
      </c>
      <c r="D577" t="inlineStr">
        <is>
          <t>GÄVLEBORGS LÄN</t>
        </is>
      </c>
      <c r="E577" t="inlineStr">
        <is>
          <t>OVANÅKER</t>
        </is>
      </c>
      <c r="G577" t="n">
        <v>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53174-2022</t>
        </is>
      </c>
      <c r="B578" s="1" t="n">
        <v>44876</v>
      </c>
      <c r="C578" s="1" t="n">
        <v>45838</v>
      </c>
      <c r="D578" t="inlineStr">
        <is>
          <t>GÄVLEBORGS LÄN</t>
        </is>
      </c>
      <c r="E578" t="inlineStr">
        <is>
          <t>OVANÅKER</t>
        </is>
      </c>
      <c r="G578" t="n">
        <v>6.4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53445-2022</t>
        </is>
      </c>
      <c r="B579" s="1" t="n">
        <v>44879</v>
      </c>
      <c r="C579" s="1" t="n">
        <v>45838</v>
      </c>
      <c r="D579" t="inlineStr">
        <is>
          <t>GÄVLEBORGS LÄN</t>
        </is>
      </c>
      <c r="E579" t="inlineStr">
        <is>
          <t>OVANÅKER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53343-2022</t>
        </is>
      </c>
      <c r="B580" s="1" t="n">
        <v>44879</v>
      </c>
      <c r="C580" s="1" t="n">
        <v>45838</v>
      </c>
      <c r="D580" t="inlineStr">
        <is>
          <t>GÄVLEBORGS LÄN</t>
        </is>
      </c>
      <c r="E580" t="inlineStr">
        <is>
          <t>OVANÅKER</t>
        </is>
      </c>
      <c r="F580" t="inlineStr">
        <is>
          <t>Holmen skog AB</t>
        </is>
      </c>
      <c r="G580" t="n">
        <v>1.8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53694-2022</t>
        </is>
      </c>
      <c r="B581" s="1" t="n">
        <v>44880</v>
      </c>
      <c r="C581" s="1" t="n">
        <v>45838</v>
      </c>
      <c r="D581" t="inlineStr">
        <is>
          <t>GÄVLEBORGS LÄN</t>
        </is>
      </c>
      <c r="E581" t="inlineStr">
        <is>
          <t>OVANÅKER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53691-2022</t>
        </is>
      </c>
      <c r="B582" s="1" t="n">
        <v>44880</v>
      </c>
      <c r="C582" s="1" t="n">
        <v>45838</v>
      </c>
      <c r="D582" t="inlineStr">
        <is>
          <t>GÄVLEBORGS LÄN</t>
        </is>
      </c>
      <c r="E582" t="inlineStr">
        <is>
          <t>OVANÅKER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54128-2022</t>
        </is>
      </c>
      <c r="B583" s="1" t="n">
        <v>44881</v>
      </c>
      <c r="C583" s="1" t="n">
        <v>45838</v>
      </c>
      <c r="D583" t="inlineStr">
        <is>
          <t>GÄVLEBORGS LÄN</t>
        </is>
      </c>
      <c r="E583" t="inlineStr">
        <is>
          <t>OVANÅKER</t>
        </is>
      </c>
      <c r="G583" t="n">
        <v>8.199999999999999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54731-2022</t>
        </is>
      </c>
      <c r="B584" s="1" t="n">
        <v>44883</v>
      </c>
      <c r="C584" s="1" t="n">
        <v>45838</v>
      </c>
      <c r="D584" t="inlineStr">
        <is>
          <t>GÄVLEBORGS LÄN</t>
        </is>
      </c>
      <c r="E584" t="inlineStr">
        <is>
          <t>OVANÅKER</t>
        </is>
      </c>
      <c r="G584" t="n">
        <v>21.8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54654-2022</t>
        </is>
      </c>
      <c r="B585" s="1" t="n">
        <v>44883</v>
      </c>
      <c r="C585" s="1" t="n">
        <v>45838</v>
      </c>
      <c r="D585" t="inlineStr">
        <is>
          <t>GÄVLEBORGS LÄN</t>
        </is>
      </c>
      <c r="E585" t="inlineStr">
        <is>
          <t>OVANÅKER</t>
        </is>
      </c>
      <c r="G585" t="n">
        <v>7.4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54660-2022</t>
        </is>
      </c>
      <c r="B586" s="1" t="n">
        <v>44883</v>
      </c>
      <c r="C586" s="1" t="n">
        <v>45838</v>
      </c>
      <c r="D586" t="inlineStr">
        <is>
          <t>GÄVLEBORGS LÄN</t>
        </is>
      </c>
      <c r="E586" t="inlineStr">
        <is>
          <t>OVANÅKER</t>
        </is>
      </c>
      <c r="G586" t="n">
        <v>1.9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54907-2022</t>
        </is>
      </c>
      <c r="B587" s="1" t="n">
        <v>44886</v>
      </c>
      <c r="C587" s="1" t="n">
        <v>45838</v>
      </c>
      <c r="D587" t="inlineStr">
        <is>
          <t>GÄVLEBORGS LÄN</t>
        </is>
      </c>
      <c r="E587" t="inlineStr">
        <is>
          <t>OVANÅKER</t>
        </is>
      </c>
      <c r="G587" t="n">
        <v>1.6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55118-2022</t>
        </is>
      </c>
      <c r="B588" s="1" t="n">
        <v>44886</v>
      </c>
      <c r="C588" s="1" t="n">
        <v>45838</v>
      </c>
      <c r="D588" t="inlineStr">
        <is>
          <t>GÄVLEBORGS LÄN</t>
        </is>
      </c>
      <c r="E588" t="inlineStr">
        <is>
          <t>OVANÅKER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55065-2022</t>
        </is>
      </c>
      <c r="B589" s="1" t="n">
        <v>44886</v>
      </c>
      <c r="C589" s="1" t="n">
        <v>45838</v>
      </c>
      <c r="D589" t="inlineStr">
        <is>
          <t>GÄVLEBORGS LÄN</t>
        </is>
      </c>
      <c r="E589" t="inlineStr">
        <is>
          <t>OVANÅKER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55477-2022</t>
        </is>
      </c>
      <c r="B590" s="1" t="n">
        <v>44887</v>
      </c>
      <c r="C590" s="1" t="n">
        <v>45838</v>
      </c>
      <c r="D590" t="inlineStr">
        <is>
          <t>GÄVLEBORGS LÄN</t>
        </is>
      </c>
      <c r="E590" t="inlineStr">
        <is>
          <t>OVANÅKER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56070-2022</t>
        </is>
      </c>
      <c r="B591" s="1" t="n">
        <v>44889</v>
      </c>
      <c r="C591" s="1" t="n">
        <v>45838</v>
      </c>
      <c r="D591" t="inlineStr">
        <is>
          <t>GÄVLEBORGS LÄN</t>
        </is>
      </c>
      <c r="E591" t="inlineStr">
        <is>
          <t>OVANÅKER</t>
        </is>
      </c>
      <c r="G591" t="n">
        <v>7.2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56075-2022</t>
        </is>
      </c>
      <c r="B592" s="1" t="n">
        <v>44889</v>
      </c>
      <c r="C592" s="1" t="n">
        <v>45838</v>
      </c>
      <c r="D592" t="inlineStr">
        <is>
          <t>GÄVLEBORGS LÄN</t>
        </is>
      </c>
      <c r="E592" t="inlineStr">
        <is>
          <t>OVANÅKER</t>
        </is>
      </c>
      <c r="G592" t="n">
        <v>19.5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55992-2022</t>
        </is>
      </c>
      <c r="B593" s="1" t="n">
        <v>44889</v>
      </c>
      <c r="C593" s="1" t="n">
        <v>45838</v>
      </c>
      <c r="D593" t="inlineStr">
        <is>
          <t>GÄVLEBORGS LÄN</t>
        </is>
      </c>
      <c r="E593" t="inlineStr">
        <is>
          <t>OVANÅKER</t>
        </is>
      </c>
      <c r="G593" t="n">
        <v>2.1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56455-2022</t>
        </is>
      </c>
      <c r="B594" s="1" t="n">
        <v>44893</v>
      </c>
      <c r="C594" s="1" t="n">
        <v>45838</v>
      </c>
      <c r="D594" t="inlineStr">
        <is>
          <t>GÄVLEBORGS LÄN</t>
        </is>
      </c>
      <c r="E594" t="inlineStr">
        <is>
          <t>OVANÅKER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56752-2022</t>
        </is>
      </c>
      <c r="B595" s="1" t="n">
        <v>44894</v>
      </c>
      <c r="C595" s="1" t="n">
        <v>45838</v>
      </c>
      <c r="D595" t="inlineStr">
        <is>
          <t>GÄVLEBORGS LÄN</t>
        </is>
      </c>
      <c r="E595" t="inlineStr">
        <is>
          <t>OVANÅKER</t>
        </is>
      </c>
      <c r="G595" t="n">
        <v>3.4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57776-2022</t>
        </is>
      </c>
      <c r="B596" s="1" t="n">
        <v>44897</v>
      </c>
      <c r="C596" s="1" t="n">
        <v>45838</v>
      </c>
      <c r="D596" t="inlineStr">
        <is>
          <t>GÄVLEBORGS LÄN</t>
        </is>
      </c>
      <c r="E596" t="inlineStr">
        <is>
          <t>OVANÅKER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58075-2022</t>
        </is>
      </c>
      <c r="B597" s="1" t="n">
        <v>44900</v>
      </c>
      <c r="C597" s="1" t="n">
        <v>45838</v>
      </c>
      <c r="D597" t="inlineStr">
        <is>
          <t>GÄVLEBORGS LÄN</t>
        </is>
      </c>
      <c r="E597" t="inlineStr">
        <is>
          <t>OVANÅKER</t>
        </is>
      </c>
      <c r="F597" t="inlineStr">
        <is>
          <t>Bergvik skog väst AB</t>
        </is>
      </c>
      <c r="G597" t="n">
        <v>2.1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58307-2022</t>
        </is>
      </c>
      <c r="B598" s="1" t="n">
        <v>44901</v>
      </c>
      <c r="C598" s="1" t="n">
        <v>45838</v>
      </c>
      <c r="D598" t="inlineStr">
        <is>
          <t>GÄVLEBORGS LÄN</t>
        </is>
      </c>
      <c r="E598" t="inlineStr">
        <is>
          <t>OVANÅKER</t>
        </is>
      </c>
      <c r="G598" t="n">
        <v>3.2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58467-2022</t>
        </is>
      </c>
      <c r="B599" s="1" t="n">
        <v>44902</v>
      </c>
      <c r="C599" s="1" t="n">
        <v>45838</v>
      </c>
      <c r="D599" t="inlineStr">
        <is>
          <t>GÄVLEBORGS LÄN</t>
        </is>
      </c>
      <c r="E599" t="inlineStr">
        <is>
          <t>OVANÅKER</t>
        </is>
      </c>
      <c r="F599" t="inlineStr">
        <is>
          <t>Bergvik skog väst AB</t>
        </is>
      </c>
      <c r="G599" t="n">
        <v>2.7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58602-2022</t>
        </is>
      </c>
      <c r="B600" s="1" t="n">
        <v>44902</v>
      </c>
      <c r="C600" s="1" t="n">
        <v>45838</v>
      </c>
      <c r="D600" t="inlineStr">
        <is>
          <t>GÄVLEBORGS LÄN</t>
        </is>
      </c>
      <c r="E600" t="inlineStr">
        <is>
          <t>OVANÅKER</t>
        </is>
      </c>
      <c r="F600" t="inlineStr">
        <is>
          <t>Bergvik skog väst AB</t>
        </is>
      </c>
      <c r="G600" t="n">
        <v>6.1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58918-2022</t>
        </is>
      </c>
      <c r="B601" s="1" t="n">
        <v>44903</v>
      </c>
      <c r="C601" s="1" t="n">
        <v>45838</v>
      </c>
      <c r="D601" t="inlineStr">
        <is>
          <t>GÄVLEBORGS LÄN</t>
        </is>
      </c>
      <c r="E601" t="inlineStr">
        <is>
          <t>OVANÅKER</t>
        </is>
      </c>
      <c r="F601" t="inlineStr">
        <is>
          <t>Bergvik skog väst AB</t>
        </is>
      </c>
      <c r="G601" t="n">
        <v>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58875-2022</t>
        </is>
      </c>
      <c r="B602" s="1" t="n">
        <v>44903</v>
      </c>
      <c r="C602" s="1" t="n">
        <v>45838</v>
      </c>
      <c r="D602" t="inlineStr">
        <is>
          <t>GÄVLEBORGS LÄN</t>
        </is>
      </c>
      <c r="E602" t="inlineStr">
        <is>
          <t>OVANÅKER</t>
        </is>
      </c>
      <c r="F602" t="inlineStr">
        <is>
          <t>Bergvik skog väst AB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58900-2022</t>
        </is>
      </c>
      <c r="B603" s="1" t="n">
        <v>44903</v>
      </c>
      <c r="C603" s="1" t="n">
        <v>45838</v>
      </c>
      <c r="D603" t="inlineStr">
        <is>
          <t>GÄVLEBORGS LÄN</t>
        </is>
      </c>
      <c r="E603" t="inlineStr">
        <is>
          <t>OVANÅKER</t>
        </is>
      </c>
      <c r="F603" t="inlineStr">
        <is>
          <t>Bergvik skog väst AB</t>
        </is>
      </c>
      <c r="G603" t="n">
        <v>6.7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59186-2022</t>
        </is>
      </c>
      <c r="B604" s="1" t="n">
        <v>44904</v>
      </c>
      <c r="C604" s="1" t="n">
        <v>45838</v>
      </c>
      <c r="D604" t="inlineStr">
        <is>
          <t>GÄVLEBORGS LÄN</t>
        </is>
      </c>
      <c r="E604" t="inlineStr">
        <is>
          <t>OVANÅKER</t>
        </is>
      </c>
      <c r="G604" t="n">
        <v>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59511-2022</t>
        </is>
      </c>
      <c r="B605" s="1" t="n">
        <v>44907</v>
      </c>
      <c r="C605" s="1" t="n">
        <v>45838</v>
      </c>
      <c r="D605" t="inlineStr">
        <is>
          <t>GÄVLEBORGS LÄN</t>
        </is>
      </c>
      <c r="E605" t="inlineStr">
        <is>
          <t>OVANÅKER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59998-2022</t>
        </is>
      </c>
      <c r="B606" s="1" t="n">
        <v>44909</v>
      </c>
      <c r="C606" s="1" t="n">
        <v>45838</v>
      </c>
      <c r="D606" t="inlineStr">
        <is>
          <t>GÄVLEBORGS LÄN</t>
        </is>
      </c>
      <c r="E606" t="inlineStr">
        <is>
          <t>OVANÅKER</t>
        </is>
      </c>
      <c r="F606" t="inlineStr">
        <is>
          <t>Bergvik skog väst AB</t>
        </is>
      </c>
      <c r="G606" t="n">
        <v>4.5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60275-2022</t>
        </is>
      </c>
      <c r="B607" s="1" t="n">
        <v>44910</v>
      </c>
      <c r="C607" s="1" t="n">
        <v>45838</v>
      </c>
      <c r="D607" t="inlineStr">
        <is>
          <t>GÄVLEBORGS LÄN</t>
        </is>
      </c>
      <c r="E607" t="inlineStr">
        <is>
          <t>OVANÅKER</t>
        </is>
      </c>
      <c r="F607" t="inlineStr">
        <is>
          <t>Sveaskog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60291-2022</t>
        </is>
      </c>
      <c r="B608" s="1" t="n">
        <v>44910</v>
      </c>
      <c r="C608" s="1" t="n">
        <v>45838</v>
      </c>
      <c r="D608" t="inlineStr">
        <is>
          <t>GÄVLEBORGS LÄN</t>
        </is>
      </c>
      <c r="E608" t="inlineStr">
        <is>
          <t>OVANÅKER</t>
        </is>
      </c>
      <c r="F608" t="inlineStr">
        <is>
          <t>Sveaskog</t>
        </is>
      </c>
      <c r="G608" t="n">
        <v>2.4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60449-2022</t>
        </is>
      </c>
      <c r="B609" s="1" t="n">
        <v>44911</v>
      </c>
      <c r="C609" s="1" t="n">
        <v>45838</v>
      </c>
      <c r="D609" t="inlineStr">
        <is>
          <t>GÄVLEBORGS LÄN</t>
        </is>
      </c>
      <c r="E609" t="inlineStr">
        <is>
          <t>OVANÅKER</t>
        </is>
      </c>
      <c r="F609" t="inlineStr">
        <is>
          <t>Sveaskog</t>
        </is>
      </c>
      <c r="G609" t="n">
        <v>2.7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60778-2022</t>
        </is>
      </c>
      <c r="B610" s="1" t="n">
        <v>44914</v>
      </c>
      <c r="C610" s="1" t="n">
        <v>45838</v>
      </c>
      <c r="D610" t="inlineStr">
        <is>
          <t>GÄVLEBORGS LÄN</t>
        </is>
      </c>
      <c r="E610" t="inlineStr">
        <is>
          <t>OVANÅKER</t>
        </is>
      </c>
      <c r="G610" t="n">
        <v>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60779-2022</t>
        </is>
      </c>
      <c r="B611" s="1" t="n">
        <v>44914</v>
      </c>
      <c r="C611" s="1" t="n">
        <v>45838</v>
      </c>
      <c r="D611" t="inlineStr">
        <is>
          <t>GÄVLEBORGS LÄN</t>
        </is>
      </c>
      <c r="E611" t="inlineStr">
        <is>
          <t>OVANÅKER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61065-2022</t>
        </is>
      </c>
      <c r="B612" s="1" t="n">
        <v>44915</v>
      </c>
      <c r="C612" s="1" t="n">
        <v>45838</v>
      </c>
      <c r="D612" t="inlineStr">
        <is>
          <t>GÄVLEBORGS LÄN</t>
        </is>
      </c>
      <c r="E612" t="inlineStr">
        <is>
          <t>OVANÅKER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61827-2022</t>
        </is>
      </c>
      <c r="B613" s="1" t="n">
        <v>44917</v>
      </c>
      <c r="C613" s="1" t="n">
        <v>45838</v>
      </c>
      <c r="D613" t="inlineStr">
        <is>
          <t>GÄVLEBORGS LÄN</t>
        </is>
      </c>
      <c r="E613" t="inlineStr">
        <is>
          <t>OVANÅKER</t>
        </is>
      </c>
      <c r="G613" t="n">
        <v>15.9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62215-2022</t>
        </is>
      </c>
      <c r="B614" s="1" t="n">
        <v>44922</v>
      </c>
      <c r="C614" s="1" t="n">
        <v>45838</v>
      </c>
      <c r="D614" t="inlineStr">
        <is>
          <t>GÄVLEBORGS LÄN</t>
        </is>
      </c>
      <c r="E614" t="inlineStr">
        <is>
          <t>OVANÅKER</t>
        </is>
      </c>
      <c r="G614" t="n">
        <v>0.4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62362-2022</t>
        </is>
      </c>
      <c r="B615" s="1" t="n">
        <v>44923</v>
      </c>
      <c r="C615" s="1" t="n">
        <v>45838</v>
      </c>
      <c r="D615" t="inlineStr">
        <is>
          <t>GÄVLEBORGS LÄN</t>
        </is>
      </c>
      <c r="E615" t="inlineStr">
        <is>
          <t>OVANÅKER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533-2023</t>
        </is>
      </c>
      <c r="B616" s="1" t="n">
        <v>44930</v>
      </c>
      <c r="C616" s="1" t="n">
        <v>45838</v>
      </c>
      <c r="D616" t="inlineStr">
        <is>
          <t>GÄVLEBORGS LÄN</t>
        </is>
      </c>
      <c r="E616" t="inlineStr">
        <is>
          <t>OVANÅKER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540-2023</t>
        </is>
      </c>
      <c r="B617" s="1" t="n">
        <v>44930</v>
      </c>
      <c r="C617" s="1" t="n">
        <v>45838</v>
      </c>
      <c r="D617" t="inlineStr">
        <is>
          <t>GÄVLEBORGS LÄN</t>
        </is>
      </c>
      <c r="E617" t="inlineStr">
        <is>
          <t>OVANÅKER</t>
        </is>
      </c>
      <c r="G617" t="n">
        <v>4.9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1150-2023</t>
        </is>
      </c>
      <c r="B618" s="1" t="n">
        <v>44935</v>
      </c>
      <c r="C618" s="1" t="n">
        <v>45838</v>
      </c>
      <c r="D618" t="inlineStr">
        <is>
          <t>GÄVLEBORGS LÄN</t>
        </is>
      </c>
      <c r="E618" t="inlineStr">
        <is>
          <t>OVANÅKER</t>
        </is>
      </c>
      <c r="G618" t="n">
        <v>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2478-2023</t>
        </is>
      </c>
      <c r="B619" s="1" t="n">
        <v>44943</v>
      </c>
      <c r="C619" s="1" t="n">
        <v>45838</v>
      </c>
      <c r="D619" t="inlineStr">
        <is>
          <t>GÄVLEBORGS LÄN</t>
        </is>
      </c>
      <c r="E619" t="inlineStr">
        <is>
          <t>OVANÅKER</t>
        </is>
      </c>
      <c r="G619" t="n">
        <v>3.1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2467-2023</t>
        </is>
      </c>
      <c r="B620" s="1" t="n">
        <v>44943</v>
      </c>
      <c r="C620" s="1" t="n">
        <v>45838</v>
      </c>
      <c r="D620" t="inlineStr">
        <is>
          <t>GÄVLEBORGS LÄN</t>
        </is>
      </c>
      <c r="E620" t="inlineStr">
        <is>
          <t>OVANÅKER</t>
        </is>
      </c>
      <c r="G620" t="n">
        <v>7.5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2465-2023</t>
        </is>
      </c>
      <c r="B621" s="1" t="n">
        <v>44943</v>
      </c>
      <c r="C621" s="1" t="n">
        <v>45838</v>
      </c>
      <c r="D621" t="inlineStr">
        <is>
          <t>GÄVLEBORGS LÄN</t>
        </is>
      </c>
      <c r="E621" t="inlineStr">
        <is>
          <t>OVANÅKER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2546-2023</t>
        </is>
      </c>
      <c r="B622" s="1" t="n">
        <v>44943</v>
      </c>
      <c r="C622" s="1" t="n">
        <v>45838</v>
      </c>
      <c r="D622" t="inlineStr">
        <is>
          <t>GÄVLEBORGS LÄN</t>
        </is>
      </c>
      <c r="E622" t="inlineStr">
        <is>
          <t>OVANÅKER</t>
        </is>
      </c>
      <c r="G622" t="n">
        <v>1.6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3044-2023</t>
        </is>
      </c>
      <c r="B623" s="1" t="n">
        <v>44946</v>
      </c>
      <c r="C623" s="1" t="n">
        <v>45838</v>
      </c>
      <c r="D623" t="inlineStr">
        <is>
          <t>GÄVLEBORGS LÄN</t>
        </is>
      </c>
      <c r="E623" t="inlineStr">
        <is>
          <t>OVANÅKER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3453-2023</t>
        </is>
      </c>
      <c r="B624" s="1" t="n">
        <v>44949</v>
      </c>
      <c r="C624" s="1" t="n">
        <v>45838</v>
      </c>
      <c r="D624" t="inlineStr">
        <is>
          <t>GÄVLEBORGS LÄN</t>
        </is>
      </c>
      <c r="E624" t="inlineStr">
        <is>
          <t>OVANÅKER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4074-2023</t>
        </is>
      </c>
      <c r="B625" s="1" t="n">
        <v>44952</v>
      </c>
      <c r="C625" s="1" t="n">
        <v>45838</v>
      </c>
      <c r="D625" t="inlineStr">
        <is>
          <t>GÄVLEBORGS LÄN</t>
        </is>
      </c>
      <c r="E625" t="inlineStr">
        <is>
          <t>OVANÅKER</t>
        </is>
      </c>
      <c r="G625" t="n">
        <v>2.7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4534-2023</t>
        </is>
      </c>
      <c r="B626" s="1" t="n">
        <v>44956</v>
      </c>
      <c r="C626" s="1" t="n">
        <v>45838</v>
      </c>
      <c r="D626" t="inlineStr">
        <is>
          <t>GÄVLEBORGS LÄN</t>
        </is>
      </c>
      <c r="E626" t="inlineStr">
        <is>
          <t>OVANÅKER</t>
        </is>
      </c>
      <c r="F626" t="inlineStr">
        <is>
          <t>Bergvik skog väst AB</t>
        </is>
      </c>
      <c r="G626" t="n">
        <v>1.6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4540-2023</t>
        </is>
      </c>
      <c r="B627" s="1" t="n">
        <v>44956</v>
      </c>
      <c r="C627" s="1" t="n">
        <v>45838</v>
      </c>
      <c r="D627" t="inlineStr">
        <is>
          <t>GÄVLEBORGS LÄN</t>
        </is>
      </c>
      <c r="E627" t="inlineStr">
        <is>
          <t>OVANÅKER</t>
        </is>
      </c>
      <c r="F627" t="inlineStr">
        <is>
          <t>Bergvik skog väst AB</t>
        </is>
      </c>
      <c r="G627" t="n">
        <v>4.1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4672-2023</t>
        </is>
      </c>
      <c r="B628" s="1" t="n">
        <v>44957</v>
      </c>
      <c r="C628" s="1" t="n">
        <v>45838</v>
      </c>
      <c r="D628" t="inlineStr">
        <is>
          <t>GÄVLEBORGS LÄN</t>
        </is>
      </c>
      <c r="E628" t="inlineStr">
        <is>
          <t>OVANÅKER</t>
        </is>
      </c>
      <c r="F628" t="inlineStr">
        <is>
          <t>Bergvik skog väst AB</t>
        </is>
      </c>
      <c r="G628" t="n">
        <v>2.6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4761-2023</t>
        </is>
      </c>
      <c r="B629" s="1" t="n">
        <v>44957</v>
      </c>
      <c r="C629" s="1" t="n">
        <v>45838</v>
      </c>
      <c r="D629" t="inlineStr">
        <is>
          <t>GÄVLEBORGS LÄN</t>
        </is>
      </c>
      <c r="E629" t="inlineStr">
        <is>
          <t>OVANÅKER</t>
        </is>
      </c>
      <c r="F629" t="inlineStr">
        <is>
          <t>Bergvik skog väst AB</t>
        </is>
      </c>
      <c r="G629" t="n">
        <v>22.6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4755-2023</t>
        </is>
      </c>
      <c r="B630" s="1" t="n">
        <v>44957</v>
      </c>
      <c r="C630" s="1" t="n">
        <v>45838</v>
      </c>
      <c r="D630" t="inlineStr">
        <is>
          <t>GÄVLEBORGS LÄN</t>
        </is>
      </c>
      <c r="E630" t="inlineStr">
        <is>
          <t>OVANÅKER</t>
        </is>
      </c>
      <c r="F630" t="inlineStr">
        <is>
          <t>Bergvik skog väst AB</t>
        </is>
      </c>
      <c r="G630" t="n">
        <v>3.7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5059-2023</t>
        </is>
      </c>
      <c r="B631" s="1" t="n">
        <v>44958</v>
      </c>
      <c r="C631" s="1" t="n">
        <v>45838</v>
      </c>
      <c r="D631" t="inlineStr">
        <is>
          <t>GÄVLEBORGS LÄN</t>
        </is>
      </c>
      <c r="E631" t="inlineStr">
        <is>
          <t>OVANÅKER</t>
        </is>
      </c>
      <c r="G631" t="n">
        <v>0.2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5271-2023</t>
        </is>
      </c>
      <c r="B632" s="1" t="n">
        <v>44959</v>
      </c>
      <c r="C632" s="1" t="n">
        <v>45838</v>
      </c>
      <c r="D632" t="inlineStr">
        <is>
          <t>GÄVLEBORGS LÄN</t>
        </is>
      </c>
      <c r="E632" t="inlineStr">
        <is>
          <t>OVANÅKER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5300-2023</t>
        </is>
      </c>
      <c r="B633" s="1" t="n">
        <v>44959</v>
      </c>
      <c r="C633" s="1" t="n">
        <v>45838</v>
      </c>
      <c r="D633" t="inlineStr">
        <is>
          <t>GÄVLEBORGS LÄN</t>
        </is>
      </c>
      <c r="E633" t="inlineStr">
        <is>
          <t>OVANÅKER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5280-2023</t>
        </is>
      </c>
      <c r="B634" s="1" t="n">
        <v>44959</v>
      </c>
      <c r="C634" s="1" t="n">
        <v>45838</v>
      </c>
      <c r="D634" t="inlineStr">
        <is>
          <t>GÄVLEBORGS LÄN</t>
        </is>
      </c>
      <c r="E634" t="inlineStr">
        <is>
          <t>OVANÅKER</t>
        </is>
      </c>
      <c r="G634" t="n">
        <v>2.2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5719-2023</t>
        </is>
      </c>
      <c r="B635" s="1" t="n">
        <v>44961</v>
      </c>
      <c r="C635" s="1" t="n">
        <v>45838</v>
      </c>
      <c r="D635" t="inlineStr">
        <is>
          <t>GÄVLEBORGS LÄN</t>
        </is>
      </c>
      <c r="E635" t="inlineStr">
        <is>
          <t>OVANÅKER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5717-2023</t>
        </is>
      </c>
      <c r="B636" s="1" t="n">
        <v>44961</v>
      </c>
      <c r="C636" s="1" t="n">
        <v>45838</v>
      </c>
      <c r="D636" t="inlineStr">
        <is>
          <t>GÄVLEBORGS LÄN</t>
        </is>
      </c>
      <c r="E636" t="inlineStr">
        <is>
          <t>OVANÅKER</t>
        </is>
      </c>
      <c r="G636" t="n">
        <v>12.5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7227-2023</t>
        </is>
      </c>
      <c r="B637" s="1" t="n">
        <v>44970</v>
      </c>
      <c r="C637" s="1" t="n">
        <v>45838</v>
      </c>
      <c r="D637" t="inlineStr">
        <is>
          <t>GÄVLEBORGS LÄN</t>
        </is>
      </c>
      <c r="E637" t="inlineStr">
        <is>
          <t>OVANÅKER</t>
        </is>
      </c>
      <c r="G637" t="n">
        <v>14.6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8618-2023</t>
        </is>
      </c>
      <c r="B638" s="1" t="n">
        <v>44977</v>
      </c>
      <c r="C638" s="1" t="n">
        <v>45838</v>
      </c>
      <c r="D638" t="inlineStr">
        <is>
          <t>GÄVLEBORGS LÄN</t>
        </is>
      </c>
      <c r="E638" t="inlineStr">
        <is>
          <t>OVANÅKER</t>
        </is>
      </c>
      <c r="G638" t="n">
        <v>1.4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9010-2023</t>
        </is>
      </c>
      <c r="B639" s="1" t="n">
        <v>44979</v>
      </c>
      <c r="C639" s="1" t="n">
        <v>45838</v>
      </c>
      <c r="D639" t="inlineStr">
        <is>
          <t>GÄVLEBORGS LÄN</t>
        </is>
      </c>
      <c r="E639" t="inlineStr">
        <is>
          <t>OVANÅKER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10041-2023</t>
        </is>
      </c>
      <c r="B640" s="1" t="n">
        <v>44985</v>
      </c>
      <c r="C640" s="1" t="n">
        <v>45838</v>
      </c>
      <c r="D640" t="inlineStr">
        <is>
          <t>GÄVLEBORGS LÄN</t>
        </is>
      </c>
      <c r="E640" t="inlineStr">
        <is>
          <t>OVANÅKER</t>
        </is>
      </c>
      <c r="G640" t="n">
        <v>1.7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10179-2023</t>
        </is>
      </c>
      <c r="B641" s="1" t="n">
        <v>44986</v>
      </c>
      <c r="C641" s="1" t="n">
        <v>45838</v>
      </c>
      <c r="D641" t="inlineStr">
        <is>
          <t>GÄVLEBORGS LÄN</t>
        </is>
      </c>
      <c r="E641" t="inlineStr">
        <is>
          <t>OVANÅKER</t>
        </is>
      </c>
      <c r="G641" t="n">
        <v>4.5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10137-2023</t>
        </is>
      </c>
      <c r="B642" s="1" t="n">
        <v>44986</v>
      </c>
      <c r="C642" s="1" t="n">
        <v>45838</v>
      </c>
      <c r="D642" t="inlineStr">
        <is>
          <t>GÄVLEBORGS LÄN</t>
        </is>
      </c>
      <c r="E642" t="inlineStr">
        <is>
          <t>OVANÅKER</t>
        </is>
      </c>
      <c r="G642" t="n">
        <v>1.3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10253-2023</t>
        </is>
      </c>
      <c r="B643" s="1" t="n">
        <v>44986</v>
      </c>
      <c r="C643" s="1" t="n">
        <v>45838</v>
      </c>
      <c r="D643" t="inlineStr">
        <is>
          <t>GÄVLEBORGS LÄN</t>
        </is>
      </c>
      <c r="E643" t="inlineStr">
        <is>
          <t>OVANÅKER</t>
        </is>
      </c>
      <c r="G643" t="n">
        <v>3.3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12613-2023</t>
        </is>
      </c>
      <c r="B644" s="1" t="n">
        <v>45000</v>
      </c>
      <c r="C644" s="1" t="n">
        <v>45838</v>
      </c>
      <c r="D644" t="inlineStr">
        <is>
          <t>GÄVLEBORGS LÄN</t>
        </is>
      </c>
      <c r="E644" t="inlineStr">
        <is>
          <t>OVANÅKER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13123-2023</t>
        </is>
      </c>
      <c r="B645" s="1" t="n">
        <v>45002</v>
      </c>
      <c r="C645" s="1" t="n">
        <v>45838</v>
      </c>
      <c r="D645" t="inlineStr">
        <is>
          <t>GÄVLEBORGS LÄN</t>
        </is>
      </c>
      <c r="E645" t="inlineStr">
        <is>
          <t>OVANÅKER</t>
        </is>
      </c>
      <c r="G645" t="n">
        <v>1.5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13014-2023</t>
        </is>
      </c>
      <c r="B646" s="1" t="n">
        <v>45002</v>
      </c>
      <c r="C646" s="1" t="n">
        <v>45838</v>
      </c>
      <c r="D646" t="inlineStr">
        <is>
          <t>GÄVLEBORGS LÄN</t>
        </is>
      </c>
      <c r="E646" t="inlineStr">
        <is>
          <t>OVANÅKER</t>
        </is>
      </c>
      <c r="G646" t="n">
        <v>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13047-2023</t>
        </is>
      </c>
      <c r="B647" s="1" t="n">
        <v>45002</v>
      </c>
      <c r="C647" s="1" t="n">
        <v>45838</v>
      </c>
      <c r="D647" t="inlineStr">
        <is>
          <t>GÄVLEBORGS LÄN</t>
        </is>
      </c>
      <c r="E647" t="inlineStr">
        <is>
          <t>OVANÅKER</t>
        </is>
      </c>
      <c r="G647" t="n">
        <v>0.2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13011-2023</t>
        </is>
      </c>
      <c r="B648" s="1" t="n">
        <v>45002</v>
      </c>
      <c r="C648" s="1" t="n">
        <v>45838</v>
      </c>
      <c r="D648" t="inlineStr">
        <is>
          <t>GÄVLEBORGS LÄN</t>
        </is>
      </c>
      <c r="E648" t="inlineStr">
        <is>
          <t>OVANÅKER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13365-2023</t>
        </is>
      </c>
      <c r="B649" s="1" t="n">
        <v>45005</v>
      </c>
      <c r="C649" s="1" t="n">
        <v>45838</v>
      </c>
      <c r="D649" t="inlineStr">
        <is>
          <t>GÄVLEBORGS LÄN</t>
        </is>
      </c>
      <c r="E649" t="inlineStr">
        <is>
          <t>OVANÅKER</t>
        </is>
      </c>
      <c r="G649" t="n">
        <v>2.1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14240-2023</t>
        </is>
      </c>
      <c r="B650" s="1" t="n">
        <v>45009</v>
      </c>
      <c r="C650" s="1" t="n">
        <v>45838</v>
      </c>
      <c r="D650" t="inlineStr">
        <is>
          <t>GÄVLEBORGS LÄN</t>
        </is>
      </c>
      <c r="E650" t="inlineStr">
        <is>
          <t>OVANÅKER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14238-2023</t>
        </is>
      </c>
      <c r="B651" s="1" t="n">
        <v>45009</v>
      </c>
      <c r="C651" s="1" t="n">
        <v>45838</v>
      </c>
      <c r="D651" t="inlineStr">
        <is>
          <t>GÄVLEBORGS LÄN</t>
        </is>
      </c>
      <c r="E651" t="inlineStr">
        <is>
          <t>OVANÅKER</t>
        </is>
      </c>
      <c r="G651" t="n">
        <v>1.5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15585-2023</t>
        </is>
      </c>
      <c r="B652" s="1" t="n">
        <v>45020</v>
      </c>
      <c r="C652" s="1" t="n">
        <v>45838</v>
      </c>
      <c r="D652" t="inlineStr">
        <is>
          <t>GÄVLEBORGS LÄN</t>
        </is>
      </c>
      <c r="E652" t="inlineStr">
        <is>
          <t>OVANÅKER</t>
        </is>
      </c>
      <c r="G652" t="n">
        <v>2.9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16961-2023</t>
        </is>
      </c>
      <c r="B653" s="1" t="n">
        <v>45033</v>
      </c>
      <c r="C653" s="1" t="n">
        <v>45838</v>
      </c>
      <c r="D653" t="inlineStr">
        <is>
          <t>GÄVLEBORGS LÄN</t>
        </is>
      </c>
      <c r="E653" t="inlineStr">
        <is>
          <t>OVANÅKER</t>
        </is>
      </c>
      <c r="G653" t="n">
        <v>1.7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16968-2023</t>
        </is>
      </c>
      <c r="B654" s="1" t="n">
        <v>45033</v>
      </c>
      <c r="C654" s="1" t="n">
        <v>45838</v>
      </c>
      <c r="D654" t="inlineStr">
        <is>
          <t>GÄVLEBORGS LÄN</t>
        </is>
      </c>
      <c r="E654" t="inlineStr">
        <is>
          <t>OVANÅKER</t>
        </is>
      </c>
      <c r="G654" t="n">
        <v>1.5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17384-2023</t>
        </is>
      </c>
      <c r="B655" s="1" t="n">
        <v>45035</v>
      </c>
      <c r="C655" s="1" t="n">
        <v>45838</v>
      </c>
      <c r="D655" t="inlineStr">
        <is>
          <t>GÄVLEBORGS LÄN</t>
        </is>
      </c>
      <c r="E655" t="inlineStr">
        <is>
          <t>OVANÅKER</t>
        </is>
      </c>
      <c r="G655" t="n">
        <v>1.6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17466-2023</t>
        </is>
      </c>
      <c r="B656" s="1" t="n">
        <v>45036</v>
      </c>
      <c r="C656" s="1" t="n">
        <v>45838</v>
      </c>
      <c r="D656" t="inlineStr">
        <is>
          <t>GÄVLEBORGS LÄN</t>
        </is>
      </c>
      <c r="E656" t="inlineStr">
        <is>
          <t>OVANÅKER</t>
        </is>
      </c>
      <c r="G656" t="n">
        <v>4.4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17489-2023</t>
        </is>
      </c>
      <c r="B657" s="1" t="n">
        <v>45036</v>
      </c>
      <c r="C657" s="1" t="n">
        <v>45838</v>
      </c>
      <c r="D657" t="inlineStr">
        <is>
          <t>GÄVLEBORGS LÄN</t>
        </is>
      </c>
      <c r="E657" t="inlineStr">
        <is>
          <t>OVANÅKER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17492-2023</t>
        </is>
      </c>
      <c r="B658" s="1" t="n">
        <v>45036</v>
      </c>
      <c r="C658" s="1" t="n">
        <v>45838</v>
      </c>
      <c r="D658" t="inlineStr">
        <is>
          <t>GÄVLEBORGS LÄN</t>
        </is>
      </c>
      <c r="E658" t="inlineStr">
        <is>
          <t>OVANÅKER</t>
        </is>
      </c>
      <c r="G658" t="n">
        <v>0.9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17521-2023</t>
        </is>
      </c>
      <c r="B659" s="1" t="n">
        <v>45036</v>
      </c>
      <c r="C659" s="1" t="n">
        <v>45838</v>
      </c>
      <c r="D659" t="inlineStr">
        <is>
          <t>GÄVLEBORGS LÄN</t>
        </is>
      </c>
      <c r="E659" t="inlineStr">
        <is>
          <t>OVANÅKER</t>
        </is>
      </c>
      <c r="G659" t="n">
        <v>3.1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17804-2023</t>
        </is>
      </c>
      <c r="B660" s="1" t="n">
        <v>45037</v>
      </c>
      <c r="C660" s="1" t="n">
        <v>45838</v>
      </c>
      <c r="D660" t="inlineStr">
        <is>
          <t>GÄVLEBORGS LÄN</t>
        </is>
      </c>
      <c r="E660" t="inlineStr">
        <is>
          <t>OVANÅKER</t>
        </is>
      </c>
      <c r="G660" t="n">
        <v>2.2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17822-2023</t>
        </is>
      </c>
      <c r="B661" s="1" t="n">
        <v>45037</v>
      </c>
      <c r="C661" s="1" t="n">
        <v>45838</v>
      </c>
      <c r="D661" t="inlineStr">
        <is>
          <t>GÄVLEBORGS LÄN</t>
        </is>
      </c>
      <c r="E661" t="inlineStr">
        <is>
          <t>OVANÅKER</t>
        </is>
      </c>
      <c r="G661" t="n">
        <v>1.9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18027-2023</t>
        </is>
      </c>
      <c r="B662" s="1" t="n">
        <v>45040</v>
      </c>
      <c r="C662" s="1" t="n">
        <v>45838</v>
      </c>
      <c r="D662" t="inlineStr">
        <is>
          <t>GÄVLEBORGS LÄN</t>
        </is>
      </c>
      <c r="E662" t="inlineStr">
        <is>
          <t>OVANÅKER</t>
        </is>
      </c>
      <c r="G662" t="n">
        <v>1.2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18856-2023</t>
        </is>
      </c>
      <c r="B663" s="1" t="n">
        <v>45044</v>
      </c>
      <c r="C663" s="1" t="n">
        <v>45838</v>
      </c>
      <c r="D663" t="inlineStr">
        <is>
          <t>GÄVLEBORGS LÄN</t>
        </is>
      </c>
      <c r="E663" t="inlineStr">
        <is>
          <t>OVANÅKER</t>
        </is>
      </c>
      <c r="G663" t="n">
        <v>6.4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18906-2023</t>
        </is>
      </c>
      <c r="B664" s="1" t="n">
        <v>45044</v>
      </c>
      <c r="C664" s="1" t="n">
        <v>45838</v>
      </c>
      <c r="D664" t="inlineStr">
        <is>
          <t>GÄVLEBORGS LÄN</t>
        </is>
      </c>
      <c r="E664" t="inlineStr">
        <is>
          <t>OVANÅKER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19525-2023</t>
        </is>
      </c>
      <c r="B665" s="1" t="n">
        <v>45050</v>
      </c>
      <c r="C665" s="1" t="n">
        <v>45838</v>
      </c>
      <c r="D665" t="inlineStr">
        <is>
          <t>GÄVLEBORGS LÄN</t>
        </is>
      </c>
      <c r="E665" t="inlineStr">
        <is>
          <t>OVANÅKER</t>
        </is>
      </c>
      <c r="G665" t="n">
        <v>1.3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19507-2023</t>
        </is>
      </c>
      <c r="B666" s="1" t="n">
        <v>45050</v>
      </c>
      <c r="C666" s="1" t="n">
        <v>45838</v>
      </c>
      <c r="D666" t="inlineStr">
        <is>
          <t>GÄVLEBORGS LÄN</t>
        </is>
      </c>
      <c r="E666" t="inlineStr">
        <is>
          <t>OVANÅKER</t>
        </is>
      </c>
      <c r="G666" t="n">
        <v>2.4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19657-2023</t>
        </is>
      </c>
      <c r="B667" s="1" t="n">
        <v>45051</v>
      </c>
      <c r="C667" s="1" t="n">
        <v>45838</v>
      </c>
      <c r="D667" t="inlineStr">
        <is>
          <t>GÄVLEBORGS LÄN</t>
        </is>
      </c>
      <c r="E667" t="inlineStr">
        <is>
          <t>OVANÅKER</t>
        </is>
      </c>
      <c r="G667" t="n">
        <v>1.8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19924-2023</t>
        </is>
      </c>
      <c r="B668" s="1" t="n">
        <v>45054</v>
      </c>
      <c r="C668" s="1" t="n">
        <v>45838</v>
      </c>
      <c r="D668" t="inlineStr">
        <is>
          <t>GÄVLEBORGS LÄN</t>
        </is>
      </c>
      <c r="E668" t="inlineStr">
        <is>
          <t>OVANÅKER</t>
        </is>
      </c>
      <c r="G668" t="n">
        <v>4.5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20331-2023</t>
        </is>
      </c>
      <c r="B669" s="1" t="n">
        <v>45056</v>
      </c>
      <c r="C669" s="1" t="n">
        <v>45838</v>
      </c>
      <c r="D669" t="inlineStr">
        <is>
          <t>GÄVLEBORGS LÄN</t>
        </is>
      </c>
      <c r="E669" t="inlineStr">
        <is>
          <t>OVANÅKER</t>
        </is>
      </c>
      <c r="G669" t="n">
        <v>5.1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21381-2023</t>
        </is>
      </c>
      <c r="B670" s="1" t="n">
        <v>45063</v>
      </c>
      <c r="C670" s="1" t="n">
        <v>45838</v>
      </c>
      <c r="D670" t="inlineStr">
        <is>
          <t>GÄVLEBORGS LÄN</t>
        </is>
      </c>
      <c r="E670" t="inlineStr">
        <is>
          <t>OVANÅKER</t>
        </is>
      </c>
      <c r="F670" t="inlineStr">
        <is>
          <t>Sveaskog</t>
        </is>
      </c>
      <c r="G670" t="n">
        <v>3.9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21380-2023</t>
        </is>
      </c>
      <c r="B671" s="1" t="n">
        <v>45063</v>
      </c>
      <c r="C671" s="1" t="n">
        <v>45838</v>
      </c>
      <c r="D671" t="inlineStr">
        <is>
          <t>GÄVLEBORGS LÄN</t>
        </is>
      </c>
      <c r="E671" t="inlineStr">
        <is>
          <t>OVANÅKER</t>
        </is>
      </c>
      <c r="F671" t="inlineStr">
        <is>
          <t>Sveaskog</t>
        </is>
      </c>
      <c r="G671" t="n">
        <v>3.5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21588-2023</t>
        </is>
      </c>
      <c r="B672" s="1" t="n">
        <v>45063</v>
      </c>
      <c r="C672" s="1" t="n">
        <v>45838</v>
      </c>
      <c r="D672" t="inlineStr">
        <is>
          <t>GÄVLEBORGS LÄN</t>
        </is>
      </c>
      <c r="E672" t="inlineStr">
        <is>
          <t>OVANÅKER</t>
        </is>
      </c>
      <c r="G672" t="n">
        <v>5.3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21802-2023</t>
        </is>
      </c>
      <c r="B673" s="1" t="n">
        <v>45067</v>
      </c>
      <c r="C673" s="1" t="n">
        <v>45838</v>
      </c>
      <c r="D673" t="inlineStr">
        <is>
          <t>GÄVLEBORGS LÄN</t>
        </is>
      </c>
      <c r="E673" t="inlineStr">
        <is>
          <t>OVANÅKER</t>
        </is>
      </c>
      <c r="G673" t="n">
        <v>2.1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21803-2023</t>
        </is>
      </c>
      <c r="B674" s="1" t="n">
        <v>45068</v>
      </c>
      <c r="C674" s="1" t="n">
        <v>45838</v>
      </c>
      <c r="D674" t="inlineStr">
        <is>
          <t>GÄVLEBORGS LÄN</t>
        </is>
      </c>
      <c r="E674" t="inlineStr">
        <is>
          <t>OVANÅKER</t>
        </is>
      </c>
      <c r="G674" t="n">
        <v>3.7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21932-2023</t>
        </is>
      </c>
      <c r="B675" s="1" t="n">
        <v>45068</v>
      </c>
      <c r="C675" s="1" t="n">
        <v>45838</v>
      </c>
      <c r="D675" t="inlineStr">
        <is>
          <t>GÄVLEBORGS LÄN</t>
        </is>
      </c>
      <c r="E675" t="inlineStr">
        <is>
          <t>OVANÅKER</t>
        </is>
      </c>
      <c r="F675" t="inlineStr">
        <is>
          <t>Bergvik skog väst AB</t>
        </is>
      </c>
      <c r="G675" t="n">
        <v>9.199999999999999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22150-2023</t>
        </is>
      </c>
      <c r="B676" s="1" t="n">
        <v>45069</v>
      </c>
      <c r="C676" s="1" t="n">
        <v>45838</v>
      </c>
      <c r="D676" t="inlineStr">
        <is>
          <t>GÄVLEBORGS LÄN</t>
        </is>
      </c>
      <c r="E676" t="inlineStr">
        <is>
          <t>OVANÅKER</t>
        </is>
      </c>
      <c r="G676" t="n">
        <v>2.2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22302-2023</t>
        </is>
      </c>
      <c r="B677" s="1" t="n">
        <v>45070</v>
      </c>
      <c r="C677" s="1" t="n">
        <v>45838</v>
      </c>
      <c r="D677" t="inlineStr">
        <is>
          <t>GÄVLEBORGS LÄN</t>
        </is>
      </c>
      <c r="E677" t="inlineStr">
        <is>
          <t>OVANÅKER</t>
        </is>
      </c>
      <c r="F677" t="inlineStr">
        <is>
          <t>Bergvik skog väst AB</t>
        </is>
      </c>
      <c r="G677" t="n">
        <v>1.8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22299-2023</t>
        </is>
      </c>
      <c r="B678" s="1" t="n">
        <v>45070</v>
      </c>
      <c r="C678" s="1" t="n">
        <v>45838</v>
      </c>
      <c r="D678" t="inlineStr">
        <is>
          <t>GÄVLEBORGS LÄN</t>
        </is>
      </c>
      <c r="E678" t="inlineStr">
        <is>
          <t>OVANÅKER</t>
        </is>
      </c>
      <c r="F678" t="inlineStr">
        <is>
          <t>Bergvik skog väst AB</t>
        </is>
      </c>
      <c r="G678" t="n">
        <v>2.1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22336-2023</t>
        </is>
      </c>
      <c r="B679" s="1" t="n">
        <v>45070</v>
      </c>
      <c r="C679" s="1" t="n">
        <v>45838</v>
      </c>
      <c r="D679" t="inlineStr">
        <is>
          <t>GÄVLEBORGS LÄN</t>
        </is>
      </c>
      <c r="E679" t="inlineStr">
        <is>
          <t>OVANÅKER</t>
        </is>
      </c>
      <c r="F679" t="inlineStr">
        <is>
          <t>Bergvik skog väst AB</t>
        </is>
      </c>
      <c r="G679" t="n">
        <v>5.1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22499-2023</t>
        </is>
      </c>
      <c r="B680" s="1" t="n">
        <v>45071</v>
      </c>
      <c r="C680" s="1" t="n">
        <v>45838</v>
      </c>
      <c r="D680" t="inlineStr">
        <is>
          <t>GÄVLEBORGS LÄN</t>
        </is>
      </c>
      <c r="E680" t="inlineStr">
        <is>
          <t>OVANÅKER</t>
        </is>
      </c>
      <c r="F680" t="inlineStr">
        <is>
          <t>Bergvik skog väst AB</t>
        </is>
      </c>
      <c r="G680" t="n">
        <v>1.7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22774-2023</t>
        </is>
      </c>
      <c r="B681" s="1" t="n">
        <v>45072</v>
      </c>
      <c r="C681" s="1" t="n">
        <v>45838</v>
      </c>
      <c r="D681" t="inlineStr">
        <is>
          <t>GÄVLEBORGS LÄN</t>
        </is>
      </c>
      <c r="E681" t="inlineStr">
        <is>
          <t>OVANÅKER</t>
        </is>
      </c>
      <c r="F681" t="inlineStr">
        <is>
          <t>Sveaskog</t>
        </is>
      </c>
      <c r="G681" t="n">
        <v>3.1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22954-2023</t>
        </is>
      </c>
      <c r="B682" s="1" t="n">
        <v>45072</v>
      </c>
      <c r="C682" s="1" t="n">
        <v>45838</v>
      </c>
      <c r="D682" t="inlineStr">
        <is>
          <t>GÄVLEBORGS LÄN</t>
        </is>
      </c>
      <c r="E682" t="inlineStr">
        <is>
          <t>OVANÅKER</t>
        </is>
      </c>
      <c r="F682" t="inlineStr">
        <is>
          <t>Bergvik skog väst AB</t>
        </is>
      </c>
      <c r="G682" t="n">
        <v>1.8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22788-2023</t>
        </is>
      </c>
      <c r="B683" s="1" t="n">
        <v>45072</v>
      </c>
      <c r="C683" s="1" t="n">
        <v>45838</v>
      </c>
      <c r="D683" t="inlineStr">
        <is>
          <t>GÄVLEBORGS LÄN</t>
        </is>
      </c>
      <c r="E683" t="inlineStr">
        <is>
          <t>OVANÅKER</t>
        </is>
      </c>
      <c r="G683" t="n">
        <v>3.1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22797-2023</t>
        </is>
      </c>
      <c r="B684" s="1" t="n">
        <v>45072</v>
      </c>
      <c r="C684" s="1" t="n">
        <v>45838</v>
      </c>
      <c r="D684" t="inlineStr">
        <is>
          <t>GÄVLEBORGS LÄN</t>
        </is>
      </c>
      <c r="E684" t="inlineStr">
        <is>
          <t>OVANÅKER</t>
        </is>
      </c>
      <c r="G684" t="n">
        <v>0.8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24081-2023</t>
        </is>
      </c>
      <c r="B685" s="1" t="n">
        <v>45079</v>
      </c>
      <c r="C685" s="1" t="n">
        <v>45838</v>
      </c>
      <c r="D685" t="inlineStr">
        <is>
          <t>GÄVLEBORGS LÄN</t>
        </is>
      </c>
      <c r="E685" t="inlineStr">
        <is>
          <t>OVANÅKER</t>
        </is>
      </c>
      <c r="G685" t="n">
        <v>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24086-2023</t>
        </is>
      </c>
      <c r="B686" s="1" t="n">
        <v>45079</v>
      </c>
      <c r="C686" s="1" t="n">
        <v>45838</v>
      </c>
      <c r="D686" t="inlineStr">
        <is>
          <t>GÄVLEBORGS LÄN</t>
        </is>
      </c>
      <c r="E686" t="inlineStr">
        <is>
          <t>OVANÅKER</t>
        </is>
      </c>
      <c r="F686" t="inlineStr">
        <is>
          <t>Sveaskog</t>
        </is>
      </c>
      <c r="G686" t="n">
        <v>5.1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24082-2023</t>
        </is>
      </c>
      <c r="B687" s="1" t="n">
        <v>45079</v>
      </c>
      <c r="C687" s="1" t="n">
        <v>45838</v>
      </c>
      <c r="D687" t="inlineStr">
        <is>
          <t>GÄVLEBORGS LÄN</t>
        </is>
      </c>
      <c r="E687" t="inlineStr">
        <is>
          <t>OVANÅKER</t>
        </is>
      </c>
      <c r="F687" t="inlineStr">
        <is>
          <t>Sveaskog</t>
        </is>
      </c>
      <c r="G687" t="n">
        <v>4.1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24083-2023</t>
        </is>
      </c>
      <c r="B688" s="1" t="n">
        <v>45079</v>
      </c>
      <c r="C688" s="1" t="n">
        <v>45838</v>
      </c>
      <c r="D688" t="inlineStr">
        <is>
          <t>GÄVLEBORGS LÄN</t>
        </is>
      </c>
      <c r="E688" t="inlineStr">
        <is>
          <t>OVANÅKER</t>
        </is>
      </c>
      <c r="F688" t="inlineStr">
        <is>
          <t>Sveaskog</t>
        </is>
      </c>
      <c r="G688" t="n">
        <v>4.1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24258-2023</t>
        </is>
      </c>
      <c r="B689" s="1" t="n">
        <v>45079</v>
      </c>
      <c r="C689" s="1" t="n">
        <v>45838</v>
      </c>
      <c r="D689" t="inlineStr">
        <is>
          <t>GÄVLEBORGS LÄN</t>
        </is>
      </c>
      <c r="E689" t="inlineStr">
        <is>
          <t>OVANÅKER</t>
        </is>
      </c>
      <c r="G689" t="n">
        <v>2.3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25081-2023</t>
        </is>
      </c>
      <c r="B690" s="1" t="n">
        <v>45086</v>
      </c>
      <c r="C690" s="1" t="n">
        <v>45838</v>
      </c>
      <c r="D690" t="inlineStr">
        <is>
          <t>GÄVLEBORGS LÄN</t>
        </is>
      </c>
      <c r="E690" t="inlineStr">
        <is>
          <t>OVANÅKER</t>
        </is>
      </c>
      <c r="G690" t="n">
        <v>0.9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25190-2023</t>
        </is>
      </c>
      <c r="B691" s="1" t="n">
        <v>45086</v>
      </c>
      <c r="C691" s="1" t="n">
        <v>45838</v>
      </c>
      <c r="D691" t="inlineStr">
        <is>
          <t>GÄVLEBORGS LÄN</t>
        </is>
      </c>
      <c r="E691" t="inlineStr">
        <is>
          <t>OVANÅKER</t>
        </is>
      </c>
      <c r="G691" t="n">
        <v>1.3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25101-2023</t>
        </is>
      </c>
      <c r="B692" s="1" t="n">
        <v>45086</v>
      </c>
      <c r="C692" s="1" t="n">
        <v>45838</v>
      </c>
      <c r="D692" t="inlineStr">
        <is>
          <t>GÄVLEBORGS LÄN</t>
        </is>
      </c>
      <c r="E692" t="inlineStr">
        <is>
          <t>OVANÅKER</t>
        </is>
      </c>
      <c r="G692" t="n">
        <v>0.9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25162-2023</t>
        </is>
      </c>
      <c r="B693" s="1" t="n">
        <v>45086</v>
      </c>
      <c r="C693" s="1" t="n">
        <v>45838</v>
      </c>
      <c r="D693" t="inlineStr">
        <is>
          <t>GÄVLEBORGS LÄN</t>
        </is>
      </c>
      <c r="E693" t="inlineStr">
        <is>
          <t>OVANÅKER</t>
        </is>
      </c>
      <c r="G693" t="n">
        <v>0.8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25187-2023</t>
        </is>
      </c>
      <c r="B694" s="1" t="n">
        <v>45086</v>
      </c>
      <c r="C694" s="1" t="n">
        <v>45838</v>
      </c>
      <c r="D694" t="inlineStr">
        <is>
          <t>GÄVLEBORGS LÄN</t>
        </is>
      </c>
      <c r="E694" t="inlineStr">
        <is>
          <t>OVANÅKER</t>
        </is>
      </c>
      <c r="G694" t="n">
        <v>1.5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25788-2023</t>
        </is>
      </c>
      <c r="B695" s="1" t="n">
        <v>45090</v>
      </c>
      <c r="C695" s="1" t="n">
        <v>45838</v>
      </c>
      <c r="D695" t="inlineStr">
        <is>
          <t>GÄVLEBORGS LÄN</t>
        </is>
      </c>
      <c r="E695" t="inlineStr">
        <is>
          <t>OVANÅKER</t>
        </is>
      </c>
      <c r="G695" t="n">
        <v>1.6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26200-2023</t>
        </is>
      </c>
      <c r="B696" s="1" t="n">
        <v>45091</v>
      </c>
      <c r="C696" s="1" t="n">
        <v>45838</v>
      </c>
      <c r="D696" t="inlineStr">
        <is>
          <t>GÄVLEBORGS LÄN</t>
        </is>
      </c>
      <c r="E696" t="inlineStr">
        <is>
          <t>OVANÅKER</t>
        </is>
      </c>
      <c r="F696" t="inlineStr">
        <is>
          <t>Bergvik skog väst AB</t>
        </is>
      </c>
      <c r="G696" t="n">
        <v>7.2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26188-2023</t>
        </is>
      </c>
      <c r="B697" s="1" t="n">
        <v>45091</v>
      </c>
      <c r="C697" s="1" t="n">
        <v>45838</v>
      </c>
      <c r="D697" t="inlineStr">
        <is>
          <t>GÄVLEBORGS LÄN</t>
        </is>
      </c>
      <c r="E697" t="inlineStr">
        <is>
          <t>OVANÅKER</t>
        </is>
      </c>
      <c r="F697" t="inlineStr">
        <is>
          <t>Bergvik skog väst AB</t>
        </is>
      </c>
      <c r="G697" t="n">
        <v>5.3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26195-2023</t>
        </is>
      </c>
      <c r="B698" s="1" t="n">
        <v>45091</v>
      </c>
      <c r="C698" s="1" t="n">
        <v>45838</v>
      </c>
      <c r="D698" t="inlineStr">
        <is>
          <t>GÄVLEBORGS LÄN</t>
        </is>
      </c>
      <c r="E698" t="inlineStr">
        <is>
          <t>OVANÅKER</t>
        </is>
      </c>
      <c r="F698" t="inlineStr">
        <is>
          <t>Bergvik skog väst AB</t>
        </is>
      </c>
      <c r="G698" t="n">
        <v>1.5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26190-2023</t>
        </is>
      </c>
      <c r="B699" s="1" t="n">
        <v>45091</v>
      </c>
      <c r="C699" s="1" t="n">
        <v>45838</v>
      </c>
      <c r="D699" t="inlineStr">
        <is>
          <t>GÄVLEBORGS LÄN</t>
        </is>
      </c>
      <c r="E699" t="inlineStr">
        <is>
          <t>OVANÅKER</t>
        </is>
      </c>
      <c r="F699" t="inlineStr">
        <is>
          <t>Bergvik skog väst AB</t>
        </is>
      </c>
      <c r="G699" t="n">
        <v>4.5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26076-2023</t>
        </is>
      </c>
      <c r="B700" s="1" t="n">
        <v>45091</v>
      </c>
      <c r="C700" s="1" t="n">
        <v>45838</v>
      </c>
      <c r="D700" t="inlineStr">
        <is>
          <t>GÄVLEBORGS LÄN</t>
        </is>
      </c>
      <c r="E700" t="inlineStr">
        <is>
          <t>OVANÅKER</t>
        </is>
      </c>
      <c r="G700" t="n">
        <v>1.3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26518-2023</t>
        </is>
      </c>
      <c r="B701" s="1" t="n">
        <v>45092</v>
      </c>
      <c r="C701" s="1" t="n">
        <v>45838</v>
      </c>
      <c r="D701" t="inlineStr">
        <is>
          <t>GÄVLEBORGS LÄN</t>
        </is>
      </c>
      <c r="E701" t="inlineStr">
        <is>
          <t>OVANÅKER</t>
        </is>
      </c>
      <c r="G701" t="n">
        <v>1.9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26467-2023</t>
        </is>
      </c>
      <c r="B702" s="1" t="n">
        <v>45092</v>
      </c>
      <c r="C702" s="1" t="n">
        <v>45838</v>
      </c>
      <c r="D702" t="inlineStr">
        <is>
          <t>GÄVLEBORGS LÄN</t>
        </is>
      </c>
      <c r="E702" t="inlineStr">
        <is>
          <t>OVANÅKER</t>
        </is>
      </c>
      <c r="F702" t="inlineStr">
        <is>
          <t>Bergvik skog väst AB</t>
        </is>
      </c>
      <c r="G702" t="n">
        <v>7.8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26379-2023</t>
        </is>
      </c>
      <c r="B703" s="1" t="n">
        <v>45092</v>
      </c>
      <c r="C703" s="1" t="n">
        <v>45838</v>
      </c>
      <c r="D703" t="inlineStr">
        <is>
          <t>GÄVLEBORGS LÄN</t>
        </is>
      </c>
      <c r="E703" t="inlineStr">
        <is>
          <t>OVANÅKER</t>
        </is>
      </c>
      <c r="F703" t="inlineStr">
        <is>
          <t>Bergvik skog väst AB</t>
        </is>
      </c>
      <c r="G703" t="n">
        <v>2.9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26399-2023</t>
        </is>
      </c>
      <c r="B704" s="1" t="n">
        <v>45092</v>
      </c>
      <c r="C704" s="1" t="n">
        <v>45838</v>
      </c>
      <c r="D704" t="inlineStr">
        <is>
          <t>GÄVLEBORGS LÄN</t>
        </is>
      </c>
      <c r="E704" t="inlineStr">
        <is>
          <t>OVANÅKER</t>
        </is>
      </c>
      <c r="F704" t="inlineStr">
        <is>
          <t>Bergvik skog väst AB</t>
        </is>
      </c>
      <c r="G704" t="n">
        <v>40.2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26463-2023</t>
        </is>
      </c>
      <c r="B705" s="1" t="n">
        <v>45092</v>
      </c>
      <c r="C705" s="1" t="n">
        <v>45838</v>
      </c>
      <c r="D705" t="inlineStr">
        <is>
          <t>GÄVLEBORGS LÄN</t>
        </is>
      </c>
      <c r="E705" t="inlineStr">
        <is>
          <t>OVANÅKER</t>
        </is>
      </c>
      <c r="F705" t="inlineStr">
        <is>
          <t>Bergvik skog väst AB</t>
        </is>
      </c>
      <c r="G705" t="n">
        <v>2.1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26470-2023</t>
        </is>
      </c>
      <c r="B706" s="1" t="n">
        <v>45092</v>
      </c>
      <c r="C706" s="1" t="n">
        <v>45838</v>
      </c>
      <c r="D706" t="inlineStr">
        <is>
          <t>GÄVLEBORGS LÄN</t>
        </is>
      </c>
      <c r="E706" t="inlineStr">
        <is>
          <t>OVANÅKER</t>
        </is>
      </c>
      <c r="F706" t="inlineStr">
        <is>
          <t>Bergvik skog väst AB</t>
        </is>
      </c>
      <c r="G706" t="n">
        <v>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27194-2023</t>
        </is>
      </c>
      <c r="B707" s="1" t="n">
        <v>45096</v>
      </c>
      <c r="C707" s="1" t="n">
        <v>45838</v>
      </c>
      <c r="D707" t="inlineStr">
        <is>
          <t>GÄVLEBORGS LÄN</t>
        </is>
      </c>
      <c r="E707" t="inlineStr">
        <is>
          <t>OVANÅKER</t>
        </is>
      </c>
      <c r="F707" t="inlineStr">
        <is>
          <t>Bergvik skog väst AB</t>
        </is>
      </c>
      <c r="G707" t="n">
        <v>7.5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27203-2023</t>
        </is>
      </c>
      <c r="B708" s="1" t="n">
        <v>45096</v>
      </c>
      <c r="C708" s="1" t="n">
        <v>45838</v>
      </c>
      <c r="D708" t="inlineStr">
        <is>
          <t>GÄVLEBORGS LÄN</t>
        </is>
      </c>
      <c r="E708" t="inlineStr">
        <is>
          <t>OVANÅKER</t>
        </is>
      </c>
      <c r="F708" t="inlineStr">
        <is>
          <t>Bergvik skog väst AB</t>
        </is>
      </c>
      <c r="G708" t="n">
        <v>7.8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27113-2023</t>
        </is>
      </c>
      <c r="B709" s="1" t="n">
        <v>45096</v>
      </c>
      <c r="C709" s="1" t="n">
        <v>45838</v>
      </c>
      <c r="D709" t="inlineStr">
        <is>
          <t>GÄVLEBORGS LÄN</t>
        </is>
      </c>
      <c r="E709" t="inlineStr">
        <is>
          <t>OVANÅKER</t>
        </is>
      </c>
      <c r="G709" t="n">
        <v>1.4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27100-2023</t>
        </is>
      </c>
      <c r="B710" s="1" t="n">
        <v>45096</v>
      </c>
      <c r="C710" s="1" t="n">
        <v>45838</v>
      </c>
      <c r="D710" t="inlineStr">
        <is>
          <t>GÄVLEBORGS LÄN</t>
        </is>
      </c>
      <c r="E710" t="inlineStr">
        <is>
          <t>OVANÅKER</t>
        </is>
      </c>
      <c r="G710" t="n">
        <v>3.3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27324-2023</t>
        </is>
      </c>
      <c r="B711" s="1" t="n">
        <v>45096</v>
      </c>
      <c r="C711" s="1" t="n">
        <v>45838</v>
      </c>
      <c r="D711" t="inlineStr">
        <is>
          <t>GÄVLEBORGS LÄN</t>
        </is>
      </c>
      <c r="E711" t="inlineStr">
        <is>
          <t>OVANÅKER</t>
        </is>
      </c>
      <c r="G711" t="n">
        <v>1.8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27320-2023</t>
        </is>
      </c>
      <c r="B712" s="1" t="n">
        <v>45096</v>
      </c>
      <c r="C712" s="1" t="n">
        <v>45838</v>
      </c>
      <c r="D712" t="inlineStr">
        <is>
          <t>GÄVLEBORGS LÄN</t>
        </is>
      </c>
      <c r="E712" t="inlineStr">
        <is>
          <t>OVANÅKER</t>
        </is>
      </c>
      <c r="G712" t="n">
        <v>0.7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28085-2023</t>
        </is>
      </c>
      <c r="B713" s="1" t="n">
        <v>45099</v>
      </c>
      <c r="C713" s="1" t="n">
        <v>45838</v>
      </c>
      <c r="D713" t="inlineStr">
        <is>
          <t>GÄVLEBORGS LÄN</t>
        </is>
      </c>
      <c r="E713" t="inlineStr">
        <is>
          <t>OVANÅKER</t>
        </is>
      </c>
      <c r="F713" t="inlineStr">
        <is>
          <t>Bergvik skog väst AB</t>
        </is>
      </c>
      <c r="G713" t="n">
        <v>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28117-2023</t>
        </is>
      </c>
      <c r="B714" s="1" t="n">
        <v>45099</v>
      </c>
      <c r="C714" s="1" t="n">
        <v>45838</v>
      </c>
      <c r="D714" t="inlineStr">
        <is>
          <t>GÄVLEBORGS LÄN</t>
        </is>
      </c>
      <c r="E714" t="inlineStr">
        <is>
          <t>OVANÅKER</t>
        </is>
      </c>
      <c r="F714" t="inlineStr">
        <is>
          <t>Bergvik skog väst AB</t>
        </is>
      </c>
      <c r="G714" t="n">
        <v>2.3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28102-2023</t>
        </is>
      </c>
      <c r="B715" s="1" t="n">
        <v>45099</v>
      </c>
      <c r="C715" s="1" t="n">
        <v>45838</v>
      </c>
      <c r="D715" t="inlineStr">
        <is>
          <t>GÄVLEBORGS LÄN</t>
        </is>
      </c>
      <c r="E715" t="inlineStr">
        <is>
          <t>OVANÅKER</t>
        </is>
      </c>
      <c r="F715" t="inlineStr">
        <is>
          <t>Bergvik skog väst AB</t>
        </is>
      </c>
      <c r="G715" t="n">
        <v>3.4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28110-2023</t>
        </is>
      </c>
      <c r="B716" s="1" t="n">
        <v>45099</v>
      </c>
      <c r="C716" s="1" t="n">
        <v>45838</v>
      </c>
      <c r="D716" t="inlineStr">
        <is>
          <t>GÄVLEBORGS LÄN</t>
        </is>
      </c>
      <c r="E716" t="inlineStr">
        <is>
          <t>OVANÅKER</t>
        </is>
      </c>
      <c r="F716" t="inlineStr">
        <is>
          <t>Bergvik skog väst AB</t>
        </is>
      </c>
      <c r="G716" t="n">
        <v>8.5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28418-2023</t>
        </is>
      </c>
      <c r="B717" s="1" t="n">
        <v>45102</v>
      </c>
      <c r="C717" s="1" t="n">
        <v>45838</v>
      </c>
      <c r="D717" t="inlineStr">
        <is>
          <t>GÄVLEBORGS LÄN</t>
        </is>
      </c>
      <c r="E717" t="inlineStr">
        <is>
          <t>OVANÅKER</t>
        </is>
      </c>
      <c r="G717" t="n">
        <v>2.3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28419-2023</t>
        </is>
      </c>
      <c r="B718" s="1" t="n">
        <v>45102</v>
      </c>
      <c r="C718" s="1" t="n">
        <v>45838</v>
      </c>
      <c r="D718" t="inlineStr">
        <is>
          <t>GÄVLEBORGS LÄN</t>
        </is>
      </c>
      <c r="E718" t="inlineStr">
        <is>
          <t>OVANÅKER</t>
        </is>
      </c>
      <c r="G718" t="n">
        <v>2.1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28475-2023</t>
        </is>
      </c>
      <c r="B719" s="1" t="n">
        <v>45103</v>
      </c>
      <c r="C719" s="1" t="n">
        <v>45838</v>
      </c>
      <c r="D719" t="inlineStr">
        <is>
          <t>GÄVLEBORGS LÄN</t>
        </is>
      </c>
      <c r="E719" t="inlineStr">
        <is>
          <t>OVANÅKER</t>
        </is>
      </c>
      <c r="G719" t="n">
        <v>1.5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28453-2023</t>
        </is>
      </c>
      <c r="B720" s="1" t="n">
        <v>45103</v>
      </c>
      <c r="C720" s="1" t="n">
        <v>45838</v>
      </c>
      <c r="D720" t="inlineStr">
        <is>
          <t>GÄVLEBORGS LÄN</t>
        </is>
      </c>
      <c r="E720" t="inlineStr">
        <is>
          <t>OVANÅKER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28604-2023</t>
        </is>
      </c>
      <c r="B721" s="1" t="n">
        <v>45103</v>
      </c>
      <c r="C721" s="1" t="n">
        <v>45838</v>
      </c>
      <c r="D721" t="inlineStr">
        <is>
          <t>GÄVLEBORGS LÄN</t>
        </is>
      </c>
      <c r="E721" t="inlineStr">
        <is>
          <t>OVANÅKER</t>
        </is>
      </c>
      <c r="G721" t="n">
        <v>1.8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28687-2023</t>
        </is>
      </c>
      <c r="B722" s="1" t="n">
        <v>45103</v>
      </c>
      <c r="C722" s="1" t="n">
        <v>45838</v>
      </c>
      <c r="D722" t="inlineStr">
        <is>
          <t>GÄVLEBORGS LÄN</t>
        </is>
      </c>
      <c r="E722" t="inlineStr">
        <is>
          <t>OVANÅKER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28606-2023</t>
        </is>
      </c>
      <c r="B723" s="1" t="n">
        <v>45103</v>
      </c>
      <c r="C723" s="1" t="n">
        <v>45838</v>
      </c>
      <c r="D723" t="inlineStr">
        <is>
          <t>GÄVLEBORGS LÄN</t>
        </is>
      </c>
      <c r="E723" t="inlineStr">
        <is>
          <t>OVANÅKER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29386-2023</t>
        </is>
      </c>
      <c r="B724" s="1" t="n">
        <v>45106</v>
      </c>
      <c r="C724" s="1" t="n">
        <v>45838</v>
      </c>
      <c r="D724" t="inlineStr">
        <is>
          <t>GÄVLEBORGS LÄN</t>
        </is>
      </c>
      <c r="E724" t="inlineStr">
        <is>
          <t>OVANÅKER</t>
        </is>
      </c>
      <c r="G724" t="n">
        <v>1.2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29380-2023</t>
        </is>
      </c>
      <c r="B725" s="1" t="n">
        <v>45106</v>
      </c>
      <c r="C725" s="1" t="n">
        <v>45838</v>
      </c>
      <c r="D725" t="inlineStr">
        <is>
          <t>GÄVLEBORGS LÄN</t>
        </is>
      </c>
      <c r="E725" t="inlineStr">
        <is>
          <t>OVANÅKER</t>
        </is>
      </c>
      <c r="G725" t="n">
        <v>1.4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30502-2023</t>
        </is>
      </c>
      <c r="B726" s="1" t="n">
        <v>45111</v>
      </c>
      <c r="C726" s="1" t="n">
        <v>45838</v>
      </c>
      <c r="D726" t="inlineStr">
        <is>
          <t>GÄVLEBORGS LÄN</t>
        </is>
      </c>
      <c r="E726" t="inlineStr">
        <is>
          <t>OVANÅKER</t>
        </is>
      </c>
      <c r="G726" t="n">
        <v>4.5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30507-2023</t>
        </is>
      </c>
      <c r="B727" s="1" t="n">
        <v>45111</v>
      </c>
      <c r="C727" s="1" t="n">
        <v>45838</v>
      </c>
      <c r="D727" t="inlineStr">
        <is>
          <t>GÄVLEBORGS LÄN</t>
        </is>
      </c>
      <c r="E727" t="inlineStr">
        <is>
          <t>OVANÅKER</t>
        </is>
      </c>
      <c r="G727" t="n">
        <v>1.2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30520-2023</t>
        </is>
      </c>
      <c r="B728" s="1" t="n">
        <v>45111</v>
      </c>
      <c r="C728" s="1" t="n">
        <v>45838</v>
      </c>
      <c r="D728" t="inlineStr">
        <is>
          <t>GÄVLEBORGS LÄN</t>
        </is>
      </c>
      <c r="E728" t="inlineStr">
        <is>
          <t>OVANÅKER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30331-2023</t>
        </is>
      </c>
      <c r="B729" s="1" t="n">
        <v>45111</v>
      </c>
      <c r="C729" s="1" t="n">
        <v>45838</v>
      </c>
      <c r="D729" t="inlineStr">
        <is>
          <t>GÄVLEBORGS LÄN</t>
        </is>
      </c>
      <c r="E729" t="inlineStr">
        <is>
          <t>OVANÅKER</t>
        </is>
      </c>
      <c r="G729" t="n">
        <v>2.8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30335-2023</t>
        </is>
      </c>
      <c r="B730" s="1" t="n">
        <v>45111</v>
      </c>
      <c r="C730" s="1" t="n">
        <v>45838</v>
      </c>
      <c r="D730" t="inlineStr">
        <is>
          <t>GÄVLEBORGS LÄN</t>
        </is>
      </c>
      <c r="E730" t="inlineStr">
        <is>
          <t>OVANÅKER</t>
        </is>
      </c>
      <c r="G730" t="n">
        <v>4.9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30463-2023</t>
        </is>
      </c>
      <c r="B731" s="1" t="n">
        <v>45111</v>
      </c>
      <c r="C731" s="1" t="n">
        <v>45838</v>
      </c>
      <c r="D731" t="inlineStr">
        <is>
          <t>GÄVLEBORGS LÄN</t>
        </is>
      </c>
      <c r="E731" t="inlineStr">
        <is>
          <t>OVANÅKER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30737-2023</t>
        </is>
      </c>
      <c r="B732" s="1" t="n">
        <v>45112</v>
      </c>
      <c r="C732" s="1" t="n">
        <v>45838</v>
      </c>
      <c r="D732" t="inlineStr">
        <is>
          <t>GÄVLEBORGS LÄN</t>
        </is>
      </c>
      <c r="E732" t="inlineStr">
        <is>
          <t>OVANÅKER</t>
        </is>
      </c>
      <c r="G732" t="n">
        <v>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30732-2023</t>
        </is>
      </c>
      <c r="B733" s="1" t="n">
        <v>45112</v>
      </c>
      <c r="C733" s="1" t="n">
        <v>45838</v>
      </c>
      <c r="D733" t="inlineStr">
        <is>
          <t>GÄVLEBORGS LÄN</t>
        </is>
      </c>
      <c r="E733" t="inlineStr">
        <is>
          <t>OVANÅKER</t>
        </is>
      </c>
      <c r="G733" t="n">
        <v>1.8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31023-2023</t>
        </is>
      </c>
      <c r="B734" s="1" t="n">
        <v>45113</v>
      </c>
      <c r="C734" s="1" t="n">
        <v>45838</v>
      </c>
      <c r="D734" t="inlineStr">
        <is>
          <t>GÄVLEBORGS LÄN</t>
        </is>
      </c>
      <c r="E734" t="inlineStr">
        <is>
          <t>OVANÅKER</t>
        </is>
      </c>
      <c r="G734" t="n">
        <v>2.3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30893-2023</t>
        </is>
      </c>
      <c r="B735" s="1" t="n">
        <v>45113</v>
      </c>
      <c r="C735" s="1" t="n">
        <v>45838</v>
      </c>
      <c r="D735" t="inlineStr">
        <is>
          <t>GÄVLEBORGS LÄN</t>
        </is>
      </c>
      <c r="E735" t="inlineStr">
        <is>
          <t>OVANÅKER</t>
        </is>
      </c>
      <c r="G735" t="n">
        <v>1.5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30977-2023</t>
        </is>
      </c>
      <c r="B736" s="1" t="n">
        <v>45113</v>
      </c>
      <c r="C736" s="1" t="n">
        <v>45838</v>
      </c>
      <c r="D736" t="inlineStr">
        <is>
          <t>GÄVLEBORGS LÄN</t>
        </is>
      </c>
      <c r="E736" t="inlineStr">
        <is>
          <t>OVANÅKER</t>
        </is>
      </c>
      <c r="G736" t="n">
        <v>14.8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31005-2023</t>
        </is>
      </c>
      <c r="B737" s="1" t="n">
        <v>45113</v>
      </c>
      <c r="C737" s="1" t="n">
        <v>45838</v>
      </c>
      <c r="D737" t="inlineStr">
        <is>
          <t>GÄVLEBORGS LÄN</t>
        </is>
      </c>
      <c r="E737" t="inlineStr">
        <is>
          <t>OVANÅKER</t>
        </is>
      </c>
      <c r="G737" t="n">
        <v>1.5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31406-2023</t>
        </is>
      </c>
      <c r="B738" s="1" t="n">
        <v>45114</v>
      </c>
      <c r="C738" s="1" t="n">
        <v>45838</v>
      </c>
      <c r="D738" t="inlineStr">
        <is>
          <t>GÄVLEBORGS LÄN</t>
        </is>
      </c>
      <c r="E738" t="inlineStr">
        <is>
          <t>OVANÅKER</t>
        </is>
      </c>
      <c r="G738" t="n">
        <v>2.1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31376-2023</t>
        </is>
      </c>
      <c r="B739" s="1" t="n">
        <v>45114</v>
      </c>
      <c r="C739" s="1" t="n">
        <v>45838</v>
      </c>
      <c r="D739" t="inlineStr">
        <is>
          <t>GÄVLEBORGS LÄN</t>
        </is>
      </c>
      <c r="E739" t="inlineStr">
        <is>
          <t>OVANÅKER</t>
        </is>
      </c>
      <c r="F739" t="inlineStr">
        <is>
          <t>Bergvik skog öst AB</t>
        </is>
      </c>
      <c r="G739" t="n">
        <v>20.4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31396-2023</t>
        </is>
      </c>
      <c r="B740" s="1" t="n">
        <v>45114</v>
      </c>
      <c r="C740" s="1" t="n">
        <v>45838</v>
      </c>
      <c r="D740" t="inlineStr">
        <is>
          <t>GÄVLEBORGS LÄN</t>
        </is>
      </c>
      <c r="E740" t="inlineStr">
        <is>
          <t>OVANÅKER</t>
        </is>
      </c>
      <c r="G740" t="n">
        <v>3.9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31404-2023</t>
        </is>
      </c>
      <c r="B741" s="1" t="n">
        <v>45114</v>
      </c>
      <c r="C741" s="1" t="n">
        <v>45838</v>
      </c>
      <c r="D741" t="inlineStr">
        <is>
          <t>GÄVLEBORGS LÄN</t>
        </is>
      </c>
      <c r="E741" t="inlineStr">
        <is>
          <t>OVANÅKER</t>
        </is>
      </c>
      <c r="G741" t="n">
        <v>0.7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31723-2023</t>
        </is>
      </c>
      <c r="B742" s="1" t="n">
        <v>45117</v>
      </c>
      <c r="C742" s="1" t="n">
        <v>45838</v>
      </c>
      <c r="D742" t="inlineStr">
        <is>
          <t>GÄVLEBORGS LÄN</t>
        </is>
      </c>
      <c r="E742" t="inlineStr">
        <is>
          <t>OVANÅKER</t>
        </is>
      </c>
      <c r="G742" t="n">
        <v>5.5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31725-2023</t>
        </is>
      </c>
      <c r="B743" s="1" t="n">
        <v>45118</v>
      </c>
      <c r="C743" s="1" t="n">
        <v>45838</v>
      </c>
      <c r="D743" t="inlineStr">
        <is>
          <t>GÄVLEBORGS LÄN</t>
        </is>
      </c>
      <c r="E743" t="inlineStr">
        <is>
          <t>OVANÅKER</t>
        </is>
      </c>
      <c r="G743" t="n">
        <v>0.9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33410-2023</t>
        </is>
      </c>
      <c r="B744" s="1" t="n">
        <v>45117</v>
      </c>
      <c r="C744" s="1" t="n">
        <v>45838</v>
      </c>
      <c r="D744" t="inlineStr">
        <is>
          <t>GÄVLEBORGS LÄN</t>
        </is>
      </c>
      <c r="E744" t="inlineStr">
        <is>
          <t>OVANÅKER</t>
        </is>
      </c>
      <c r="G744" t="n">
        <v>2.2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33411-2023</t>
        </is>
      </c>
      <c r="B745" s="1" t="n">
        <v>45117</v>
      </c>
      <c r="C745" s="1" t="n">
        <v>45838</v>
      </c>
      <c r="D745" t="inlineStr">
        <is>
          <t>GÄVLEBORGS LÄN</t>
        </is>
      </c>
      <c r="E745" t="inlineStr">
        <is>
          <t>OVANÅKER</t>
        </is>
      </c>
      <c r="G745" t="n">
        <v>1.1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31875-2023</t>
        </is>
      </c>
      <c r="B746" s="1" t="n">
        <v>45118</v>
      </c>
      <c r="C746" s="1" t="n">
        <v>45838</v>
      </c>
      <c r="D746" t="inlineStr">
        <is>
          <t>GÄVLEBORGS LÄN</t>
        </is>
      </c>
      <c r="E746" t="inlineStr">
        <is>
          <t>OVANÅKER</t>
        </is>
      </c>
      <c r="G746" t="n">
        <v>1.3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32318-2023</t>
        </is>
      </c>
      <c r="B747" s="1" t="n">
        <v>45120</v>
      </c>
      <c r="C747" s="1" t="n">
        <v>45838</v>
      </c>
      <c r="D747" t="inlineStr">
        <is>
          <t>GÄVLEBORGS LÄN</t>
        </is>
      </c>
      <c r="E747" t="inlineStr">
        <is>
          <t>OVANÅKER</t>
        </is>
      </c>
      <c r="F747" t="inlineStr">
        <is>
          <t>Bergvik skog öst AB</t>
        </is>
      </c>
      <c r="G747" t="n">
        <v>4.9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32330-2023</t>
        </is>
      </c>
      <c r="B748" s="1" t="n">
        <v>45120</v>
      </c>
      <c r="C748" s="1" t="n">
        <v>45838</v>
      </c>
      <c r="D748" t="inlineStr">
        <is>
          <t>GÄVLEBORGS LÄN</t>
        </is>
      </c>
      <c r="E748" t="inlineStr">
        <is>
          <t>OVANÅKER</t>
        </is>
      </c>
      <c r="F748" t="inlineStr">
        <is>
          <t>Bergvik skog öst AB</t>
        </is>
      </c>
      <c r="G748" t="n">
        <v>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32265-2023</t>
        </is>
      </c>
      <c r="B749" s="1" t="n">
        <v>45120</v>
      </c>
      <c r="C749" s="1" t="n">
        <v>45838</v>
      </c>
      <c r="D749" t="inlineStr">
        <is>
          <t>GÄVLEBORGS LÄN</t>
        </is>
      </c>
      <c r="E749" t="inlineStr">
        <is>
          <t>OVANÅKER</t>
        </is>
      </c>
      <c r="F749" t="inlineStr">
        <is>
          <t>Sveaskog</t>
        </is>
      </c>
      <c r="G749" t="n">
        <v>4.4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32333-2023</t>
        </is>
      </c>
      <c r="B750" s="1" t="n">
        <v>45120</v>
      </c>
      <c r="C750" s="1" t="n">
        <v>45838</v>
      </c>
      <c r="D750" t="inlineStr">
        <is>
          <t>GÄVLEBORGS LÄN</t>
        </is>
      </c>
      <c r="E750" t="inlineStr">
        <is>
          <t>OVANÅKER</t>
        </is>
      </c>
      <c r="F750" t="inlineStr">
        <is>
          <t>Bergvik skog öst AB</t>
        </is>
      </c>
      <c r="G750" t="n">
        <v>3.3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32306-2023</t>
        </is>
      </c>
      <c r="B751" s="1" t="n">
        <v>45120</v>
      </c>
      <c r="C751" s="1" t="n">
        <v>45838</v>
      </c>
      <c r="D751" t="inlineStr">
        <is>
          <t>GÄVLEBORGS LÄN</t>
        </is>
      </c>
      <c r="E751" t="inlineStr">
        <is>
          <t>OVANÅKER</t>
        </is>
      </c>
      <c r="F751" t="inlineStr">
        <is>
          <t>Bergvik skog öst AB</t>
        </is>
      </c>
      <c r="G751" t="n">
        <v>4.5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32310-2023</t>
        </is>
      </c>
      <c r="B752" s="1" t="n">
        <v>45120</v>
      </c>
      <c r="C752" s="1" t="n">
        <v>45838</v>
      </c>
      <c r="D752" t="inlineStr">
        <is>
          <t>GÄVLEBORGS LÄN</t>
        </is>
      </c>
      <c r="E752" t="inlineStr">
        <is>
          <t>OVANÅKER</t>
        </is>
      </c>
      <c r="F752" t="inlineStr">
        <is>
          <t>Bergvik skog öst AB</t>
        </is>
      </c>
      <c r="G752" t="n">
        <v>4.5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33225-2023</t>
        </is>
      </c>
      <c r="B753" s="1" t="n">
        <v>45127</v>
      </c>
      <c r="C753" s="1" t="n">
        <v>45838</v>
      </c>
      <c r="D753" t="inlineStr">
        <is>
          <t>GÄVLEBORGS LÄN</t>
        </is>
      </c>
      <c r="E753" t="inlineStr">
        <is>
          <t>OVANÅKER</t>
        </is>
      </c>
      <c r="F753" t="inlineStr">
        <is>
          <t>Bergvik skog öst AB</t>
        </is>
      </c>
      <c r="G753" t="n">
        <v>19.8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33231-2023</t>
        </is>
      </c>
      <c r="B754" s="1" t="n">
        <v>45127</v>
      </c>
      <c r="C754" s="1" t="n">
        <v>45838</v>
      </c>
      <c r="D754" t="inlineStr">
        <is>
          <t>GÄVLEBORGS LÄN</t>
        </is>
      </c>
      <c r="E754" t="inlineStr">
        <is>
          <t>OVANÅKER</t>
        </is>
      </c>
      <c r="F754" t="inlineStr">
        <is>
          <t>Bergvik skog öst AB</t>
        </is>
      </c>
      <c r="G754" t="n">
        <v>5.8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33748-2023</t>
        </is>
      </c>
      <c r="B755" s="1" t="n">
        <v>45133</v>
      </c>
      <c r="C755" s="1" t="n">
        <v>45838</v>
      </c>
      <c r="D755" t="inlineStr">
        <is>
          <t>GÄVLEBORGS LÄN</t>
        </is>
      </c>
      <c r="E755" t="inlineStr">
        <is>
          <t>OVANÅKER</t>
        </is>
      </c>
      <c r="F755" t="inlineStr">
        <is>
          <t>Bergvik skog väst AB</t>
        </is>
      </c>
      <c r="G755" t="n">
        <v>10.2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33749-2023</t>
        </is>
      </c>
      <c r="B756" s="1" t="n">
        <v>45133</v>
      </c>
      <c r="C756" s="1" t="n">
        <v>45838</v>
      </c>
      <c r="D756" t="inlineStr">
        <is>
          <t>GÄVLEBORGS LÄN</t>
        </is>
      </c>
      <c r="E756" t="inlineStr">
        <is>
          <t>OVANÅKER</t>
        </is>
      </c>
      <c r="F756" t="inlineStr">
        <is>
          <t>Bergvik skog väst AB</t>
        </is>
      </c>
      <c r="G756" t="n">
        <v>12.3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34338-2023</t>
        </is>
      </c>
      <c r="B757" s="1" t="n">
        <v>45139</v>
      </c>
      <c r="C757" s="1" t="n">
        <v>45838</v>
      </c>
      <c r="D757" t="inlineStr">
        <is>
          <t>GÄVLEBORGS LÄN</t>
        </is>
      </c>
      <c r="E757" t="inlineStr">
        <is>
          <t>OVANÅKER</t>
        </is>
      </c>
      <c r="F757" t="inlineStr">
        <is>
          <t>Bergvik skog väst AB</t>
        </is>
      </c>
      <c r="G757" t="n">
        <v>1.7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35216-2023</t>
        </is>
      </c>
      <c r="B758" s="1" t="n">
        <v>45145</v>
      </c>
      <c r="C758" s="1" t="n">
        <v>45838</v>
      </c>
      <c r="D758" t="inlineStr">
        <is>
          <t>GÄVLEBORGS LÄN</t>
        </is>
      </c>
      <c r="E758" t="inlineStr">
        <is>
          <t>OVANÅKER</t>
        </is>
      </c>
      <c r="F758" t="inlineStr">
        <is>
          <t>Bergvik skog väst AB</t>
        </is>
      </c>
      <c r="G758" t="n">
        <v>3.9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35222-2023</t>
        </is>
      </c>
      <c r="B759" s="1" t="n">
        <v>45145</v>
      </c>
      <c r="C759" s="1" t="n">
        <v>45838</v>
      </c>
      <c r="D759" t="inlineStr">
        <is>
          <t>GÄVLEBORGS LÄN</t>
        </is>
      </c>
      <c r="E759" t="inlineStr">
        <is>
          <t>OVANÅKER</t>
        </is>
      </c>
      <c r="F759" t="inlineStr">
        <is>
          <t>Bergvik skog väst AB</t>
        </is>
      </c>
      <c r="G759" t="n">
        <v>4.4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36088-2023</t>
        </is>
      </c>
      <c r="B760" s="1" t="n">
        <v>45149</v>
      </c>
      <c r="C760" s="1" t="n">
        <v>45838</v>
      </c>
      <c r="D760" t="inlineStr">
        <is>
          <t>GÄVLEBORGS LÄN</t>
        </is>
      </c>
      <c r="E760" t="inlineStr">
        <is>
          <t>OVANÅKER</t>
        </is>
      </c>
      <c r="G760" t="n">
        <v>1.4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36072-2023</t>
        </is>
      </c>
      <c r="B761" s="1" t="n">
        <v>45149</v>
      </c>
      <c r="C761" s="1" t="n">
        <v>45838</v>
      </c>
      <c r="D761" t="inlineStr">
        <is>
          <t>GÄVLEBORGS LÄN</t>
        </is>
      </c>
      <c r="E761" t="inlineStr">
        <is>
          <t>OVANÅKER</t>
        </is>
      </c>
      <c r="G761" t="n">
        <v>3.5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36085-2023</t>
        </is>
      </c>
      <c r="B762" s="1" t="n">
        <v>45149</v>
      </c>
      <c r="C762" s="1" t="n">
        <v>45838</v>
      </c>
      <c r="D762" t="inlineStr">
        <is>
          <t>GÄVLEBORGS LÄN</t>
        </is>
      </c>
      <c r="E762" t="inlineStr">
        <is>
          <t>OVANÅKER</t>
        </is>
      </c>
      <c r="G762" t="n">
        <v>2.1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36156-2023</t>
        </is>
      </c>
      <c r="B763" s="1" t="n">
        <v>45149</v>
      </c>
      <c r="C763" s="1" t="n">
        <v>45838</v>
      </c>
      <c r="D763" t="inlineStr">
        <is>
          <t>GÄVLEBORGS LÄN</t>
        </is>
      </c>
      <c r="E763" t="inlineStr">
        <is>
          <t>OVANÅKER</t>
        </is>
      </c>
      <c r="G763" t="n">
        <v>0.8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36176-2023</t>
        </is>
      </c>
      <c r="B764" s="1" t="n">
        <v>45149</v>
      </c>
      <c r="C764" s="1" t="n">
        <v>45838</v>
      </c>
      <c r="D764" t="inlineStr">
        <is>
          <t>GÄVLEBORGS LÄN</t>
        </is>
      </c>
      <c r="E764" t="inlineStr">
        <is>
          <t>OVANÅKER</t>
        </is>
      </c>
      <c r="G764" t="n">
        <v>1.7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36069-2023</t>
        </is>
      </c>
      <c r="B765" s="1" t="n">
        <v>45149</v>
      </c>
      <c r="C765" s="1" t="n">
        <v>45838</v>
      </c>
      <c r="D765" t="inlineStr">
        <is>
          <t>GÄVLEBORGS LÄN</t>
        </is>
      </c>
      <c r="E765" t="inlineStr">
        <is>
          <t>OVANÅKER</t>
        </is>
      </c>
      <c r="G765" t="n">
        <v>1.6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36284-2023</t>
        </is>
      </c>
      <c r="B766" s="1" t="n">
        <v>45152</v>
      </c>
      <c r="C766" s="1" t="n">
        <v>45838</v>
      </c>
      <c r="D766" t="inlineStr">
        <is>
          <t>GÄVLEBORGS LÄN</t>
        </is>
      </c>
      <c r="E766" t="inlineStr">
        <is>
          <t>OVANÅKER</t>
        </is>
      </c>
      <c r="G766" t="n">
        <v>6.1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36316-2023</t>
        </is>
      </c>
      <c r="B767" s="1" t="n">
        <v>45152</v>
      </c>
      <c r="C767" s="1" t="n">
        <v>45838</v>
      </c>
      <c r="D767" t="inlineStr">
        <is>
          <t>GÄVLEBORGS LÄN</t>
        </is>
      </c>
      <c r="E767" t="inlineStr">
        <is>
          <t>OVANÅKER</t>
        </is>
      </c>
      <c r="G767" t="n">
        <v>2.2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36315-2023</t>
        </is>
      </c>
      <c r="B768" s="1" t="n">
        <v>45152</v>
      </c>
      <c r="C768" s="1" t="n">
        <v>45838</v>
      </c>
      <c r="D768" t="inlineStr">
        <is>
          <t>GÄVLEBORGS LÄN</t>
        </is>
      </c>
      <c r="E768" t="inlineStr">
        <is>
          <t>OVANÅKER</t>
        </is>
      </c>
      <c r="G768" t="n">
        <v>9.6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36452-2023</t>
        </is>
      </c>
      <c r="B769" s="1" t="n">
        <v>45152</v>
      </c>
      <c r="C769" s="1" t="n">
        <v>45838</v>
      </c>
      <c r="D769" t="inlineStr">
        <is>
          <t>GÄVLEBORGS LÄN</t>
        </is>
      </c>
      <c r="E769" t="inlineStr">
        <is>
          <t>OVANÅKER</t>
        </is>
      </c>
      <c r="F769" t="inlineStr">
        <is>
          <t>Sveaskog</t>
        </is>
      </c>
      <c r="G769" t="n">
        <v>1.2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36563-2023</t>
        </is>
      </c>
      <c r="B770" s="1" t="n">
        <v>45152</v>
      </c>
      <c r="C770" s="1" t="n">
        <v>45838</v>
      </c>
      <c r="D770" t="inlineStr">
        <is>
          <t>GÄVLEBORGS LÄN</t>
        </is>
      </c>
      <c r="E770" t="inlineStr">
        <is>
          <t>OVANÅKER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36794-2023</t>
        </is>
      </c>
      <c r="B771" s="1" t="n">
        <v>45154</v>
      </c>
      <c r="C771" s="1" t="n">
        <v>45838</v>
      </c>
      <c r="D771" t="inlineStr">
        <is>
          <t>GÄVLEBORGS LÄN</t>
        </is>
      </c>
      <c r="E771" t="inlineStr">
        <is>
          <t>OVANÅKER</t>
        </is>
      </c>
      <c r="G771" t="n">
        <v>1.2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37090-2023</t>
        </is>
      </c>
      <c r="B772" s="1" t="n">
        <v>45155</v>
      </c>
      <c r="C772" s="1" t="n">
        <v>45838</v>
      </c>
      <c r="D772" t="inlineStr">
        <is>
          <t>GÄVLEBORGS LÄN</t>
        </is>
      </c>
      <c r="E772" t="inlineStr">
        <is>
          <t>OVANÅKER</t>
        </is>
      </c>
      <c r="G772" t="n">
        <v>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37302-2023</t>
        </is>
      </c>
      <c r="B773" s="1" t="n">
        <v>45156</v>
      </c>
      <c r="C773" s="1" t="n">
        <v>45838</v>
      </c>
      <c r="D773" t="inlineStr">
        <is>
          <t>GÄVLEBORGS LÄN</t>
        </is>
      </c>
      <c r="E773" t="inlineStr">
        <is>
          <t>OVANÅKER</t>
        </is>
      </c>
      <c r="G773" t="n">
        <v>2.3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37307-2023</t>
        </is>
      </c>
      <c r="B774" s="1" t="n">
        <v>45156</v>
      </c>
      <c r="C774" s="1" t="n">
        <v>45838</v>
      </c>
      <c r="D774" t="inlineStr">
        <is>
          <t>GÄVLEBORGS LÄN</t>
        </is>
      </c>
      <c r="E774" t="inlineStr">
        <is>
          <t>OVANÅKER</t>
        </is>
      </c>
      <c r="G774" t="n">
        <v>1.5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37292-2023</t>
        </is>
      </c>
      <c r="B775" s="1" t="n">
        <v>45156</v>
      </c>
      <c r="C775" s="1" t="n">
        <v>45838</v>
      </c>
      <c r="D775" t="inlineStr">
        <is>
          <t>GÄVLEBORGS LÄN</t>
        </is>
      </c>
      <c r="E775" t="inlineStr">
        <is>
          <t>OVANÅKER</t>
        </is>
      </c>
      <c r="G775" t="n">
        <v>4.2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37718-2023</t>
        </is>
      </c>
      <c r="B776" s="1" t="n">
        <v>45159</v>
      </c>
      <c r="C776" s="1" t="n">
        <v>45838</v>
      </c>
      <c r="D776" t="inlineStr">
        <is>
          <t>GÄVLEBORGS LÄN</t>
        </is>
      </c>
      <c r="E776" t="inlineStr">
        <is>
          <t>OVANÅKER</t>
        </is>
      </c>
      <c r="G776" t="n">
        <v>0.8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37706-2023</t>
        </is>
      </c>
      <c r="B777" s="1" t="n">
        <v>45159</v>
      </c>
      <c r="C777" s="1" t="n">
        <v>45838</v>
      </c>
      <c r="D777" t="inlineStr">
        <is>
          <t>GÄVLEBORGS LÄN</t>
        </is>
      </c>
      <c r="E777" t="inlineStr">
        <is>
          <t>OVANÅKER</t>
        </is>
      </c>
      <c r="G777" t="n">
        <v>0.7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37776-2023</t>
        </is>
      </c>
      <c r="B778" s="1" t="n">
        <v>45159</v>
      </c>
      <c r="C778" s="1" t="n">
        <v>45838</v>
      </c>
      <c r="D778" t="inlineStr">
        <is>
          <t>GÄVLEBORGS LÄN</t>
        </is>
      </c>
      <c r="E778" t="inlineStr">
        <is>
          <t>OVANÅKER</t>
        </is>
      </c>
      <c r="G778" t="n">
        <v>1.1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37965-2023</t>
        </is>
      </c>
      <c r="B779" s="1" t="n">
        <v>45160</v>
      </c>
      <c r="C779" s="1" t="n">
        <v>45838</v>
      </c>
      <c r="D779" t="inlineStr">
        <is>
          <t>GÄVLEBORGS LÄN</t>
        </is>
      </c>
      <c r="E779" t="inlineStr">
        <is>
          <t>OVANÅKER</t>
        </is>
      </c>
      <c r="G779" t="n">
        <v>3.8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37967-2023</t>
        </is>
      </c>
      <c r="B780" s="1" t="n">
        <v>45160</v>
      </c>
      <c r="C780" s="1" t="n">
        <v>45838</v>
      </c>
      <c r="D780" t="inlineStr">
        <is>
          <t>GÄVLEBORGS LÄN</t>
        </is>
      </c>
      <c r="E780" t="inlineStr">
        <is>
          <t>OVANÅKER</t>
        </is>
      </c>
      <c r="G780" t="n">
        <v>0.5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38144-2023</t>
        </is>
      </c>
      <c r="B781" s="1" t="n">
        <v>45161</v>
      </c>
      <c r="C781" s="1" t="n">
        <v>45838</v>
      </c>
      <c r="D781" t="inlineStr">
        <is>
          <t>GÄVLEBORGS LÄN</t>
        </is>
      </c>
      <c r="E781" t="inlineStr">
        <is>
          <t>OVANÅKER</t>
        </is>
      </c>
      <c r="G781" t="n">
        <v>1.2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38102-2023</t>
        </is>
      </c>
      <c r="B782" s="1" t="n">
        <v>45161</v>
      </c>
      <c r="C782" s="1" t="n">
        <v>45838</v>
      </c>
      <c r="D782" t="inlineStr">
        <is>
          <t>GÄVLEBORGS LÄN</t>
        </is>
      </c>
      <c r="E782" t="inlineStr">
        <is>
          <t>OVANÅKER</t>
        </is>
      </c>
      <c r="G782" t="n">
        <v>2.7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38546-2023</t>
        </is>
      </c>
      <c r="B783" s="1" t="n">
        <v>45162</v>
      </c>
      <c r="C783" s="1" t="n">
        <v>45838</v>
      </c>
      <c r="D783" t="inlineStr">
        <is>
          <t>GÄVLEBORGS LÄN</t>
        </is>
      </c>
      <c r="E783" t="inlineStr">
        <is>
          <t>OVANÅKER</t>
        </is>
      </c>
      <c r="G783" t="n">
        <v>2.1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38780-2023</t>
        </is>
      </c>
      <c r="B784" s="1" t="n">
        <v>45163</v>
      </c>
      <c r="C784" s="1" t="n">
        <v>45838</v>
      </c>
      <c r="D784" t="inlineStr">
        <is>
          <t>GÄVLEBORGS LÄN</t>
        </is>
      </c>
      <c r="E784" t="inlineStr">
        <is>
          <t>OVANÅKER</t>
        </is>
      </c>
      <c r="F784" t="inlineStr">
        <is>
          <t>Kyrkan</t>
        </is>
      </c>
      <c r="G784" t="n">
        <v>2.7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39377-2023</t>
        </is>
      </c>
      <c r="B785" s="1" t="n">
        <v>45166</v>
      </c>
      <c r="C785" s="1" t="n">
        <v>45838</v>
      </c>
      <c r="D785" t="inlineStr">
        <is>
          <t>GÄVLEBORGS LÄN</t>
        </is>
      </c>
      <c r="E785" t="inlineStr">
        <is>
          <t>OVANÅKER</t>
        </is>
      </c>
      <c r="G785" t="n">
        <v>1.1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39382-2023</t>
        </is>
      </c>
      <c r="B786" s="1" t="n">
        <v>45166</v>
      </c>
      <c r="C786" s="1" t="n">
        <v>45838</v>
      </c>
      <c r="D786" t="inlineStr">
        <is>
          <t>GÄVLEBORGS LÄN</t>
        </is>
      </c>
      <c r="E786" t="inlineStr">
        <is>
          <t>OVANÅKER</t>
        </is>
      </c>
      <c r="G786" t="n">
        <v>0.6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39384-2023</t>
        </is>
      </c>
      <c r="B787" s="1" t="n">
        <v>45166</v>
      </c>
      <c r="C787" s="1" t="n">
        <v>45838</v>
      </c>
      <c r="D787" t="inlineStr">
        <is>
          <t>GÄVLEBORGS LÄN</t>
        </is>
      </c>
      <c r="E787" t="inlineStr">
        <is>
          <t>OVANÅKER</t>
        </is>
      </c>
      <c r="G787" t="n">
        <v>1.5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39662-2023</t>
        </is>
      </c>
      <c r="B788" s="1" t="n">
        <v>45167</v>
      </c>
      <c r="C788" s="1" t="n">
        <v>45838</v>
      </c>
      <c r="D788" t="inlineStr">
        <is>
          <t>GÄVLEBORGS LÄN</t>
        </is>
      </c>
      <c r="E788" t="inlineStr">
        <is>
          <t>OVANÅKER</t>
        </is>
      </c>
      <c r="G788" t="n">
        <v>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39664-2023</t>
        </is>
      </c>
      <c r="B789" s="1" t="n">
        <v>45167</v>
      </c>
      <c r="C789" s="1" t="n">
        <v>45838</v>
      </c>
      <c r="D789" t="inlineStr">
        <is>
          <t>GÄVLEBORGS LÄN</t>
        </is>
      </c>
      <c r="E789" t="inlineStr">
        <is>
          <t>OVANÅKER</t>
        </is>
      </c>
      <c r="G789" t="n">
        <v>2.5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39862-2023</t>
        </is>
      </c>
      <c r="B790" s="1" t="n">
        <v>45168</v>
      </c>
      <c r="C790" s="1" t="n">
        <v>45838</v>
      </c>
      <c r="D790" t="inlineStr">
        <is>
          <t>GÄVLEBORGS LÄN</t>
        </is>
      </c>
      <c r="E790" t="inlineStr">
        <is>
          <t>OVANÅKER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39850-2023</t>
        </is>
      </c>
      <c r="B791" s="1" t="n">
        <v>45168</v>
      </c>
      <c r="C791" s="1" t="n">
        <v>45838</v>
      </c>
      <c r="D791" t="inlineStr">
        <is>
          <t>GÄVLEBORGS LÄN</t>
        </is>
      </c>
      <c r="E791" t="inlineStr">
        <is>
          <t>OVANÅKER</t>
        </is>
      </c>
      <c r="G791" t="n">
        <v>1.5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39916-2023</t>
        </is>
      </c>
      <c r="B792" s="1" t="n">
        <v>45168</v>
      </c>
      <c r="C792" s="1" t="n">
        <v>45838</v>
      </c>
      <c r="D792" t="inlineStr">
        <is>
          <t>GÄVLEBORGS LÄN</t>
        </is>
      </c>
      <c r="E792" t="inlineStr">
        <is>
          <t>OVANÅKER</t>
        </is>
      </c>
      <c r="F792" t="inlineStr">
        <is>
          <t>Kyrkan</t>
        </is>
      </c>
      <c r="G792" t="n">
        <v>2.5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39877-2023</t>
        </is>
      </c>
      <c r="B793" s="1" t="n">
        <v>45168</v>
      </c>
      <c r="C793" s="1" t="n">
        <v>45838</v>
      </c>
      <c r="D793" t="inlineStr">
        <is>
          <t>GÄVLEBORGS LÄN</t>
        </is>
      </c>
      <c r="E793" t="inlineStr">
        <is>
          <t>OVANÅKER</t>
        </is>
      </c>
      <c r="F793" t="inlineStr">
        <is>
          <t>Kyrkan</t>
        </is>
      </c>
      <c r="G793" t="n">
        <v>9.800000000000001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40628-2023</t>
        </is>
      </c>
      <c r="B794" s="1" t="n">
        <v>45170</v>
      </c>
      <c r="C794" s="1" t="n">
        <v>45838</v>
      </c>
      <c r="D794" t="inlineStr">
        <is>
          <t>GÄVLEBORGS LÄN</t>
        </is>
      </c>
      <c r="E794" t="inlineStr">
        <is>
          <t>OVANÅKER</t>
        </is>
      </c>
      <c r="G794" t="n">
        <v>5.4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40857-2023</t>
        </is>
      </c>
      <c r="B795" s="1" t="n">
        <v>45173</v>
      </c>
      <c r="C795" s="1" t="n">
        <v>45838</v>
      </c>
      <c r="D795" t="inlineStr">
        <is>
          <t>GÄVLEBORGS LÄN</t>
        </is>
      </c>
      <c r="E795" t="inlineStr">
        <is>
          <t>OVANÅKER</t>
        </is>
      </c>
      <c r="G795" t="n">
        <v>2.3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40929-2023</t>
        </is>
      </c>
      <c r="B796" s="1" t="n">
        <v>45173</v>
      </c>
      <c r="C796" s="1" t="n">
        <v>45838</v>
      </c>
      <c r="D796" t="inlineStr">
        <is>
          <t>GÄVLEBORGS LÄN</t>
        </is>
      </c>
      <c r="E796" t="inlineStr">
        <is>
          <t>OVANÅKER</t>
        </is>
      </c>
      <c r="G796" t="n">
        <v>1.2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40892-2023</t>
        </is>
      </c>
      <c r="B797" s="1" t="n">
        <v>45173</v>
      </c>
      <c r="C797" s="1" t="n">
        <v>45838</v>
      </c>
      <c r="D797" t="inlineStr">
        <is>
          <t>GÄVLEBORGS LÄN</t>
        </is>
      </c>
      <c r="E797" t="inlineStr">
        <is>
          <t>OVANÅKER</t>
        </is>
      </c>
      <c r="G797" t="n">
        <v>5.4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41162-2023</t>
        </is>
      </c>
      <c r="B798" s="1" t="n">
        <v>45174</v>
      </c>
      <c r="C798" s="1" t="n">
        <v>45838</v>
      </c>
      <c r="D798" t="inlineStr">
        <is>
          <t>GÄVLEBORGS LÄN</t>
        </is>
      </c>
      <c r="E798" t="inlineStr">
        <is>
          <t>OVANÅKER</t>
        </is>
      </c>
      <c r="G798" t="n">
        <v>1.4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41451-2023</t>
        </is>
      </c>
      <c r="B799" s="1" t="n">
        <v>45175</v>
      </c>
      <c r="C799" s="1" t="n">
        <v>45838</v>
      </c>
      <c r="D799" t="inlineStr">
        <is>
          <t>GÄVLEBORGS LÄN</t>
        </is>
      </c>
      <c r="E799" t="inlineStr">
        <is>
          <t>OVANÅKER</t>
        </is>
      </c>
      <c r="G799" t="n">
        <v>2.2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41497-2023</t>
        </is>
      </c>
      <c r="B800" s="1" t="n">
        <v>45175</v>
      </c>
      <c r="C800" s="1" t="n">
        <v>45838</v>
      </c>
      <c r="D800" t="inlineStr">
        <is>
          <t>GÄVLEBORGS LÄN</t>
        </is>
      </c>
      <c r="E800" t="inlineStr">
        <is>
          <t>OVANÅKER</t>
        </is>
      </c>
      <c r="G800" t="n">
        <v>15.5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41535-2023</t>
        </is>
      </c>
      <c r="B801" s="1" t="n">
        <v>45175</v>
      </c>
      <c r="C801" s="1" t="n">
        <v>45838</v>
      </c>
      <c r="D801" t="inlineStr">
        <is>
          <t>GÄVLEBORGS LÄN</t>
        </is>
      </c>
      <c r="E801" t="inlineStr">
        <is>
          <t>OVANÅKER</t>
        </is>
      </c>
      <c r="G801" t="n">
        <v>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41540-2023</t>
        </is>
      </c>
      <c r="B802" s="1" t="n">
        <v>45175</v>
      </c>
      <c r="C802" s="1" t="n">
        <v>45838</v>
      </c>
      <c r="D802" t="inlineStr">
        <is>
          <t>GÄVLEBORGS LÄN</t>
        </is>
      </c>
      <c r="E802" t="inlineStr">
        <is>
          <t>OVANÅKER</t>
        </is>
      </c>
      <c r="G802" t="n">
        <v>3.4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41474-2023</t>
        </is>
      </c>
      <c r="B803" s="1" t="n">
        <v>45175</v>
      </c>
      <c r="C803" s="1" t="n">
        <v>45838</v>
      </c>
      <c r="D803" t="inlineStr">
        <is>
          <t>GÄVLEBORGS LÄN</t>
        </is>
      </c>
      <c r="E803" t="inlineStr">
        <is>
          <t>OVANÅKER</t>
        </is>
      </c>
      <c r="F803" t="inlineStr">
        <is>
          <t>Kyrkan</t>
        </is>
      </c>
      <c r="G803" t="n">
        <v>1.6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41544-2023</t>
        </is>
      </c>
      <c r="B804" s="1" t="n">
        <v>45175</v>
      </c>
      <c r="C804" s="1" t="n">
        <v>45838</v>
      </c>
      <c r="D804" t="inlineStr">
        <is>
          <t>GÄVLEBORGS LÄN</t>
        </is>
      </c>
      <c r="E804" t="inlineStr">
        <is>
          <t>OVANÅKER</t>
        </is>
      </c>
      <c r="G804" t="n">
        <v>0.6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41512-2023</t>
        </is>
      </c>
      <c r="B805" s="1" t="n">
        <v>45175</v>
      </c>
      <c r="C805" s="1" t="n">
        <v>45838</v>
      </c>
      <c r="D805" t="inlineStr">
        <is>
          <t>GÄVLEBORGS LÄN</t>
        </is>
      </c>
      <c r="E805" t="inlineStr">
        <is>
          <t>OVANÅKER</t>
        </is>
      </c>
      <c r="G805" t="n">
        <v>7.7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41801-2023</t>
        </is>
      </c>
      <c r="B806" s="1" t="n">
        <v>45176</v>
      </c>
      <c r="C806" s="1" t="n">
        <v>45838</v>
      </c>
      <c r="D806" t="inlineStr">
        <is>
          <t>GÄVLEBORGS LÄN</t>
        </is>
      </c>
      <c r="E806" t="inlineStr">
        <is>
          <t>OVANÅKER</t>
        </is>
      </c>
      <c r="G806" t="n">
        <v>1.5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41798-2023</t>
        </is>
      </c>
      <c r="B807" s="1" t="n">
        <v>45176</v>
      </c>
      <c r="C807" s="1" t="n">
        <v>45838</v>
      </c>
      <c r="D807" t="inlineStr">
        <is>
          <t>GÄVLEBORGS LÄN</t>
        </is>
      </c>
      <c r="E807" t="inlineStr">
        <is>
          <t>OVANÅKER</t>
        </is>
      </c>
      <c r="G807" t="n">
        <v>10.4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41990-2023</t>
        </is>
      </c>
      <c r="B808" s="1" t="n">
        <v>45177</v>
      </c>
      <c r="C808" s="1" t="n">
        <v>45838</v>
      </c>
      <c r="D808" t="inlineStr">
        <is>
          <t>GÄVLEBORGS LÄN</t>
        </is>
      </c>
      <c r="E808" t="inlineStr">
        <is>
          <t>OVANÅKER</t>
        </is>
      </c>
      <c r="F808" t="inlineStr">
        <is>
          <t>Bergvik skog väst AB</t>
        </is>
      </c>
      <c r="G808" t="n">
        <v>2.4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42006-2023</t>
        </is>
      </c>
      <c r="B809" s="1" t="n">
        <v>45177</v>
      </c>
      <c r="C809" s="1" t="n">
        <v>45838</v>
      </c>
      <c r="D809" t="inlineStr">
        <is>
          <t>GÄVLEBORGS LÄN</t>
        </is>
      </c>
      <c r="E809" t="inlineStr">
        <is>
          <t>OVANÅKER</t>
        </is>
      </c>
      <c r="F809" t="inlineStr">
        <is>
          <t>Bergvik skog väst AB</t>
        </is>
      </c>
      <c r="G809" t="n">
        <v>1.2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42052-2023</t>
        </is>
      </c>
      <c r="B810" s="1" t="n">
        <v>45177</v>
      </c>
      <c r="C810" s="1" t="n">
        <v>45838</v>
      </c>
      <c r="D810" t="inlineStr">
        <is>
          <t>GÄVLEBORGS LÄN</t>
        </is>
      </c>
      <c r="E810" t="inlineStr">
        <is>
          <t>OVANÅKER</t>
        </is>
      </c>
      <c r="F810" t="inlineStr">
        <is>
          <t>Bergvik skog väst AB</t>
        </is>
      </c>
      <c r="G810" t="n">
        <v>2.7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42067-2023</t>
        </is>
      </c>
      <c r="B811" s="1" t="n">
        <v>45177</v>
      </c>
      <c r="C811" s="1" t="n">
        <v>45838</v>
      </c>
      <c r="D811" t="inlineStr">
        <is>
          <t>GÄVLEBORGS LÄN</t>
        </is>
      </c>
      <c r="E811" t="inlineStr">
        <is>
          <t>OVANÅKER</t>
        </is>
      </c>
      <c r="G811" t="n">
        <v>5.8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42101-2023</t>
        </is>
      </c>
      <c r="B812" s="1" t="n">
        <v>45177</v>
      </c>
      <c r="C812" s="1" t="n">
        <v>45838</v>
      </c>
      <c r="D812" t="inlineStr">
        <is>
          <t>GÄVLEBORGS LÄN</t>
        </is>
      </c>
      <c r="E812" t="inlineStr">
        <is>
          <t>OVANÅKER</t>
        </is>
      </c>
      <c r="G812" t="n">
        <v>12.1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42076-2023</t>
        </is>
      </c>
      <c r="B813" s="1" t="n">
        <v>45177</v>
      </c>
      <c r="C813" s="1" t="n">
        <v>45838</v>
      </c>
      <c r="D813" t="inlineStr">
        <is>
          <t>GÄVLEBORGS LÄN</t>
        </is>
      </c>
      <c r="E813" t="inlineStr">
        <is>
          <t>OVANÅKER</t>
        </is>
      </c>
      <c r="G813" t="n">
        <v>3.6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42567-2023</t>
        </is>
      </c>
      <c r="B814" s="1" t="n">
        <v>45181</v>
      </c>
      <c r="C814" s="1" t="n">
        <v>45838</v>
      </c>
      <c r="D814" t="inlineStr">
        <is>
          <t>GÄVLEBORGS LÄN</t>
        </is>
      </c>
      <c r="E814" t="inlineStr">
        <is>
          <t>OVANÅKER</t>
        </is>
      </c>
      <c r="G814" t="n">
        <v>2.2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43021-2023</t>
        </is>
      </c>
      <c r="B815" s="1" t="n">
        <v>45182</v>
      </c>
      <c r="C815" s="1" t="n">
        <v>45838</v>
      </c>
      <c r="D815" t="inlineStr">
        <is>
          <t>GÄVLEBORGS LÄN</t>
        </is>
      </c>
      <c r="E815" t="inlineStr">
        <is>
          <t>OVANÅKER</t>
        </is>
      </c>
      <c r="G815" t="n">
        <v>0.6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43023-2023</t>
        </is>
      </c>
      <c r="B816" s="1" t="n">
        <v>45182</v>
      </c>
      <c r="C816" s="1" t="n">
        <v>45838</v>
      </c>
      <c r="D816" t="inlineStr">
        <is>
          <t>GÄVLEBORGS LÄN</t>
        </is>
      </c>
      <c r="E816" t="inlineStr">
        <is>
          <t>OVANÅKER</t>
        </is>
      </c>
      <c r="G816" t="n">
        <v>1.5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43145-2023</t>
        </is>
      </c>
      <c r="B817" s="1" t="n">
        <v>45183</v>
      </c>
      <c r="C817" s="1" t="n">
        <v>45838</v>
      </c>
      <c r="D817" t="inlineStr">
        <is>
          <t>GÄVLEBORGS LÄN</t>
        </is>
      </c>
      <c r="E817" t="inlineStr">
        <is>
          <t>OVANÅKER</t>
        </is>
      </c>
      <c r="G817" t="n">
        <v>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43169-2023</t>
        </is>
      </c>
      <c r="B818" s="1" t="n">
        <v>45183</v>
      </c>
      <c r="C818" s="1" t="n">
        <v>45838</v>
      </c>
      <c r="D818" t="inlineStr">
        <is>
          <t>GÄVLEBORGS LÄN</t>
        </is>
      </c>
      <c r="E818" t="inlineStr">
        <is>
          <t>OVANÅKER</t>
        </is>
      </c>
      <c r="G818" t="n">
        <v>0.5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43274-2023</t>
        </is>
      </c>
      <c r="B819" s="1" t="n">
        <v>45183</v>
      </c>
      <c r="C819" s="1" t="n">
        <v>45838</v>
      </c>
      <c r="D819" t="inlineStr">
        <is>
          <t>GÄVLEBORGS LÄN</t>
        </is>
      </c>
      <c r="E819" t="inlineStr">
        <is>
          <t>OVANÅKER</t>
        </is>
      </c>
      <c r="G819" t="n">
        <v>0.6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43299-2023</t>
        </is>
      </c>
      <c r="B820" s="1" t="n">
        <v>45183</v>
      </c>
      <c r="C820" s="1" t="n">
        <v>45838</v>
      </c>
      <c r="D820" t="inlineStr">
        <is>
          <t>GÄVLEBORGS LÄN</t>
        </is>
      </c>
      <c r="E820" t="inlineStr">
        <is>
          <t>OVANÅKER</t>
        </is>
      </c>
      <c r="G820" t="n">
        <v>0.6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43259-2023</t>
        </is>
      </c>
      <c r="B821" s="1" t="n">
        <v>45183</v>
      </c>
      <c r="C821" s="1" t="n">
        <v>45838</v>
      </c>
      <c r="D821" t="inlineStr">
        <is>
          <t>GÄVLEBORGS LÄN</t>
        </is>
      </c>
      <c r="E821" t="inlineStr">
        <is>
          <t>OVANÅKER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44089-2023</t>
        </is>
      </c>
      <c r="B822" s="1" t="n">
        <v>45188</v>
      </c>
      <c r="C822" s="1" t="n">
        <v>45838</v>
      </c>
      <c r="D822" t="inlineStr">
        <is>
          <t>GÄVLEBORGS LÄN</t>
        </is>
      </c>
      <c r="E822" t="inlineStr">
        <is>
          <t>OVANÅKER</t>
        </is>
      </c>
      <c r="G822" t="n">
        <v>1.4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44344-2023</t>
        </is>
      </c>
      <c r="B823" s="1" t="n">
        <v>45188</v>
      </c>
      <c r="C823" s="1" t="n">
        <v>45838</v>
      </c>
      <c r="D823" t="inlineStr">
        <is>
          <t>GÄVLEBORGS LÄN</t>
        </is>
      </c>
      <c r="E823" t="inlineStr">
        <is>
          <t>OVANÅKER</t>
        </is>
      </c>
      <c r="G823" t="n">
        <v>1.6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44343-2023</t>
        </is>
      </c>
      <c r="B824" s="1" t="n">
        <v>45188</v>
      </c>
      <c r="C824" s="1" t="n">
        <v>45838</v>
      </c>
      <c r="D824" t="inlineStr">
        <is>
          <t>GÄVLEBORGS LÄN</t>
        </is>
      </c>
      <c r="E824" t="inlineStr">
        <is>
          <t>OVANÅKER</t>
        </is>
      </c>
      <c r="G824" t="n">
        <v>1.2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44347-2023</t>
        </is>
      </c>
      <c r="B825" s="1" t="n">
        <v>45188</v>
      </c>
      <c r="C825" s="1" t="n">
        <v>45838</v>
      </c>
      <c r="D825" t="inlineStr">
        <is>
          <t>GÄVLEBORGS LÄN</t>
        </is>
      </c>
      <c r="E825" t="inlineStr">
        <is>
          <t>OVANÅKER</t>
        </is>
      </c>
      <c r="G825" t="n">
        <v>4.1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44346-2023</t>
        </is>
      </c>
      <c r="B826" s="1" t="n">
        <v>45188</v>
      </c>
      <c r="C826" s="1" t="n">
        <v>45838</v>
      </c>
      <c r="D826" t="inlineStr">
        <is>
          <t>GÄVLEBORGS LÄN</t>
        </is>
      </c>
      <c r="E826" t="inlineStr">
        <is>
          <t>OVANÅKER</t>
        </is>
      </c>
      <c r="G826" t="n">
        <v>1.1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44611-2023</t>
        </is>
      </c>
      <c r="B827" s="1" t="n">
        <v>45189</v>
      </c>
      <c r="C827" s="1" t="n">
        <v>45838</v>
      </c>
      <c r="D827" t="inlineStr">
        <is>
          <t>GÄVLEBORGS LÄN</t>
        </is>
      </c>
      <c r="E827" t="inlineStr">
        <is>
          <t>OVANÅKER</t>
        </is>
      </c>
      <c r="G827" t="n">
        <v>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44802-2023</t>
        </is>
      </c>
      <c r="B828" s="1" t="n">
        <v>45190</v>
      </c>
      <c r="C828" s="1" t="n">
        <v>45838</v>
      </c>
      <c r="D828" t="inlineStr">
        <is>
          <t>GÄVLEBORGS LÄN</t>
        </is>
      </c>
      <c r="E828" t="inlineStr">
        <is>
          <t>OVANÅKER</t>
        </is>
      </c>
      <c r="G828" t="n">
        <v>3.4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45680-2023</t>
        </is>
      </c>
      <c r="B829" s="1" t="n">
        <v>45195</v>
      </c>
      <c r="C829" s="1" t="n">
        <v>45838</v>
      </c>
      <c r="D829" t="inlineStr">
        <is>
          <t>GÄVLEBORGS LÄN</t>
        </is>
      </c>
      <c r="E829" t="inlineStr">
        <is>
          <t>OVANÅKER</t>
        </is>
      </c>
      <c r="G829" t="n">
        <v>2.2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46105-2023</t>
        </is>
      </c>
      <c r="B830" s="1" t="n">
        <v>45196</v>
      </c>
      <c r="C830" s="1" t="n">
        <v>45838</v>
      </c>
      <c r="D830" t="inlineStr">
        <is>
          <t>GÄVLEBORGS LÄN</t>
        </is>
      </c>
      <c r="E830" t="inlineStr">
        <is>
          <t>OVANÅKER</t>
        </is>
      </c>
      <c r="G830" t="n">
        <v>3.1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46210-2023</t>
        </is>
      </c>
      <c r="B831" s="1" t="n">
        <v>45196</v>
      </c>
      <c r="C831" s="1" t="n">
        <v>45838</v>
      </c>
      <c r="D831" t="inlineStr">
        <is>
          <t>GÄVLEBORGS LÄN</t>
        </is>
      </c>
      <c r="E831" t="inlineStr">
        <is>
          <t>OVANÅKER</t>
        </is>
      </c>
      <c r="G831" t="n">
        <v>5.9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46300-2023</t>
        </is>
      </c>
      <c r="B832" s="1" t="n">
        <v>45197</v>
      </c>
      <c r="C832" s="1" t="n">
        <v>45838</v>
      </c>
      <c r="D832" t="inlineStr">
        <is>
          <t>GÄVLEBORGS LÄN</t>
        </is>
      </c>
      <c r="E832" t="inlineStr">
        <is>
          <t>OVANÅKER</t>
        </is>
      </c>
      <c r="G832" t="n">
        <v>8.1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46286-2023</t>
        </is>
      </c>
      <c r="B833" s="1" t="n">
        <v>45197</v>
      </c>
      <c r="C833" s="1" t="n">
        <v>45838</v>
      </c>
      <c r="D833" t="inlineStr">
        <is>
          <t>GÄVLEBORGS LÄN</t>
        </is>
      </c>
      <c r="E833" t="inlineStr">
        <is>
          <t>OVANÅKER</t>
        </is>
      </c>
      <c r="G833" t="n">
        <v>2.4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46715-2023</t>
        </is>
      </c>
      <c r="B834" s="1" t="n">
        <v>45198</v>
      </c>
      <c r="C834" s="1" t="n">
        <v>45838</v>
      </c>
      <c r="D834" t="inlineStr">
        <is>
          <t>GÄVLEBORGS LÄN</t>
        </is>
      </c>
      <c r="E834" t="inlineStr">
        <is>
          <t>OVANÅKER</t>
        </is>
      </c>
      <c r="G834" t="n">
        <v>0.6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46652-2023</t>
        </is>
      </c>
      <c r="B835" s="1" t="n">
        <v>45198</v>
      </c>
      <c r="C835" s="1" t="n">
        <v>45838</v>
      </c>
      <c r="D835" t="inlineStr">
        <is>
          <t>GÄVLEBORGS LÄN</t>
        </is>
      </c>
      <c r="E835" t="inlineStr">
        <is>
          <t>OVANÅKER</t>
        </is>
      </c>
      <c r="G835" t="n">
        <v>4.2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46699-2023</t>
        </is>
      </c>
      <c r="B836" s="1" t="n">
        <v>45198</v>
      </c>
      <c r="C836" s="1" t="n">
        <v>45838</v>
      </c>
      <c r="D836" t="inlineStr">
        <is>
          <t>GÄVLEBORGS LÄN</t>
        </is>
      </c>
      <c r="E836" t="inlineStr">
        <is>
          <t>OVANÅKER</t>
        </is>
      </c>
      <c r="G836" t="n">
        <v>3.1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46706-2023</t>
        </is>
      </c>
      <c r="B837" s="1" t="n">
        <v>45198</v>
      </c>
      <c r="C837" s="1" t="n">
        <v>45838</v>
      </c>
      <c r="D837" t="inlineStr">
        <is>
          <t>GÄVLEBORGS LÄN</t>
        </is>
      </c>
      <c r="E837" t="inlineStr">
        <is>
          <t>OVANÅKER</t>
        </is>
      </c>
      <c r="G837" t="n">
        <v>3.7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47122-2023</t>
        </is>
      </c>
      <c r="B838" s="1" t="n">
        <v>45201</v>
      </c>
      <c r="C838" s="1" t="n">
        <v>45838</v>
      </c>
      <c r="D838" t="inlineStr">
        <is>
          <t>GÄVLEBORGS LÄN</t>
        </is>
      </c>
      <c r="E838" t="inlineStr">
        <is>
          <t>OVANÅKER</t>
        </is>
      </c>
      <c r="G838" t="n">
        <v>17.2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46962-2023</t>
        </is>
      </c>
      <c r="B839" s="1" t="n">
        <v>45201</v>
      </c>
      <c r="C839" s="1" t="n">
        <v>45838</v>
      </c>
      <c r="D839" t="inlineStr">
        <is>
          <t>GÄVLEBORGS LÄN</t>
        </is>
      </c>
      <c r="E839" t="inlineStr">
        <is>
          <t>OVANÅKER</t>
        </is>
      </c>
      <c r="F839" t="inlineStr">
        <is>
          <t>Kyrkan</t>
        </is>
      </c>
      <c r="G839" t="n">
        <v>4.1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48196-2023</t>
        </is>
      </c>
      <c r="B840" s="1" t="n">
        <v>45205</v>
      </c>
      <c r="C840" s="1" t="n">
        <v>45838</v>
      </c>
      <c r="D840" t="inlineStr">
        <is>
          <t>GÄVLEBORGS LÄN</t>
        </is>
      </c>
      <c r="E840" t="inlineStr">
        <is>
          <t>OVANÅKER</t>
        </is>
      </c>
      <c r="G840" t="n">
        <v>0.6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48268-2023</t>
        </is>
      </c>
      <c r="B841" s="1" t="n">
        <v>45205</v>
      </c>
      <c r="C841" s="1" t="n">
        <v>45838</v>
      </c>
      <c r="D841" t="inlineStr">
        <is>
          <t>GÄVLEBORGS LÄN</t>
        </is>
      </c>
      <c r="E841" t="inlineStr">
        <is>
          <t>OVANÅKER</t>
        </is>
      </c>
      <c r="G841" t="n">
        <v>3.4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48282-2023</t>
        </is>
      </c>
      <c r="B842" s="1" t="n">
        <v>45205</v>
      </c>
      <c r="C842" s="1" t="n">
        <v>45838</v>
      </c>
      <c r="D842" t="inlineStr">
        <is>
          <t>GÄVLEBORGS LÄN</t>
        </is>
      </c>
      <c r="E842" t="inlineStr">
        <is>
          <t>OVANÅKER</t>
        </is>
      </c>
      <c r="G842" t="n">
        <v>0.4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48274-2023</t>
        </is>
      </c>
      <c r="B843" s="1" t="n">
        <v>45205</v>
      </c>
      <c r="C843" s="1" t="n">
        <v>45838</v>
      </c>
      <c r="D843" t="inlineStr">
        <is>
          <t>GÄVLEBORGS LÄN</t>
        </is>
      </c>
      <c r="E843" t="inlineStr">
        <is>
          <t>OVANÅKER</t>
        </is>
      </c>
      <c r="G843" t="n">
        <v>1.1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48298-2023</t>
        </is>
      </c>
      <c r="B844" s="1" t="n">
        <v>45205</v>
      </c>
      <c r="C844" s="1" t="n">
        <v>45838</v>
      </c>
      <c r="D844" t="inlineStr">
        <is>
          <t>GÄVLEBORGS LÄN</t>
        </is>
      </c>
      <c r="E844" t="inlineStr">
        <is>
          <t>OVANÅKER</t>
        </is>
      </c>
      <c r="G844" t="n">
        <v>0.3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48312-2023</t>
        </is>
      </c>
      <c r="B845" s="1" t="n">
        <v>45205</v>
      </c>
      <c r="C845" s="1" t="n">
        <v>45838</v>
      </c>
      <c r="D845" t="inlineStr">
        <is>
          <t>GÄVLEBORGS LÄN</t>
        </is>
      </c>
      <c r="E845" t="inlineStr">
        <is>
          <t>OVANÅKER</t>
        </is>
      </c>
      <c r="G845" t="n">
        <v>1.7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48267-2023</t>
        </is>
      </c>
      <c r="B846" s="1" t="n">
        <v>45205</v>
      </c>
      <c r="C846" s="1" t="n">
        <v>45838</v>
      </c>
      <c r="D846" t="inlineStr">
        <is>
          <t>GÄVLEBORGS LÄN</t>
        </is>
      </c>
      <c r="E846" t="inlineStr">
        <is>
          <t>OVANÅKER</t>
        </is>
      </c>
      <c r="G846" t="n">
        <v>1.7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49178-2023</t>
        </is>
      </c>
      <c r="B847" s="1" t="n">
        <v>45210</v>
      </c>
      <c r="C847" s="1" t="n">
        <v>45838</v>
      </c>
      <c r="D847" t="inlineStr">
        <is>
          <t>GÄVLEBORGS LÄN</t>
        </is>
      </c>
      <c r="E847" t="inlineStr">
        <is>
          <t>OVANÅKER</t>
        </is>
      </c>
      <c r="F847" t="inlineStr">
        <is>
          <t>Bergvik skog öst AB</t>
        </is>
      </c>
      <c r="G847" t="n">
        <v>1.1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49125-2023</t>
        </is>
      </c>
      <c r="B848" s="1" t="n">
        <v>45210</v>
      </c>
      <c r="C848" s="1" t="n">
        <v>45838</v>
      </c>
      <c r="D848" t="inlineStr">
        <is>
          <t>GÄVLEBORGS LÄN</t>
        </is>
      </c>
      <c r="E848" t="inlineStr">
        <is>
          <t>OVANÅKER</t>
        </is>
      </c>
      <c r="G848" t="n">
        <v>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49204-2023</t>
        </is>
      </c>
      <c r="B849" s="1" t="n">
        <v>45210</v>
      </c>
      <c r="C849" s="1" t="n">
        <v>45838</v>
      </c>
      <c r="D849" t="inlineStr">
        <is>
          <t>GÄVLEBORGS LÄN</t>
        </is>
      </c>
      <c r="E849" t="inlineStr">
        <is>
          <t>OVANÅKER</t>
        </is>
      </c>
      <c r="G849" t="n">
        <v>3.5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49237-2023</t>
        </is>
      </c>
      <c r="B850" s="1" t="n">
        <v>45210</v>
      </c>
      <c r="C850" s="1" t="n">
        <v>45838</v>
      </c>
      <c r="D850" t="inlineStr">
        <is>
          <t>GÄVLEBORGS LÄN</t>
        </is>
      </c>
      <c r="E850" t="inlineStr">
        <is>
          <t>OVANÅKER</t>
        </is>
      </c>
      <c r="G850" t="n">
        <v>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49190-2023</t>
        </is>
      </c>
      <c r="B851" s="1" t="n">
        <v>45210</v>
      </c>
      <c r="C851" s="1" t="n">
        <v>45838</v>
      </c>
      <c r="D851" t="inlineStr">
        <is>
          <t>GÄVLEBORGS LÄN</t>
        </is>
      </c>
      <c r="E851" t="inlineStr">
        <is>
          <t>OVANÅKER</t>
        </is>
      </c>
      <c r="G851" t="n">
        <v>3.1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49194-2023</t>
        </is>
      </c>
      <c r="B852" s="1" t="n">
        <v>45210</v>
      </c>
      <c r="C852" s="1" t="n">
        <v>45838</v>
      </c>
      <c r="D852" t="inlineStr">
        <is>
          <t>GÄVLEBORGS LÄN</t>
        </is>
      </c>
      <c r="E852" t="inlineStr">
        <is>
          <t>OVANÅKER</t>
        </is>
      </c>
      <c r="G852" t="n">
        <v>1.6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49548-2023</t>
        </is>
      </c>
      <c r="B853" s="1" t="n">
        <v>45211</v>
      </c>
      <c r="C853" s="1" t="n">
        <v>45838</v>
      </c>
      <c r="D853" t="inlineStr">
        <is>
          <t>GÄVLEBORGS LÄN</t>
        </is>
      </c>
      <c r="E853" t="inlineStr">
        <is>
          <t>OVANÅKER</t>
        </is>
      </c>
      <c r="G853" t="n">
        <v>5.6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49511-2023</t>
        </is>
      </c>
      <c r="B854" s="1" t="n">
        <v>45211</v>
      </c>
      <c r="C854" s="1" t="n">
        <v>45838</v>
      </c>
      <c r="D854" t="inlineStr">
        <is>
          <t>GÄVLEBORGS LÄN</t>
        </is>
      </c>
      <c r="E854" t="inlineStr">
        <is>
          <t>OVANÅKER</t>
        </is>
      </c>
      <c r="F854" t="inlineStr">
        <is>
          <t>Holmen skog AB</t>
        </is>
      </c>
      <c r="G854" t="n">
        <v>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49554-2023</t>
        </is>
      </c>
      <c r="B855" s="1" t="n">
        <v>45211</v>
      </c>
      <c r="C855" s="1" t="n">
        <v>45838</v>
      </c>
      <c r="D855" t="inlineStr">
        <is>
          <t>GÄVLEBORGS LÄN</t>
        </is>
      </c>
      <c r="E855" t="inlineStr">
        <is>
          <t>OVANÅKER</t>
        </is>
      </c>
      <c r="G855" t="n">
        <v>1.4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50237-2023</t>
        </is>
      </c>
      <c r="B856" s="1" t="n">
        <v>45216</v>
      </c>
      <c r="C856" s="1" t="n">
        <v>45838</v>
      </c>
      <c r="D856" t="inlineStr">
        <is>
          <t>GÄVLEBORGS LÄN</t>
        </is>
      </c>
      <c r="E856" t="inlineStr">
        <is>
          <t>OVANÅKER</t>
        </is>
      </c>
      <c r="G856" t="n">
        <v>3.3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50340-2023</t>
        </is>
      </c>
      <c r="B857" s="1" t="n">
        <v>45216</v>
      </c>
      <c r="C857" s="1" t="n">
        <v>45838</v>
      </c>
      <c r="D857" t="inlineStr">
        <is>
          <t>GÄVLEBORGS LÄN</t>
        </is>
      </c>
      <c r="E857" t="inlineStr">
        <is>
          <t>OVANÅKER</t>
        </is>
      </c>
      <c r="G857" t="n">
        <v>2.1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50239-2023</t>
        </is>
      </c>
      <c r="B858" s="1" t="n">
        <v>45216</v>
      </c>
      <c r="C858" s="1" t="n">
        <v>45838</v>
      </c>
      <c r="D858" t="inlineStr">
        <is>
          <t>GÄVLEBORGS LÄN</t>
        </is>
      </c>
      <c r="E858" t="inlineStr">
        <is>
          <t>OVANÅKER</t>
        </is>
      </c>
      <c r="G858" t="n">
        <v>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50236-2023</t>
        </is>
      </c>
      <c r="B859" s="1" t="n">
        <v>45216</v>
      </c>
      <c r="C859" s="1" t="n">
        <v>45838</v>
      </c>
      <c r="D859" t="inlineStr">
        <is>
          <t>GÄVLEBORGS LÄN</t>
        </is>
      </c>
      <c r="E859" t="inlineStr">
        <is>
          <t>OVANÅKER</t>
        </is>
      </c>
      <c r="G859" t="n">
        <v>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50550-2023</t>
        </is>
      </c>
      <c r="B860" s="1" t="n">
        <v>45217</v>
      </c>
      <c r="C860" s="1" t="n">
        <v>45838</v>
      </c>
      <c r="D860" t="inlineStr">
        <is>
          <t>GÄVLEBORGS LÄN</t>
        </is>
      </c>
      <c r="E860" t="inlineStr">
        <is>
          <t>OVANÅKER</t>
        </is>
      </c>
      <c r="G860" t="n">
        <v>0.7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50556-2023</t>
        </is>
      </c>
      <c r="B861" s="1" t="n">
        <v>45217</v>
      </c>
      <c r="C861" s="1" t="n">
        <v>45838</v>
      </c>
      <c r="D861" t="inlineStr">
        <is>
          <t>GÄVLEBORGS LÄN</t>
        </is>
      </c>
      <c r="E861" t="inlineStr">
        <is>
          <t>OVANÅKER</t>
        </is>
      </c>
      <c r="G861" t="n">
        <v>0.8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50740-2023</t>
        </is>
      </c>
      <c r="B862" s="1" t="n">
        <v>45217</v>
      </c>
      <c r="C862" s="1" t="n">
        <v>45838</v>
      </c>
      <c r="D862" t="inlineStr">
        <is>
          <t>GÄVLEBORGS LÄN</t>
        </is>
      </c>
      <c r="E862" t="inlineStr">
        <is>
          <t>OVANÅKER</t>
        </is>
      </c>
      <c r="G862" t="n">
        <v>0.9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50744-2023</t>
        </is>
      </c>
      <c r="B863" s="1" t="n">
        <v>45217</v>
      </c>
      <c r="C863" s="1" t="n">
        <v>45838</v>
      </c>
      <c r="D863" t="inlineStr">
        <is>
          <t>GÄVLEBORGS LÄN</t>
        </is>
      </c>
      <c r="E863" t="inlineStr">
        <is>
          <t>OVANÅKER</t>
        </is>
      </c>
      <c r="G863" t="n">
        <v>1.8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50559-2023</t>
        </is>
      </c>
      <c r="B864" s="1" t="n">
        <v>45217</v>
      </c>
      <c r="C864" s="1" t="n">
        <v>45838</v>
      </c>
      <c r="D864" t="inlineStr">
        <is>
          <t>GÄVLEBORGS LÄN</t>
        </is>
      </c>
      <c r="E864" t="inlineStr">
        <is>
          <t>OVANÅKER</t>
        </is>
      </c>
      <c r="G864" t="n">
        <v>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50752-2023</t>
        </is>
      </c>
      <c r="B865" s="1" t="n">
        <v>45217</v>
      </c>
      <c r="C865" s="1" t="n">
        <v>45838</v>
      </c>
      <c r="D865" t="inlineStr">
        <is>
          <t>GÄVLEBORGS LÄN</t>
        </is>
      </c>
      <c r="E865" t="inlineStr">
        <is>
          <t>OVANÅKER</t>
        </is>
      </c>
      <c r="F865" t="inlineStr">
        <is>
          <t>Bergvik skog väst AB</t>
        </is>
      </c>
      <c r="G865" t="n">
        <v>3.3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50601-2023</t>
        </is>
      </c>
      <c r="B866" s="1" t="n">
        <v>45217</v>
      </c>
      <c r="C866" s="1" t="n">
        <v>45838</v>
      </c>
      <c r="D866" t="inlineStr">
        <is>
          <t>GÄVLEBORGS LÄN</t>
        </is>
      </c>
      <c r="E866" t="inlineStr">
        <is>
          <t>OVANÅKER</t>
        </is>
      </c>
      <c r="G866" t="n">
        <v>4.3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50620-2023</t>
        </is>
      </c>
      <c r="B867" s="1" t="n">
        <v>45217</v>
      </c>
      <c r="C867" s="1" t="n">
        <v>45838</v>
      </c>
      <c r="D867" t="inlineStr">
        <is>
          <t>GÄVLEBORGS LÄN</t>
        </is>
      </c>
      <c r="E867" t="inlineStr">
        <is>
          <t>OVANÅKER</t>
        </is>
      </c>
      <c r="G867" t="n">
        <v>3.5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50651-2023</t>
        </is>
      </c>
      <c r="B868" s="1" t="n">
        <v>45217</v>
      </c>
      <c r="C868" s="1" t="n">
        <v>45838</v>
      </c>
      <c r="D868" t="inlineStr">
        <is>
          <t>GÄVLEBORGS LÄN</t>
        </is>
      </c>
      <c r="E868" t="inlineStr">
        <is>
          <t>OVANÅKER</t>
        </is>
      </c>
      <c r="G868" t="n">
        <v>1.7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50786-2023</t>
        </is>
      </c>
      <c r="B869" s="1" t="n">
        <v>45217</v>
      </c>
      <c r="C869" s="1" t="n">
        <v>45838</v>
      </c>
      <c r="D869" t="inlineStr">
        <is>
          <t>GÄVLEBORGS LÄN</t>
        </is>
      </c>
      <c r="E869" t="inlineStr">
        <is>
          <t>OVANÅKER</t>
        </is>
      </c>
      <c r="G869" t="n">
        <v>0.7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50823-2023</t>
        </is>
      </c>
      <c r="B870" s="1" t="n">
        <v>45218</v>
      </c>
      <c r="C870" s="1" t="n">
        <v>45838</v>
      </c>
      <c r="D870" t="inlineStr">
        <is>
          <t>GÄVLEBORGS LÄN</t>
        </is>
      </c>
      <c r="E870" t="inlineStr">
        <is>
          <t>OVANÅKER</t>
        </is>
      </c>
      <c r="G870" t="n">
        <v>3.6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50758-2023</t>
        </is>
      </c>
      <c r="B871" s="1" t="n">
        <v>45217</v>
      </c>
      <c r="C871" s="1" t="n">
        <v>45838</v>
      </c>
      <c r="D871" t="inlineStr">
        <is>
          <t>GÄVLEBORGS LÄN</t>
        </is>
      </c>
      <c r="E871" t="inlineStr">
        <is>
          <t>OVANÅKER</t>
        </is>
      </c>
      <c r="F871" t="inlineStr">
        <is>
          <t>Bergvik skog väst AB</t>
        </is>
      </c>
      <c r="G871" t="n">
        <v>10.7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50769-2023</t>
        </is>
      </c>
      <c r="B872" s="1" t="n">
        <v>45217</v>
      </c>
      <c r="C872" s="1" t="n">
        <v>45838</v>
      </c>
      <c r="D872" t="inlineStr">
        <is>
          <t>GÄVLEBORGS LÄN</t>
        </is>
      </c>
      <c r="E872" t="inlineStr">
        <is>
          <t>OVANÅKER</t>
        </is>
      </c>
      <c r="G872" t="n">
        <v>1.6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50776-2023</t>
        </is>
      </c>
      <c r="B873" s="1" t="n">
        <v>45217</v>
      </c>
      <c r="C873" s="1" t="n">
        <v>45838</v>
      </c>
      <c r="D873" t="inlineStr">
        <is>
          <t>GÄVLEBORGS LÄN</t>
        </is>
      </c>
      <c r="E873" t="inlineStr">
        <is>
          <t>OVANÅKER</t>
        </is>
      </c>
      <c r="G873" t="n">
        <v>2.5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50824-2023</t>
        </is>
      </c>
      <c r="B874" s="1" t="n">
        <v>45217</v>
      </c>
      <c r="C874" s="1" t="n">
        <v>45838</v>
      </c>
      <c r="D874" t="inlineStr">
        <is>
          <t>GÄVLEBORGS LÄN</t>
        </is>
      </c>
      <c r="E874" t="inlineStr">
        <is>
          <t>OVANÅKER</t>
        </is>
      </c>
      <c r="G874" t="n">
        <v>1.3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51002-2023</t>
        </is>
      </c>
      <c r="B875" s="1" t="n">
        <v>45218</v>
      </c>
      <c r="C875" s="1" t="n">
        <v>45838</v>
      </c>
      <c r="D875" t="inlineStr">
        <is>
          <t>GÄVLEBORGS LÄN</t>
        </is>
      </c>
      <c r="E875" t="inlineStr">
        <is>
          <t>OVANÅKER</t>
        </is>
      </c>
      <c r="G875" t="n">
        <v>1.4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51234-2023</t>
        </is>
      </c>
      <c r="B876" s="1" t="n">
        <v>45219</v>
      </c>
      <c r="C876" s="1" t="n">
        <v>45838</v>
      </c>
      <c r="D876" t="inlineStr">
        <is>
          <t>GÄVLEBORGS LÄN</t>
        </is>
      </c>
      <c r="E876" t="inlineStr">
        <is>
          <t>OVANÅKER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51486-2023</t>
        </is>
      </c>
      <c r="B877" s="1" t="n">
        <v>45222</v>
      </c>
      <c r="C877" s="1" t="n">
        <v>45838</v>
      </c>
      <c r="D877" t="inlineStr">
        <is>
          <t>GÄVLEBORGS LÄN</t>
        </is>
      </c>
      <c r="E877" t="inlineStr">
        <is>
          <t>OVANÅKER</t>
        </is>
      </c>
      <c r="G877" t="n">
        <v>0.9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51487-2023</t>
        </is>
      </c>
      <c r="B878" s="1" t="n">
        <v>45222</v>
      </c>
      <c r="C878" s="1" t="n">
        <v>45838</v>
      </c>
      <c r="D878" t="inlineStr">
        <is>
          <t>GÄVLEBORGS LÄN</t>
        </is>
      </c>
      <c r="E878" t="inlineStr">
        <is>
          <t>OVANÅKER</t>
        </is>
      </c>
      <c r="G878" t="n">
        <v>0.7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51850-2023</t>
        </is>
      </c>
      <c r="B879" s="1" t="n">
        <v>45223</v>
      </c>
      <c r="C879" s="1" t="n">
        <v>45838</v>
      </c>
      <c r="D879" t="inlineStr">
        <is>
          <t>GÄVLEBORGS LÄN</t>
        </is>
      </c>
      <c r="E879" t="inlineStr">
        <is>
          <t>OVANÅKER</t>
        </is>
      </c>
      <c r="G879" t="n">
        <v>0.7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51854-2023</t>
        </is>
      </c>
      <c r="B880" s="1" t="n">
        <v>45223</v>
      </c>
      <c r="C880" s="1" t="n">
        <v>45838</v>
      </c>
      <c r="D880" t="inlineStr">
        <is>
          <t>GÄVLEBORGS LÄN</t>
        </is>
      </c>
      <c r="E880" t="inlineStr">
        <is>
          <t>OVANÅKER</t>
        </is>
      </c>
      <c r="G880" t="n">
        <v>2.1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51924-2023</t>
        </is>
      </c>
      <c r="B881" s="1" t="n">
        <v>45223</v>
      </c>
      <c r="C881" s="1" t="n">
        <v>45838</v>
      </c>
      <c r="D881" t="inlineStr">
        <is>
          <t>GÄVLEBORGS LÄN</t>
        </is>
      </c>
      <c r="E881" t="inlineStr">
        <is>
          <t>OVANÅKER</t>
        </is>
      </c>
      <c r="G881" t="n">
        <v>1.2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51861-2023</t>
        </is>
      </c>
      <c r="B882" s="1" t="n">
        <v>45223</v>
      </c>
      <c r="C882" s="1" t="n">
        <v>45838</v>
      </c>
      <c r="D882" t="inlineStr">
        <is>
          <t>GÄVLEBORGS LÄN</t>
        </is>
      </c>
      <c r="E882" t="inlineStr">
        <is>
          <t>OVANÅKER</t>
        </is>
      </c>
      <c r="G882" t="n">
        <v>1.3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53508-2023</t>
        </is>
      </c>
      <c r="B883" s="1" t="n">
        <v>45223</v>
      </c>
      <c r="C883" s="1" t="n">
        <v>45838</v>
      </c>
      <c r="D883" t="inlineStr">
        <is>
          <t>GÄVLEBORGS LÄN</t>
        </is>
      </c>
      <c r="E883" t="inlineStr">
        <is>
          <t>OVANÅKER</t>
        </is>
      </c>
      <c r="G883" t="n">
        <v>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53506-2023</t>
        </is>
      </c>
      <c r="B884" s="1" t="n">
        <v>45223</v>
      </c>
      <c r="C884" s="1" t="n">
        <v>45838</v>
      </c>
      <c r="D884" t="inlineStr">
        <is>
          <t>GÄVLEBORGS LÄN</t>
        </is>
      </c>
      <c r="E884" t="inlineStr">
        <is>
          <t>OVANÅKER</t>
        </is>
      </c>
      <c r="G884" t="n">
        <v>2.1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52165-2023</t>
        </is>
      </c>
      <c r="B885" s="1" t="n">
        <v>45224</v>
      </c>
      <c r="C885" s="1" t="n">
        <v>45838</v>
      </c>
      <c r="D885" t="inlineStr">
        <is>
          <t>GÄVLEBORGS LÄN</t>
        </is>
      </c>
      <c r="E885" t="inlineStr">
        <is>
          <t>OVANÅKER</t>
        </is>
      </c>
      <c r="G885" t="n">
        <v>1.5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52158-2023</t>
        </is>
      </c>
      <c r="B886" s="1" t="n">
        <v>45224</v>
      </c>
      <c r="C886" s="1" t="n">
        <v>45838</v>
      </c>
      <c r="D886" t="inlineStr">
        <is>
          <t>GÄVLEBORGS LÄN</t>
        </is>
      </c>
      <c r="E886" t="inlineStr">
        <is>
          <t>OVANÅKER</t>
        </is>
      </c>
      <c r="G886" t="n">
        <v>0.4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52162-2023</t>
        </is>
      </c>
      <c r="B887" s="1" t="n">
        <v>45224</v>
      </c>
      <c r="C887" s="1" t="n">
        <v>45838</v>
      </c>
      <c r="D887" t="inlineStr">
        <is>
          <t>GÄVLEBORGS LÄN</t>
        </is>
      </c>
      <c r="E887" t="inlineStr">
        <is>
          <t>OVANÅKER</t>
        </is>
      </c>
      <c r="G887" t="n">
        <v>1.9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52423-2023</t>
        </is>
      </c>
      <c r="B888" s="1" t="n">
        <v>45225</v>
      </c>
      <c r="C888" s="1" t="n">
        <v>45838</v>
      </c>
      <c r="D888" t="inlineStr">
        <is>
          <t>GÄVLEBORGS LÄN</t>
        </is>
      </c>
      <c r="E888" t="inlineStr">
        <is>
          <t>OVANÅKER</t>
        </is>
      </c>
      <c r="G888" t="n">
        <v>3.4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52514-2023</t>
        </is>
      </c>
      <c r="B889" s="1" t="n">
        <v>45225</v>
      </c>
      <c r="C889" s="1" t="n">
        <v>45838</v>
      </c>
      <c r="D889" t="inlineStr">
        <is>
          <t>GÄVLEBORGS LÄN</t>
        </is>
      </c>
      <c r="E889" t="inlineStr">
        <is>
          <t>OVANÅKER</t>
        </is>
      </c>
      <c r="G889" t="n">
        <v>1.1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52491-2023</t>
        </is>
      </c>
      <c r="B890" s="1" t="n">
        <v>45225</v>
      </c>
      <c r="C890" s="1" t="n">
        <v>45838</v>
      </c>
      <c r="D890" t="inlineStr">
        <is>
          <t>GÄVLEBORGS LÄN</t>
        </is>
      </c>
      <c r="E890" t="inlineStr">
        <is>
          <t>OVANÅKER</t>
        </is>
      </c>
      <c r="G890" t="n">
        <v>4.6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54099-2023</t>
        </is>
      </c>
      <c r="B891" s="1" t="n">
        <v>45225</v>
      </c>
      <c r="C891" s="1" t="n">
        <v>45838</v>
      </c>
      <c r="D891" t="inlineStr">
        <is>
          <t>GÄVLEBORGS LÄN</t>
        </is>
      </c>
      <c r="E891" t="inlineStr">
        <is>
          <t>OVANÅKER</t>
        </is>
      </c>
      <c r="G891" t="n">
        <v>2.5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53604-2023</t>
        </is>
      </c>
      <c r="B892" s="1" t="n">
        <v>45230</v>
      </c>
      <c r="C892" s="1" t="n">
        <v>45838</v>
      </c>
      <c r="D892" t="inlineStr">
        <is>
          <t>GÄVLEBORGS LÄN</t>
        </is>
      </c>
      <c r="E892" t="inlineStr">
        <is>
          <t>OVANÅKER</t>
        </is>
      </c>
      <c r="G892" t="n">
        <v>1.2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53631-2023</t>
        </is>
      </c>
      <c r="B893" s="1" t="n">
        <v>45230</v>
      </c>
      <c r="C893" s="1" t="n">
        <v>45838</v>
      </c>
      <c r="D893" t="inlineStr">
        <is>
          <t>GÄVLEBORGS LÄN</t>
        </is>
      </c>
      <c r="E893" t="inlineStr">
        <is>
          <t>OVANÅKER</t>
        </is>
      </c>
      <c r="G893" t="n">
        <v>0.9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53711-2023</t>
        </is>
      </c>
      <c r="B894" s="1" t="n">
        <v>45230</v>
      </c>
      <c r="C894" s="1" t="n">
        <v>45838</v>
      </c>
      <c r="D894" t="inlineStr">
        <is>
          <t>GÄVLEBORGS LÄN</t>
        </is>
      </c>
      <c r="E894" t="inlineStr">
        <is>
          <t>OVANÅKER</t>
        </is>
      </c>
      <c r="G894" t="n">
        <v>2.9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53525-2023</t>
        </is>
      </c>
      <c r="B895" s="1" t="n">
        <v>45230</v>
      </c>
      <c r="C895" s="1" t="n">
        <v>45838</v>
      </c>
      <c r="D895" t="inlineStr">
        <is>
          <t>GÄVLEBORGS LÄN</t>
        </is>
      </c>
      <c r="E895" t="inlineStr">
        <is>
          <t>OVANÅKER</t>
        </is>
      </c>
      <c r="F895" t="inlineStr">
        <is>
          <t>Bergvik skog öst AB</t>
        </is>
      </c>
      <c r="G895" t="n">
        <v>3.7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53510-2023</t>
        </is>
      </c>
      <c r="B896" s="1" t="n">
        <v>45230</v>
      </c>
      <c r="C896" s="1" t="n">
        <v>45838</v>
      </c>
      <c r="D896" t="inlineStr">
        <is>
          <t>GÄVLEBORGS LÄN</t>
        </is>
      </c>
      <c r="E896" t="inlineStr">
        <is>
          <t>OVANÅKER</t>
        </is>
      </c>
      <c r="F896" t="inlineStr">
        <is>
          <t>Bergvik skog öst AB</t>
        </is>
      </c>
      <c r="G896" t="n">
        <v>5.1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53818-2023</t>
        </is>
      </c>
      <c r="B897" s="1" t="n">
        <v>45231</v>
      </c>
      <c r="C897" s="1" t="n">
        <v>45838</v>
      </c>
      <c r="D897" t="inlineStr">
        <is>
          <t>GÄVLEBORGS LÄN</t>
        </is>
      </c>
      <c r="E897" t="inlineStr">
        <is>
          <t>OVANÅKER</t>
        </is>
      </c>
      <c r="G897" t="n">
        <v>0.9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53845-2023</t>
        </is>
      </c>
      <c r="B898" s="1" t="n">
        <v>45231</v>
      </c>
      <c r="C898" s="1" t="n">
        <v>45838</v>
      </c>
      <c r="D898" t="inlineStr">
        <is>
          <t>GÄVLEBORGS LÄN</t>
        </is>
      </c>
      <c r="E898" t="inlineStr">
        <is>
          <t>OVANÅKER</t>
        </is>
      </c>
      <c r="G898" t="n">
        <v>0.6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53821-2023</t>
        </is>
      </c>
      <c r="B899" s="1" t="n">
        <v>45231</v>
      </c>
      <c r="C899" s="1" t="n">
        <v>45838</v>
      </c>
      <c r="D899" t="inlineStr">
        <is>
          <t>GÄVLEBORGS LÄN</t>
        </is>
      </c>
      <c r="E899" t="inlineStr">
        <is>
          <t>OVANÅKER</t>
        </is>
      </c>
      <c r="G899" t="n">
        <v>1.6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53826-2023</t>
        </is>
      </c>
      <c r="B900" s="1" t="n">
        <v>45231</v>
      </c>
      <c r="C900" s="1" t="n">
        <v>45838</v>
      </c>
      <c r="D900" t="inlineStr">
        <is>
          <t>GÄVLEBORGS LÄN</t>
        </is>
      </c>
      <c r="E900" t="inlineStr">
        <is>
          <t>OVANÅKER</t>
        </is>
      </c>
      <c r="G900" t="n">
        <v>0.6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53926-2023</t>
        </is>
      </c>
      <c r="B901" s="1" t="n">
        <v>45231</v>
      </c>
      <c r="C901" s="1" t="n">
        <v>45838</v>
      </c>
      <c r="D901" t="inlineStr">
        <is>
          <t>GÄVLEBORGS LÄN</t>
        </is>
      </c>
      <c r="E901" t="inlineStr">
        <is>
          <t>OVANÅKER</t>
        </is>
      </c>
      <c r="G901" t="n">
        <v>0.8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54559-2023</t>
        </is>
      </c>
      <c r="B902" s="1" t="n">
        <v>45233</v>
      </c>
      <c r="C902" s="1" t="n">
        <v>45838</v>
      </c>
      <c r="D902" t="inlineStr">
        <is>
          <t>GÄVLEBORGS LÄN</t>
        </is>
      </c>
      <c r="E902" t="inlineStr">
        <is>
          <t>OVANÅKER</t>
        </is>
      </c>
      <c r="G902" t="n">
        <v>0.9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55129-2023</t>
        </is>
      </c>
      <c r="B903" s="1" t="n">
        <v>45237</v>
      </c>
      <c r="C903" s="1" t="n">
        <v>45838</v>
      </c>
      <c r="D903" t="inlineStr">
        <is>
          <t>GÄVLEBORGS LÄN</t>
        </is>
      </c>
      <c r="E903" t="inlineStr">
        <is>
          <t>OVANÅKER</t>
        </is>
      </c>
      <c r="G903" t="n">
        <v>0.6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55281-2023</t>
        </is>
      </c>
      <c r="B904" s="1" t="n">
        <v>45237</v>
      </c>
      <c r="C904" s="1" t="n">
        <v>45838</v>
      </c>
      <c r="D904" t="inlineStr">
        <is>
          <t>GÄVLEBORGS LÄN</t>
        </is>
      </c>
      <c r="E904" t="inlineStr">
        <is>
          <t>OVANÅKER</t>
        </is>
      </c>
      <c r="G904" t="n">
        <v>1.3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55423-2023</t>
        </is>
      </c>
      <c r="B905" s="1" t="n">
        <v>45238</v>
      </c>
      <c r="C905" s="1" t="n">
        <v>45838</v>
      </c>
      <c r="D905" t="inlineStr">
        <is>
          <t>GÄVLEBORGS LÄN</t>
        </is>
      </c>
      <c r="E905" t="inlineStr">
        <is>
          <t>OVANÅKER</t>
        </is>
      </c>
      <c r="G905" t="n">
        <v>1.3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55489-2023</t>
        </is>
      </c>
      <c r="B906" s="1" t="n">
        <v>45238</v>
      </c>
      <c r="C906" s="1" t="n">
        <v>45838</v>
      </c>
      <c r="D906" t="inlineStr">
        <is>
          <t>GÄVLEBORGS LÄN</t>
        </is>
      </c>
      <c r="E906" t="inlineStr">
        <is>
          <t>OVANÅKER</t>
        </is>
      </c>
      <c r="G906" t="n">
        <v>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55507-2023</t>
        </is>
      </c>
      <c r="B907" s="1" t="n">
        <v>45238</v>
      </c>
      <c r="C907" s="1" t="n">
        <v>45838</v>
      </c>
      <c r="D907" t="inlineStr">
        <is>
          <t>GÄVLEBORGS LÄN</t>
        </is>
      </c>
      <c r="E907" t="inlineStr">
        <is>
          <t>OVANÅKER</t>
        </is>
      </c>
      <c r="G907" t="n">
        <v>3.8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55526-2023</t>
        </is>
      </c>
      <c r="B908" s="1" t="n">
        <v>45238</v>
      </c>
      <c r="C908" s="1" t="n">
        <v>45838</v>
      </c>
      <c r="D908" t="inlineStr">
        <is>
          <t>GÄVLEBORGS LÄN</t>
        </is>
      </c>
      <c r="E908" t="inlineStr">
        <is>
          <t>OVANÅKER</t>
        </is>
      </c>
      <c r="G908" t="n">
        <v>2.3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55811-2023</t>
        </is>
      </c>
      <c r="B909" s="1" t="n">
        <v>45239</v>
      </c>
      <c r="C909" s="1" t="n">
        <v>45838</v>
      </c>
      <c r="D909" t="inlineStr">
        <is>
          <t>GÄVLEBORGS LÄN</t>
        </is>
      </c>
      <c r="E909" t="inlineStr">
        <is>
          <t>OVANÅKER</t>
        </is>
      </c>
      <c r="G909" t="n">
        <v>2.1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56132-2023</t>
        </is>
      </c>
      <c r="B910" s="1" t="n">
        <v>45240</v>
      </c>
      <c r="C910" s="1" t="n">
        <v>45838</v>
      </c>
      <c r="D910" t="inlineStr">
        <is>
          <t>GÄVLEBORGS LÄN</t>
        </is>
      </c>
      <c r="E910" t="inlineStr">
        <is>
          <t>OVANÅKER</t>
        </is>
      </c>
      <c r="G910" t="n">
        <v>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56152-2023</t>
        </is>
      </c>
      <c r="B911" s="1" t="n">
        <v>45240</v>
      </c>
      <c r="C911" s="1" t="n">
        <v>45838</v>
      </c>
      <c r="D911" t="inlineStr">
        <is>
          <t>GÄVLEBORGS LÄN</t>
        </is>
      </c>
      <c r="E911" t="inlineStr">
        <is>
          <t>OVANÅKER</t>
        </is>
      </c>
      <c r="G911" t="n">
        <v>2.9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56127-2023</t>
        </is>
      </c>
      <c r="B912" s="1" t="n">
        <v>45240</v>
      </c>
      <c r="C912" s="1" t="n">
        <v>45838</v>
      </c>
      <c r="D912" t="inlineStr">
        <is>
          <t>GÄVLEBORGS LÄN</t>
        </is>
      </c>
      <c r="E912" t="inlineStr">
        <is>
          <t>OVANÅKER</t>
        </is>
      </c>
      <c r="G912" t="n">
        <v>0.4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56598-2023</t>
        </is>
      </c>
      <c r="B913" s="1" t="n">
        <v>45243</v>
      </c>
      <c r="C913" s="1" t="n">
        <v>45838</v>
      </c>
      <c r="D913" t="inlineStr">
        <is>
          <t>GÄVLEBORGS LÄN</t>
        </is>
      </c>
      <c r="E913" t="inlineStr">
        <is>
          <t>OVANÅKER</t>
        </is>
      </c>
      <c r="G913" t="n">
        <v>1.6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56707-2023</t>
        </is>
      </c>
      <c r="B914" s="1" t="n">
        <v>45244</v>
      </c>
      <c r="C914" s="1" t="n">
        <v>45838</v>
      </c>
      <c r="D914" t="inlineStr">
        <is>
          <t>GÄVLEBORGS LÄN</t>
        </is>
      </c>
      <c r="E914" t="inlineStr">
        <is>
          <t>OVANÅKER</t>
        </is>
      </c>
      <c r="G914" t="n">
        <v>2.1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56708-2023</t>
        </is>
      </c>
      <c r="B915" s="1" t="n">
        <v>45244</v>
      </c>
      <c r="C915" s="1" t="n">
        <v>45838</v>
      </c>
      <c r="D915" t="inlineStr">
        <is>
          <t>GÄVLEBORGS LÄN</t>
        </is>
      </c>
      <c r="E915" t="inlineStr">
        <is>
          <t>OVANÅKER</t>
        </is>
      </c>
      <c r="G915" t="n">
        <v>0.8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57165-2023</t>
        </is>
      </c>
      <c r="B916" s="1" t="n">
        <v>45245</v>
      </c>
      <c r="C916" s="1" t="n">
        <v>45838</v>
      </c>
      <c r="D916" t="inlineStr">
        <is>
          <t>GÄVLEBORGS LÄN</t>
        </is>
      </c>
      <c r="E916" t="inlineStr">
        <is>
          <t>OVANÅKER</t>
        </is>
      </c>
      <c r="G916" t="n">
        <v>0.8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58543-2023</t>
        </is>
      </c>
      <c r="B917" s="1" t="n">
        <v>45251</v>
      </c>
      <c r="C917" s="1" t="n">
        <v>45838</v>
      </c>
      <c r="D917" t="inlineStr">
        <is>
          <t>GÄVLEBORGS LÄN</t>
        </is>
      </c>
      <c r="E917" t="inlineStr">
        <is>
          <t>OVANÅKER</t>
        </is>
      </c>
      <c r="G917" t="n">
        <v>26.8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58791-2023</t>
        </is>
      </c>
      <c r="B918" s="1" t="n">
        <v>45252</v>
      </c>
      <c r="C918" s="1" t="n">
        <v>45838</v>
      </c>
      <c r="D918" t="inlineStr">
        <is>
          <t>GÄVLEBORGS LÄN</t>
        </is>
      </c>
      <c r="E918" t="inlineStr">
        <is>
          <t>OVANÅKER</t>
        </is>
      </c>
      <c r="G918" t="n">
        <v>0.5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59257-2023</t>
        </is>
      </c>
      <c r="B919" s="1" t="n">
        <v>45253</v>
      </c>
      <c r="C919" s="1" t="n">
        <v>45838</v>
      </c>
      <c r="D919" t="inlineStr">
        <is>
          <t>GÄVLEBORGS LÄN</t>
        </is>
      </c>
      <c r="E919" t="inlineStr">
        <is>
          <t>OVANÅKER</t>
        </is>
      </c>
      <c r="G919" t="n">
        <v>4.4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59253-2023</t>
        </is>
      </c>
      <c r="B920" s="1" t="n">
        <v>45253</v>
      </c>
      <c r="C920" s="1" t="n">
        <v>45838</v>
      </c>
      <c r="D920" t="inlineStr">
        <is>
          <t>GÄVLEBORGS LÄN</t>
        </is>
      </c>
      <c r="E920" t="inlineStr">
        <is>
          <t>OVANÅKER</t>
        </is>
      </c>
      <c r="G920" t="n">
        <v>1.7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59453-2023</t>
        </is>
      </c>
      <c r="B921" s="1" t="n">
        <v>45254</v>
      </c>
      <c r="C921" s="1" t="n">
        <v>45838</v>
      </c>
      <c r="D921" t="inlineStr">
        <is>
          <t>GÄVLEBORGS LÄN</t>
        </is>
      </c>
      <c r="E921" t="inlineStr">
        <is>
          <t>OVANÅKER</t>
        </is>
      </c>
      <c r="G921" t="n">
        <v>1.8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59912-2023</t>
        </is>
      </c>
      <c r="B922" s="1" t="n">
        <v>45257</v>
      </c>
      <c r="C922" s="1" t="n">
        <v>45838</v>
      </c>
      <c r="D922" t="inlineStr">
        <is>
          <t>GÄVLEBORGS LÄN</t>
        </is>
      </c>
      <c r="E922" t="inlineStr">
        <is>
          <t>OVANÅKER</t>
        </is>
      </c>
      <c r="G922" t="n">
        <v>0.5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59720-2023</t>
        </is>
      </c>
      <c r="B923" s="1" t="n">
        <v>45257</v>
      </c>
      <c r="C923" s="1" t="n">
        <v>45838</v>
      </c>
      <c r="D923" t="inlineStr">
        <is>
          <t>GÄVLEBORGS LÄN</t>
        </is>
      </c>
      <c r="E923" t="inlineStr">
        <is>
          <t>OVANÅKER</t>
        </is>
      </c>
      <c r="G923" t="n">
        <v>1.4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59729-2023</t>
        </is>
      </c>
      <c r="B924" s="1" t="n">
        <v>45257</v>
      </c>
      <c r="C924" s="1" t="n">
        <v>45838</v>
      </c>
      <c r="D924" t="inlineStr">
        <is>
          <t>GÄVLEBORGS LÄN</t>
        </is>
      </c>
      <c r="E924" t="inlineStr">
        <is>
          <t>OVANÅKER</t>
        </is>
      </c>
      <c r="G924" t="n">
        <v>1.8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59723-2023</t>
        </is>
      </c>
      <c r="B925" s="1" t="n">
        <v>45257</v>
      </c>
      <c r="C925" s="1" t="n">
        <v>45838</v>
      </c>
      <c r="D925" t="inlineStr">
        <is>
          <t>GÄVLEBORGS LÄN</t>
        </is>
      </c>
      <c r="E925" t="inlineStr">
        <is>
          <t>OVANÅKER</t>
        </is>
      </c>
      <c r="G925" t="n">
        <v>3.1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59719-2023</t>
        </is>
      </c>
      <c r="B926" s="1" t="n">
        <v>45257</v>
      </c>
      <c r="C926" s="1" t="n">
        <v>45838</v>
      </c>
      <c r="D926" t="inlineStr">
        <is>
          <t>GÄVLEBORGS LÄN</t>
        </is>
      </c>
      <c r="E926" t="inlineStr">
        <is>
          <t>OVANÅKER</t>
        </is>
      </c>
      <c r="G926" t="n">
        <v>2.8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60218-2023</t>
        </is>
      </c>
      <c r="B927" s="1" t="n">
        <v>45258</v>
      </c>
      <c r="C927" s="1" t="n">
        <v>45838</v>
      </c>
      <c r="D927" t="inlineStr">
        <is>
          <t>GÄVLEBORGS LÄN</t>
        </is>
      </c>
      <c r="E927" t="inlineStr">
        <is>
          <t>OVANÅKER</t>
        </is>
      </c>
      <c r="G927" t="n">
        <v>1.3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60417-2023</t>
        </is>
      </c>
      <c r="B928" s="1" t="n">
        <v>45259</v>
      </c>
      <c r="C928" s="1" t="n">
        <v>45838</v>
      </c>
      <c r="D928" t="inlineStr">
        <is>
          <t>GÄVLEBORGS LÄN</t>
        </is>
      </c>
      <c r="E928" t="inlineStr">
        <is>
          <t>OVANÅKER</t>
        </is>
      </c>
      <c r="G928" t="n">
        <v>1.2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60804-2023</t>
        </is>
      </c>
      <c r="B929" s="1" t="n">
        <v>45260</v>
      </c>
      <c r="C929" s="1" t="n">
        <v>45838</v>
      </c>
      <c r="D929" t="inlineStr">
        <is>
          <t>GÄVLEBORGS LÄN</t>
        </is>
      </c>
      <c r="E929" t="inlineStr">
        <is>
          <t>OVANÅKER</t>
        </is>
      </c>
      <c r="G929" t="n">
        <v>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61582-2023</t>
        </is>
      </c>
      <c r="B930" s="1" t="n">
        <v>45265</v>
      </c>
      <c r="C930" s="1" t="n">
        <v>45838</v>
      </c>
      <c r="D930" t="inlineStr">
        <is>
          <t>GÄVLEBORGS LÄN</t>
        </is>
      </c>
      <c r="E930" t="inlineStr">
        <is>
          <t>OVANÅKER</t>
        </is>
      </c>
      <c r="G930" t="n">
        <v>5.8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61673-2023</t>
        </is>
      </c>
      <c r="B931" s="1" t="n">
        <v>45265</v>
      </c>
      <c r="C931" s="1" t="n">
        <v>45838</v>
      </c>
      <c r="D931" t="inlineStr">
        <is>
          <t>GÄVLEBORGS LÄN</t>
        </is>
      </c>
      <c r="E931" t="inlineStr">
        <is>
          <t>OVANÅKER</t>
        </is>
      </c>
      <c r="G931" t="n">
        <v>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61528-2023</t>
        </is>
      </c>
      <c r="B932" s="1" t="n">
        <v>45265</v>
      </c>
      <c r="C932" s="1" t="n">
        <v>45838</v>
      </c>
      <c r="D932" t="inlineStr">
        <is>
          <t>GÄVLEBORGS LÄN</t>
        </is>
      </c>
      <c r="E932" t="inlineStr">
        <is>
          <t>OVANÅKER</t>
        </is>
      </c>
      <c r="G932" t="n">
        <v>1.2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61567-2023</t>
        </is>
      </c>
      <c r="B933" s="1" t="n">
        <v>45265</v>
      </c>
      <c r="C933" s="1" t="n">
        <v>45838</v>
      </c>
      <c r="D933" t="inlineStr">
        <is>
          <t>GÄVLEBORGS LÄN</t>
        </is>
      </c>
      <c r="E933" t="inlineStr">
        <is>
          <t>OVANÅKER</t>
        </is>
      </c>
      <c r="G933" t="n">
        <v>1.6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61526-2023</t>
        </is>
      </c>
      <c r="B934" s="1" t="n">
        <v>45265</v>
      </c>
      <c r="C934" s="1" t="n">
        <v>45838</v>
      </c>
      <c r="D934" t="inlineStr">
        <is>
          <t>GÄVLEBORGS LÄN</t>
        </is>
      </c>
      <c r="E934" t="inlineStr">
        <is>
          <t>OVANÅKER</t>
        </is>
      </c>
      <c r="G934" t="n">
        <v>1.5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61576-2023</t>
        </is>
      </c>
      <c r="B935" s="1" t="n">
        <v>45265</v>
      </c>
      <c r="C935" s="1" t="n">
        <v>45838</v>
      </c>
      <c r="D935" t="inlineStr">
        <is>
          <t>GÄVLEBORGS LÄN</t>
        </is>
      </c>
      <c r="E935" t="inlineStr">
        <is>
          <t>OVANÅKER</t>
        </is>
      </c>
      <c r="G935" t="n">
        <v>2.5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62337-2023</t>
        </is>
      </c>
      <c r="B936" s="1" t="n">
        <v>45267</v>
      </c>
      <c r="C936" s="1" t="n">
        <v>45838</v>
      </c>
      <c r="D936" t="inlineStr">
        <is>
          <t>GÄVLEBORGS LÄN</t>
        </is>
      </c>
      <c r="E936" t="inlineStr">
        <is>
          <t>OVANÅKER</t>
        </is>
      </c>
      <c r="G936" t="n">
        <v>7.6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62153-2023</t>
        </is>
      </c>
      <c r="B937" s="1" t="n">
        <v>45267</v>
      </c>
      <c r="C937" s="1" t="n">
        <v>45838</v>
      </c>
      <c r="D937" t="inlineStr">
        <is>
          <t>GÄVLEBORGS LÄN</t>
        </is>
      </c>
      <c r="E937" t="inlineStr">
        <is>
          <t>OVANÅKER</t>
        </is>
      </c>
      <c r="G937" t="n">
        <v>3.3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62196-2023</t>
        </is>
      </c>
      <c r="B938" s="1" t="n">
        <v>45267</v>
      </c>
      <c r="C938" s="1" t="n">
        <v>45838</v>
      </c>
      <c r="D938" t="inlineStr">
        <is>
          <t>GÄVLEBORGS LÄN</t>
        </is>
      </c>
      <c r="E938" t="inlineStr">
        <is>
          <t>OVANÅKER</t>
        </is>
      </c>
      <c r="G938" t="n">
        <v>0.7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62126-2023</t>
        </is>
      </c>
      <c r="B939" s="1" t="n">
        <v>45267</v>
      </c>
      <c r="C939" s="1" t="n">
        <v>45838</v>
      </c>
      <c r="D939" t="inlineStr">
        <is>
          <t>GÄVLEBORGS LÄN</t>
        </is>
      </c>
      <c r="E939" t="inlineStr">
        <is>
          <t>OVANÅKER</t>
        </is>
      </c>
      <c r="G939" t="n">
        <v>0.7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62738-2023</t>
        </is>
      </c>
      <c r="B940" s="1" t="n">
        <v>45268</v>
      </c>
      <c r="C940" s="1" t="n">
        <v>45838</v>
      </c>
      <c r="D940" t="inlineStr">
        <is>
          <t>GÄVLEBORGS LÄN</t>
        </is>
      </c>
      <c r="E940" t="inlineStr">
        <is>
          <t>OVANÅKER</t>
        </is>
      </c>
      <c r="G940" t="n">
        <v>0.6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62651-2023</t>
        </is>
      </c>
      <c r="B941" s="1" t="n">
        <v>45271</v>
      </c>
      <c r="C941" s="1" t="n">
        <v>45838</v>
      </c>
      <c r="D941" t="inlineStr">
        <is>
          <t>GÄVLEBORGS LÄN</t>
        </is>
      </c>
      <c r="E941" t="inlineStr">
        <is>
          <t>OVANÅKER</t>
        </is>
      </c>
      <c r="G941" t="n">
        <v>0.7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63703-2023</t>
        </is>
      </c>
      <c r="B942" s="1" t="n">
        <v>45275</v>
      </c>
      <c r="C942" s="1" t="n">
        <v>45838</v>
      </c>
      <c r="D942" t="inlineStr">
        <is>
          <t>GÄVLEBORGS LÄN</t>
        </is>
      </c>
      <c r="E942" t="inlineStr">
        <is>
          <t>OVANÅKER</t>
        </is>
      </c>
      <c r="G942" t="n">
        <v>1.3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64337-2023</t>
        </is>
      </c>
      <c r="B943" s="1" t="n">
        <v>45280</v>
      </c>
      <c r="C943" s="1" t="n">
        <v>45838</v>
      </c>
      <c r="D943" t="inlineStr">
        <is>
          <t>GÄVLEBORGS LÄN</t>
        </is>
      </c>
      <c r="E943" t="inlineStr">
        <is>
          <t>OVANÅKER</t>
        </is>
      </c>
      <c r="G943" t="n">
        <v>3.5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64414-2023</t>
        </is>
      </c>
      <c r="B944" s="1" t="n">
        <v>45280</v>
      </c>
      <c r="C944" s="1" t="n">
        <v>45838</v>
      </c>
      <c r="D944" t="inlineStr">
        <is>
          <t>GÄVLEBORGS LÄN</t>
        </is>
      </c>
      <c r="E944" t="inlineStr">
        <is>
          <t>OVANÅKER</t>
        </is>
      </c>
      <c r="G944" t="n">
        <v>4.3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64379-2023</t>
        </is>
      </c>
      <c r="B945" s="1" t="n">
        <v>45280</v>
      </c>
      <c r="C945" s="1" t="n">
        <v>45838</v>
      </c>
      <c r="D945" t="inlineStr">
        <is>
          <t>GÄVLEBORGS LÄN</t>
        </is>
      </c>
      <c r="E945" t="inlineStr">
        <is>
          <t>OVANÅKER</t>
        </is>
      </c>
      <c r="G945" t="n">
        <v>6.4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64409-2023</t>
        </is>
      </c>
      <c r="B946" s="1" t="n">
        <v>45280</v>
      </c>
      <c r="C946" s="1" t="n">
        <v>45838</v>
      </c>
      <c r="D946" t="inlineStr">
        <is>
          <t>GÄVLEBORGS LÄN</t>
        </is>
      </c>
      <c r="E946" t="inlineStr">
        <is>
          <t>OVANÅKER</t>
        </is>
      </c>
      <c r="G946" t="n">
        <v>7.3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64535-2023</t>
        </is>
      </c>
      <c r="B947" s="1" t="n">
        <v>45281</v>
      </c>
      <c r="C947" s="1" t="n">
        <v>45838</v>
      </c>
      <c r="D947" t="inlineStr">
        <is>
          <t>GÄVLEBORGS LÄN</t>
        </is>
      </c>
      <c r="E947" t="inlineStr">
        <is>
          <t>OVANÅKER</t>
        </is>
      </c>
      <c r="G947" t="n">
        <v>2.7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64704-2023</t>
        </is>
      </c>
      <c r="B948" s="1" t="n">
        <v>45281</v>
      </c>
      <c r="C948" s="1" t="n">
        <v>45838</v>
      </c>
      <c r="D948" t="inlineStr">
        <is>
          <t>GÄVLEBORGS LÄN</t>
        </is>
      </c>
      <c r="E948" t="inlineStr">
        <is>
          <t>OVANÅKER</t>
        </is>
      </c>
      <c r="G948" t="n">
        <v>1.4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64912-2023</t>
        </is>
      </c>
      <c r="B949" s="1" t="n">
        <v>45282</v>
      </c>
      <c r="C949" s="1" t="n">
        <v>45838</v>
      </c>
      <c r="D949" t="inlineStr">
        <is>
          <t>GÄVLEBORGS LÄN</t>
        </is>
      </c>
      <c r="E949" t="inlineStr">
        <is>
          <t>OVANÅKER</t>
        </is>
      </c>
      <c r="G949" t="n">
        <v>1.3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64852-2023</t>
        </is>
      </c>
      <c r="B950" s="1" t="n">
        <v>45282</v>
      </c>
      <c r="C950" s="1" t="n">
        <v>45838</v>
      </c>
      <c r="D950" t="inlineStr">
        <is>
          <t>GÄVLEBORGS LÄN</t>
        </is>
      </c>
      <c r="E950" t="inlineStr">
        <is>
          <t>OVANÅKER</t>
        </is>
      </c>
      <c r="G950" t="n">
        <v>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65107-2023</t>
        </is>
      </c>
      <c r="B951" s="1" t="n">
        <v>45287</v>
      </c>
      <c r="C951" s="1" t="n">
        <v>45838</v>
      </c>
      <c r="D951" t="inlineStr">
        <is>
          <t>GÄVLEBORGS LÄN</t>
        </is>
      </c>
      <c r="E951" t="inlineStr">
        <is>
          <t>OVANÅKER</t>
        </is>
      </c>
      <c r="G951" t="n">
        <v>2.8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839-2024</t>
        </is>
      </c>
      <c r="B952" s="1" t="n">
        <v>45300</v>
      </c>
      <c r="C952" s="1" t="n">
        <v>45838</v>
      </c>
      <c r="D952" t="inlineStr">
        <is>
          <t>GÄVLEBORGS LÄN</t>
        </is>
      </c>
      <c r="E952" t="inlineStr">
        <is>
          <t>OVANÅKER</t>
        </is>
      </c>
      <c r="G952" t="n">
        <v>0.7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840-2024</t>
        </is>
      </c>
      <c r="B953" s="1" t="n">
        <v>45300</v>
      </c>
      <c r="C953" s="1" t="n">
        <v>45838</v>
      </c>
      <c r="D953" t="inlineStr">
        <is>
          <t>GÄVLEBORGS LÄN</t>
        </is>
      </c>
      <c r="E953" t="inlineStr">
        <is>
          <t>OVANÅKER</t>
        </is>
      </c>
      <c r="G953" t="n">
        <v>1.3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838-2024</t>
        </is>
      </c>
      <c r="B954" s="1" t="n">
        <v>45300</v>
      </c>
      <c r="C954" s="1" t="n">
        <v>45838</v>
      </c>
      <c r="D954" t="inlineStr">
        <is>
          <t>GÄVLEBORGS LÄN</t>
        </is>
      </c>
      <c r="E954" t="inlineStr">
        <is>
          <t>OVANÅKER</t>
        </is>
      </c>
      <c r="G954" t="n">
        <v>1.8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943-2024</t>
        </is>
      </c>
      <c r="B955" s="1" t="n">
        <v>45301</v>
      </c>
      <c r="C955" s="1" t="n">
        <v>45838</v>
      </c>
      <c r="D955" t="inlineStr">
        <is>
          <t>GÄVLEBORGS LÄN</t>
        </is>
      </c>
      <c r="E955" t="inlineStr">
        <is>
          <t>OVANÅKER</t>
        </is>
      </c>
      <c r="G955" t="n">
        <v>2.9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1105-2024</t>
        </is>
      </c>
      <c r="B956" s="1" t="n">
        <v>45302</v>
      </c>
      <c r="C956" s="1" t="n">
        <v>45838</v>
      </c>
      <c r="D956" t="inlineStr">
        <is>
          <t>GÄVLEBORGS LÄN</t>
        </is>
      </c>
      <c r="E956" t="inlineStr">
        <is>
          <t>OVANÅKER</t>
        </is>
      </c>
      <c r="G956" t="n">
        <v>2.3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1198-2024</t>
        </is>
      </c>
      <c r="B957" s="1" t="n">
        <v>45302</v>
      </c>
      <c r="C957" s="1" t="n">
        <v>45838</v>
      </c>
      <c r="D957" t="inlineStr">
        <is>
          <t>GÄVLEBORGS LÄN</t>
        </is>
      </c>
      <c r="E957" t="inlineStr">
        <is>
          <t>OVANÅKER</t>
        </is>
      </c>
      <c r="F957" t="inlineStr">
        <is>
          <t>Bergvik skog väst AB</t>
        </is>
      </c>
      <c r="G957" t="n">
        <v>0.6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1406-2024</t>
        </is>
      </c>
      <c r="B958" s="1" t="n">
        <v>45303</v>
      </c>
      <c r="C958" s="1" t="n">
        <v>45838</v>
      </c>
      <c r="D958" t="inlineStr">
        <is>
          <t>GÄVLEBORGS LÄN</t>
        </is>
      </c>
      <c r="E958" t="inlineStr">
        <is>
          <t>OVANÅKER</t>
        </is>
      </c>
      <c r="G958" t="n">
        <v>0.8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1405-2024</t>
        </is>
      </c>
      <c r="B959" s="1" t="n">
        <v>45303</v>
      </c>
      <c r="C959" s="1" t="n">
        <v>45838</v>
      </c>
      <c r="D959" t="inlineStr">
        <is>
          <t>GÄVLEBORGS LÄN</t>
        </is>
      </c>
      <c r="E959" t="inlineStr">
        <is>
          <t>OVANÅKER</t>
        </is>
      </c>
      <c r="G959" t="n">
        <v>0.6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1530-2024</t>
        </is>
      </c>
      <c r="B960" s="1" t="n">
        <v>45306</v>
      </c>
      <c r="C960" s="1" t="n">
        <v>45838</v>
      </c>
      <c r="D960" t="inlineStr">
        <is>
          <t>GÄVLEBORGS LÄN</t>
        </is>
      </c>
      <c r="E960" t="inlineStr">
        <is>
          <t>OVANÅKER</t>
        </is>
      </c>
      <c r="G960" t="n">
        <v>0.9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1570-2024</t>
        </is>
      </c>
      <c r="B961" s="1" t="n">
        <v>45306</v>
      </c>
      <c r="C961" s="1" t="n">
        <v>45838</v>
      </c>
      <c r="D961" t="inlineStr">
        <is>
          <t>GÄVLEBORGS LÄN</t>
        </is>
      </c>
      <c r="E961" t="inlineStr">
        <is>
          <t>OVANÅKER</t>
        </is>
      </c>
      <c r="G961" t="n">
        <v>2.7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1505-2024</t>
        </is>
      </c>
      <c r="B962" s="1" t="n">
        <v>45306</v>
      </c>
      <c r="C962" s="1" t="n">
        <v>45838</v>
      </c>
      <c r="D962" t="inlineStr">
        <is>
          <t>GÄVLEBORGS LÄN</t>
        </is>
      </c>
      <c r="E962" t="inlineStr">
        <is>
          <t>OVANÅKER</t>
        </is>
      </c>
      <c r="G962" t="n">
        <v>2.6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1635-2024</t>
        </is>
      </c>
      <c r="B963" s="1" t="n">
        <v>45306</v>
      </c>
      <c r="C963" s="1" t="n">
        <v>45838</v>
      </c>
      <c r="D963" t="inlineStr">
        <is>
          <t>GÄVLEBORGS LÄN</t>
        </is>
      </c>
      <c r="E963" t="inlineStr">
        <is>
          <t>OVANÅKER</t>
        </is>
      </c>
      <c r="G963" t="n">
        <v>2.8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1639-2024</t>
        </is>
      </c>
      <c r="B964" s="1" t="n">
        <v>45306</v>
      </c>
      <c r="C964" s="1" t="n">
        <v>45838</v>
      </c>
      <c r="D964" t="inlineStr">
        <is>
          <t>GÄVLEBORGS LÄN</t>
        </is>
      </c>
      <c r="E964" t="inlineStr">
        <is>
          <t>OVANÅKER</t>
        </is>
      </c>
      <c r="G964" t="n">
        <v>7.7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1632-2024</t>
        </is>
      </c>
      <c r="B965" s="1" t="n">
        <v>45306</v>
      </c>
      <c r="C965" s="1" t="n">
        <v>45838</v>
      </c>
      <c r="D965" t="inlineStr">
        <is>
          <t>GÄVLEBORGS LÄN</t>
        </is>
      </c>
      <c r="E965" t="inlineStr">
        <is>
          <t>OVANÅKER</t>
        </is>
      </c>
      <c r="G965" t="n">
        <v>4.2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1731-2024</t>
        </is>
      </c>
      <c r="B966" s="1" t="n">
        <v>45307</v>
      </c>
      <c r="C966" s="1" t="n">
        <v>45838</v>
      </c>
      <c r="D966" t="inlineStr">
        <is>
          <t>GÄVLEBORGS LÄN</t>
        </is>
      </c>
      <c r="E966" t="inlineStr">
        <is>
          <t>OVANÅKER</t>
        </is>
      </c>
      <c r="F966" t="inlineStr">
        <is>
          <t>Bergvik skog öst AB</t>
        </is>
      </c>
      <c r="G966" t="n">
        <v>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1892-2024</t>
        </is>
      </c>
      <c r="B967" s="1" t="n">
        <v>45308</v>
      </c>
      <c r="C967" s="1" t="n">
        <v>45838</v>
      </c>
      <c r="D967" t="inlineStr">
        <is>
          <t>GÄVLEBORGS LÄN</t>
        </is>
      </c>
      <c r="E967" t="inlineStr">
        <is>
          <t>OVANÅKER</t>
        </is>
      </c>
      <c r="G967" t="n">
        <v>0.3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1907-2024</t>
        </is>
      </c>
      <c r="B968" s="1" t="n">
        <v>45308</v>
      </c>
      <c r="C968" s="1" t="n">
        <v>45838</v>
      </c>
      <c r="D968" t="inlineStr">
        <is>
          <t>GÄVLEBORGS LÄN</t>
        </is>
      </c>
      <c r="E968" t="inlineStr">
        <is>
          <t>OVANÅKER</t>
        </is>
      </c>
      <c r="G968" t="n">
        <v>2.3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2303-2024</t>
        </is>
      </c>
      <c r="B969" s="1" t="n">
        <v>45310</v>
      </c>
      <c r="C969" s="1" t="n">
        <v>45838</v>
      </c>
      <c r="D969" t="inlineStr">
        <is>
          <t>GÄVLEBORGS LÄN</t>
        </is>
      </c>
      <c r="E969" t="inlineStr">
        <is>
          <t>OVANÅKER</t>
        </is>
      </c>
      <c r="G969" t="n">
        <v>3.6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2911-2024</t>
        </is>
      </c>
      <c r="B970" s="1" t="n">
        <v>45315</v>
      </c>
      <c r="C970" s="1" t="n">
        <v>45838</v>
      </c>
      <c r="D970" t="inlineStr">
        <is>
          <t>GÄVLEBORGS LÄN</t>
        </is>
      </c>
      <c r="E970" t="inlineStr">
        <is>
          <t>OVANÅKER</t>
        </is>
      </c>
      <c r="G970" t="n">
        <v>0.7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2912-2024</t>
        </is>
      </c>
      <c r="B971" s="1" t="n">
        <v>45315</v>
      </c>
      <c r="C971" s="1" t="n">
        <v>45838</v>
      </c>
      <c r="D971" t="inlineStr">
        <is>
          <t>GÄVLEBORGS LÄN</t>
        </is>
      </c>
      <c r="E971" t="inlineStr">
        <is>
          <t>OVANÅKER</t>
        </is>
      </c>
      <c r="G971" t="n">
        <v>3.2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3324-2024</t>
        </is>
      </c>
      <c r="B972" s="1" t="n">
        <v>45317</v>
      </c>
      <c r="C972" s="1" t="n">
        <v>45838</v>
      </c>
      <c r="D972" t="inlineStr">
        <is>
          <t>GÄVLEBORGS LÄN</t>
        </is>
      </c>
      <c r="E972" t="inlineStr">
        <is>
          <t>OVANÅKER</t>
        </is>
      </c>
      <c r="G972" t="n">
        <v>1.1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3333-2024</t>
        </is>
      </c>
      <c r="B973" s="1" t="n">
        <v>45317</v>
      </c>
      <c r="C973" s="1" t="n">
        <v>45838</v>
      </c>
      <c r="D973" t="inlineStr">
        <is>
          <t>GÄVLEBORGS LÄN</t>
        </is>
      </c>
      <c r="E973" t="inlineStr">
        <is>
          <t>OVANÅKER</t>
        </is>
      </c>
      <c r="G973" t="n">
        <v>4.6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3443-2024</t>
        </is>
      </c>
      <c r="B974" s="1" t="n">
        <v>45320</v>
      </c>
      <c r="C974" s="1" t="n">
        <v>45838</v>
      </c>
      <c r="D974" t="inlineStr">
        <is>
          <t>GÄVLEBORGS LÄN</t>
        </is>
      </c>
      <c r="E974" t="inlineStr">
        <is>
          <t>OVANÅKER</t>
        </is>
      </c>
      <c r="G974" t="n">
        <v>3.9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3859-2024</t>
        </is>
      </c>
      <c r="B975" s="1" t="n">
        <v>45322</v>
      </c>
      <c r="C975" s="1" t="n">
        <v>45838</v>
      </c>
      <c r="D975" t="inlineStr">
        <is>
          <t>GÄVLEBORGS LÄN</t>
        </is>
      </c>
      <c r="E975" t="inlineStr">
        <is>
          <t>OVANÅKER</t>
        </is>
      </c>
      <c r="G975" t="n">
        <v>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3871-2024</t>
        </is>
      </c>
      <c r="B976" s="1" t="n">
        <v>45322</v>
      </c>
      <c r="C976" s="1" t="n">
        <v>45838</v>
      </c>
      <c r="D976" t="inlineStr">
        <is>
          <t>GÄVLEBORGS LÄN</t>
        </is>
      </c>
      <c r="E976" t="inlineStr">
        <is>
          <t>OVANÅKER</t>
        </is>
      </c>
      <c r="G976" t="n">
        <v>1.8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3877-2024</t>
        </is>
      </c>
      <c r="B977" s="1" t="n">
        <v>45322</v>
      </c>
      <c r="C977" s="1" t="n">
        <v>45838</v>
      </c>
      <c r="D977" t="inlineStr">
        <is>
          <t>GÄVLEBORGS LÄN</t>
        </is>
      </c>
      <c r="E977" t="inlineStr">
        <is>
          <t>OVANÅKER</t>
        </is>
      </c>
      <c r="G977" t="n">
        <v>2.3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4087-2024</t>
        </is>
      </c>
      <c r="B978" s="1" t="n">
        <v>45323</v>
      </c>
      <c r="C978" s="1" t="n">
        <v>45838</v>
      </c>
      <c r="D978" t="inlineStr">
        <is>
          <t>GÄVLEBORGS LÄN</t>
        </is>
      </c>
      <c r="E978" t="inlineStr">
        <is>
          <t>OVANÅKER</t>
        </is>
      </c>
      <c r="G978" t="n">
        <v>6.6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4234-2024</t>
        </is>
      </c>
      <c r="B979" s="1" t="n">
        <v>45324</v>
      </c>
      <c r="C979" s="1" t="n">
        <v>45838</v>
      </c>
      <c r="D979" t="inlineStr">
        <is>
          <t>GÄVLEBORGS LÄN</t>
        </is>
      </c>
      <c r="E979" t="inlineStr">
        <is>
          <t>OVANÅKER</t>
        </is>
      </c>
      <c r="G979" t="n">
        <v>0.7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4607-2024</t>
        </is>
      </c>
      <c r="B980" s="1" t="n">
        <v>45328</v>
      </c>
      <c r="C980" s="1" t="n">
        <v>45838</v>
      </c>
      <c r="D980" t="inlineStr">
        <is>
          <t>GÄVLEBORGS LÄN</t>
        </is>
      </c>
      <c r="E980" t="inlineStr">
        <is>
          <t>OVANÅKER</t>
        </is>
      </c>
      <c r="G980" t="n">
        <v>1.3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4830-2024</t>
        </is>
      </c>
      <c r="B981" s="1" t="n">
        <v>45329</v>
      </c>
      <c r="C981" s="1" t="n">
        <v>45838</v>
      </c>
      <c r="D981" t="inlineStr">
        <is>
          <t>GÄVLEBORGS LÄN</t>
        </is>
      </c>
      <c r="E981" t="inlineStr">
        <is>
          <t>OVANÅKER</t>
        </is>
      </c>
      <c r="G981" t="n">
        <v>2.1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5151-2024</t>
        </is>
      </c>
      <c r="B982" s="1" t="n">
        <v>45330</v>
      </c>
      <c r="C982" s="1" t="n">
        <v>45838</v>
      </c>
      <c r="D982" t="inlineStr">
        <is>
          <t>GÄVLEBORGS LÄN</t>
        </is>
      </c>
      <c r="E982" t="inlineStr">
        <is>
          <t>OVANÅKER</t>
        </is>
      </c>
      <c r="G982" t="n">
        <v>0.8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5309-2024</t>
        </is>
      </c>
      <c r="B983" s="1" t="n">
        <v>45331</v>
      </c>
      <c r="C983" s="1" t="n">
        <v>45838</v>
      </c>
      <c r="D983" t="inlineStr">
        <is>
          <t>GÄVLEBORGS LÄN</t>
        </is>
      </c>
      <c r="E983" t="inlineStr">
        <is>
          <t>OVANÅKER</t>
        </is>
      </c>
      <c r="G983" t="n">
        <v>0.8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5416-2024</t>
        </is>
      </c>
      <c r="B984" s="1" t="n">
        <v>45331</v>
      </c>
      <c r="C984" s="1" t="n">
        <v>45838</v>
      </c>
      <c r="D984" t="inlineStr">
        <is>
          <t>GÄVLEBORGS LÄN</t>
        </is>
      </c>
      <c r="E984" t="inlineStr">
        <is>
          <t>OVANÅKER</t>
        </is>
      </c>
      <c r="G984" t="n">
        <v>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6188-2024</t>
        </is>
      </c>
      <c r="B985" s="1" t="n">
        <v>45337</v>
      </c>
      <c r="C985" s="1" t="n">
        <v>45838</v>
      </c>
      <c r="D985" t="inlineStr">
        <is>
          <t>GÄVLEBORGS LÄN</t>
        </is>
      </c>
      <c r="E985" t="inlineStr">
        <is>
          <t>OVANÅKER</t>
        </is>
      </c>
      <c r="G985" t="n">
        <v>0.7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6331-2024</t>
        </is>
      </c>
      <c r="B986" s="1" t="n">
        <v>45338</v>
      </c>
      <c r="C986" s="1" t="n">
        <v>45838</v>
      </c>
      <c r="D986" t="inlineStr">
        <is>
          <t>GÄVLEBORGS LÄN</t>
        </is>
      </c>
      <c r="E986" t="inlineStr">
        <is>
          <t>OVANÅKER</t>
        </is>
      </c>
      <c r="G986" t="n">
        <v>1.4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6761-2024</t>
        </is>
      </c>
      <c r="B987" s="1" t="n">
        <v>45342</v>
      </c>
      <c r="C987" s="1" t="n">
        <v>45838</v>
      </c>
      <c r="D987" t="inlineStr">
        <is>
          <t>GÄVLEBORGS LÄN</t>
        </is>
      </c>
      <c r="E987" t="inlineStr">
        <is>
          <t>OVANÅKER</t>
        </is>
      </c>
      <c r="G987" t="n">
        <v>1.4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7135-2024</t>
        </is>
      </c>
      <c r="B988" s="1" t="n">
        <v>45344</v>
      </c>
      <c r="C988" s="1" t="n">
        <v>45838</v>
      </c>
      <c r="D988" t="inlineStr">
        <is>
          <t>GÄVLEBORGS LÄN</t>
        </is>
      </c>
      <c r="E988" t="inlineStr">
        <is>
          <t>OVANÅKER</t>
        </is>
      </c>
      <c r="G988" t="n">
        <v>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7693-2024</t>
        </is>
      </c>
      <c r="B989" s="1" t="n">
        <v>45349</v>
      </c>
      <c r="C989" s="1" t="n">
        <v>45838</v>
      </c>
      <c r="D989" t="inlineStr">
        <is>
          <t>GÄVLEBORGS LÄN</t>
        </is>
      </c>
      <c r="E989" t="inlineStr">
        <is>
          <t>OVANÅKER</t>
        </is>
      </c>
      <c r="G989" t="n">
        <v>4.5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7694-2024</t>
        </is>
      </c>
      <c r="B990" s="1" t="n">
        <v>45349</v>
      </c>
      <c r="C990" s="1" t="n">
        <v>45838</v>
      </c>
      <c r="D990" t="inlineStr">
        <is>
          <t>GÄVLEBORGS LÄN</t>
        </is>
      </c>
      <c r="E990" t="inlineStr">
        <is>
          <t>OVANÅKER</t>
        </is>
      </c>
      <c r="G990" t="n">
        <v>1.6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7997-2024</t>
        </is>
      </c>
      <c r="B991" s="1" t="n">
        <v>45350</v>
      </c>
      <c r="C991" s="1" t="n">
        <v>45838</v>
      </c>
      <c r="D991" t="inlineStr">
        <is>
          <t>GÄVLEBORGS LÄN</t>
        </is>
      </c>
      <c r="E991" t="inlineStr">
        <is>
          <t>OVANÅKER</t>
        </is>
      </c>
      <c r="G991" t="n">
        <v>3.4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8032-2024</t>
        </is>
      </c>
      <c r="B992" s="1" t="n">
        <v>45350</v>
      </c>
      <c r="C992" s="1" t="n">
        <v>45838</v>
      </c>
      <c r="D992" t="inlineStr">
        <is>
          <t>GÄVLEBORGS LÄN</t>
        </is>
      </c>
      <c r="E992" t="inlineStr">
        <is>
          <t>OVANÅKER</t>
        </is>
      </c>
      <c r="G992" t="n">
        <v>7.5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9243-2024</t>
        </is>
      </c>
      <c r="B993" s="1" t="n">
        <v>45358</v>
      </c>
      <c r="C993" s="1" t="n">
        <v>45838</v>
      </c>
      <c r="D993" t="inlineStr">
        <is>
          <t>GÄVLEBORGS LÄN</t>
        </is>
      </c>
      <c r="E993" t="inlineStr">
        <is>
          <t>OVANÅKER</t>
        </is>
      </c>
      <c r="G993" t="n">
        <v>3.7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9960-2024</t>
        </is>
      </c>
      <c r="B994" s="1" t="n">
        <v>45363</v>
      </c>
      <c r="C994" s="1" t="n">
        <v>45838</v>
      </c>
      <c r="D994" t="inlineStr">
        <is>
          <t>GÄVLEBORGS LÄN</t>
        </is>
      </c>
      <c r="E994" t="inlineStr">
        <is>
          <t>OVANÅKER</t>
        </is>
      </c>
      <c r="G994" t="n">
        <v>6.5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10595-2024</t>
        </is>
      </c>
      <c r="B995" s="1" t="n">
        <v>45366</v>
      </c>
      <c r="C995" s="1" t="n">
        <v>45838</v>
      </c>
      <c r="D995" t="inlineStr">
        <is>
          <t>GÄVLEBORGS LÄN</t>
        </is>
      </c>
      <c r="E995" t="inlineStr">
        <is>
          <t>OVANÅKER</t>
        </is>
      </c>
      <c r="G995" t="n">
        <v>1.1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10615-2024</t>
        </is>
      </c>
      <c r="B996" s="1" t="n">
        <v>45367</v>
      </c>
      <c r="C996" s="1" t="n">
        <v>45838</v>
      </c>
      <c r="D996" t="inlineStr">
        <is>
          <t>GÄVLEBORGS LÄN</t>
        </is>
      </c>
      <c r="E996" t="inlineStr">
        <is>
          <t>OVANÅKER</t>
        </is>
      </c>
      <c r="G996" t="n">
        <v>7.1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11108-2024</t>
        </is>
      </c>
      <c r="B997" s="1" t="n">
        <v>45371</v>
      </c>
      <c r="C997" s="1" t="n">
        <v>45838</v>
      </c>
      <c r="D997" t="inlineStr">
        <is>
          <t>GÄVLEBORGS LÄN</t>
        </is>
      </c>
      <c r="E997" t="inlineStr">
        <is>
          <t>OVANÅKER</t>
        </is>
      </c>
      <c r="G997" t="n">
        <v>1.3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11692-2024</t>
        </is>
      </c>
      <c r="B998" s="1" t="n">
        <v>45373</v>
      </c>
      <c r="C998" s="1" t="n">
        <v>45838</v>
      </c>
      <c r="D998" t="inlineStr">
        <is>
          <t>GÄVLEBORGS LÄN</t>
        </is>
      </c>
      <c r="E998" t="inlineStr">
        <is>
          <t>OVANÅKER</t>
        </is>
      </c>
      <c r="G998" t="n">
        <v>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11684-2024</t>
        </is>
      </c>
      <c r="B999" s="1" t="n">
        <v>45373</v>
      </c>
      <c r="C999" s="1" t="n">
        <v>45838</v>
      </c>
      <c r="D999" t="inlineStr">
        <is>
          <t>GÄVLEBORGS LÄN</t>
        </is>
      </c>
      <c r="E999" t="inlineStr">
        <is>
          <t>OVANÅKER</t>
        </is>
      </c>
      <c r="G999" t="n">
        <v>2.2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12196-2024</t>
        </is>
      </c>
      <c r="B1000" s="1" t="n">
        <v>45377</v>
      </c>
      <c r="C1000" s="1" t="n">
        <v>45838</v>
      </c>
      <c r="D1000" t="inlineStr">
        <is>
          <t>GÄVLEBORGS LÄN</t>
        </is>
      </c>
      <c r="E1000" t="inlineStr">
        <is>
          <t>OVANÅKER</t>
        </is>
      </c>
      <c r="G1000" t="n">
        <v>10.7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12197-2024</t>
        </is>
      </c>
      <c r="B1001" s="1" t="n">
        <v>45377</v>
      </c>
      <c r="C1001" s="1" t="n">
        <v>45838</v>
      </c>
      <c r="D1001" t="inlineStr">
        <is>
          <t>GÄVLEBORGS LÄN</t>
        </is>
      </c>
      <c r="E1001" t="inlineStr">
        <is>
          <t>OVANÅKER</t>
        </is>
      </c>
      <c r="G1001" t="n">
        <v>7.5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12012-2024</t>
        </is>
      </c>
      <c r="B1002" s="1" t="n">
        <v>45377</v>
      </c>
      <c r="C1002" s="1" t="n">
        <v>45838</v>
      </c>
      <c r="D1002" t="inlineStr">
        <is>
          <t>GÄVLEBORGS LÄN</t>
        </is>
      </c>
      <c r="E1002" t="inlineStr">
        <is>
          <t>OVANÅKER</t>
        </is>
      </c>
      <c r="G1002" t="n">
        <v>10.9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12393-2024</t>
        </is>
      </c>
      <c r="B1003" s="1" t="n">
        <v>45379</v>
      </c>
      <c r="C1003" s="1" t="n">
        <v>45838</v>
      </c>
      <c r="D1003" t="inlineStr">
        <is>
          <t>GÄVLEBORGS LÄN</t>
        </is>
      </c>
      <c r="E1003" t="inlineStr">
        <is>
          <t>OVANÅKER</t>
        </is>
      </c>
      <c r="G1003" t="n">
        <v>3.5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12411-2024</t>
        </is>
      </c>
      <c r="B1004" s="1" t="n">
        <v>45379</v>
      </c>
      <c r="C1004" s="1" t="n">
        <v>45838</v>
      </c>
      <c r="D1004" t="inlineStr">
        <is>
          <t>GÄVLEBORGS LÄN</t>
        </is>
      </c>
      <c r="E1004" t="inlineStr">
        <is>
          <t>OVANÅKER</t>
        </is>
      </c>
      <c r="G1004" t="n">
        <v>3.1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13078-2024</t>
        </is>
      </c>
      <c r="B1005" s="1" t="n">
        <v>45385</v>
      </c>
      <c r="C1005" s="1" t="n">
        <v>45838</v>
      </c>
      <c r="D1005" t="inlineStr">
        <is>
          <t>GÄVLEBORGS LÄN</t>
        </is>
      </c>
      <c r="E1005" t="inlineStr">
        <is>
          <t>OVANÅKER</t>
        </is>
      </c>
      <c r="G1005" t="n">
        <v>2.9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13141-2024</t>
        </is>
      </c>
      <c r="B1006" s="1" t="n">
        <v>45386</v>
      </c>
      <c r="C1006" s="1" t="n">
        <v>45838</v>
      </c>
      <c r="D1006" t="inlineStr">
        <is>
          <t>GÄVLEBORGS LÄN</t>
        </is>
      </c>
      <c r="E1006" t="inlineStr">
        <is>
          <t>OVANÅKER</t>
        </is>
      </c>
      <c r="G1006" t="n">
        <v>4.6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13443-2024</t>
        </is>
      </c>
      <c r="B1007" s="1" t="n">
        <v>45387</v>
      </c>
      <c r="C1007" s="1" t="n">
        <v>45838</v>
      </c>
      <c r="D1007" t="inlineStr">
        <is>
          <t>GÄVLEBORGS LÄN</t>
        </is>
      </c>
      <c r="E1007" t="inlineStr">
        <is>
          <t>OVANÅKER</t>
        </is>
      </c>
      <c r="G1007" t="n">
        <v>2.9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13486-2024</t>
        </is>
      </c>
      <c r="B1008" s="1" t="n">
        <v>45387</v>
      </c>
      <c r="C1008" s="1" t="n">
        <v>45838</v>
      </c>
      <c r="D1008" t="inlineStr">
        <is>
          <t>GÄVLEBORGS LÄN</t>
        </is>
      </c>
      <c r="E1008" t="inlineStr">
        <is>
          <t>OVANÅKER</t>
        </is>
      </c>
      <c r="G1008" t="n">
        <v>2.1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13629-2024</t>
        </is>
      </c>
      <c r="B1009" s="1" t="n">
        <v>45390</v>
      </c>
      <c r="C1009" s="1" t="n">
        <v>45838</v>
      </c>
      <c r="D1009" t="inlineStr">
        <is>
          <t>GÄVLEBORGS LÄN</t>
        </is>
      </c>
      <c r="E1009" t="inlineStr">
        <is>
          <t>OVANÅKER</t>
        </is>
      </c>
      <c r="G1009" t="n">
        <v>1.4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13683-2024</t>
        </is>
      </c>
      <c r="B1010" s="1" t="n">
        <v>45390</v>
      </c>
      <c r="C1010" s="1" t="n">
        <v>45838</v>
      </c>
      <c r="D1010" t="inlineStr">
        <is>
          <t>GÄVLEBORGS LÄN</t>
        </is>
      </c>
      <c r="E1010" t="inlineStr">
        <is>
          <t>OVANÅKER</t>
        </is>
      </c>
      <c r="G1010" t="n">
        <v>3.7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14045-2024</t>
        </is>
      </c>
      <c r="B1011" s="1" t="n">
        <v>45392</v>
      </c>
      <c r="C1011" s="1" t="n">
        <v>45838</v>
      </c>
      <c r="D1011" t="inlineStr">
        <is>
          <t>GÄVLEBORGS LÄN</t>
        </is>
      </c>
      <c r="E1011" t="inlineStr">
        <is>
          <t>OVANÅKER</t>
        </is>
      </c>
      <c r="G1011" t="n">
        <v>1.4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14065-2024</t>
        </is>
      </c>
      <c r="B1012" s="1" t="n">
        <v>45392</v>
      </c>
      <c r="C1012" s="1" t="n">
        <v>45838</v>
      </c>
      <c r="D1012" t="inlineStr">
        <is>
          <t>GÄVLEBORGS LÄN</t>
        </is>
      </c>
      <c r="E1012" t="inlineStr">
        <is>
          <t>OVANÅKER</t>
        </is>
      </c>
      <c r="G1012" t="n">
        <v>2.3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14575-2024</t>
        </is>
      </c>
      <c r="B1013" s="1" t="n">
        <v>45394</v>
      </c>
      <c r="C1013" s="1" t="n">
        <v>45838</v>
      </c>
      <c r="D1013" t="inlineStr">
        <is>
          <t>GÄVLEBORGS LÄN</t>
        </is>
      </c>
      <c r="E1013" t="inlineStr">
        <is>
          <t>OVANÅKER</t>
        </is>
      </c>
      <c r="G1013" t="n">
        <v>4.4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14748-2024</t>
        </is>
      </c>
      <c r="B1014" s="1" t="n">
        <v>45397</v>
      </c>
      <c r="C1014" s="1" t="n">
        <v>45838</v>
      </c>
      <c r="D1014" t="inlineStr">
        <is>
          <t>GÄVLEBORGS LÄN</t>
        </is>
      </c>
      <c r="E1014" t="inlineStr">
        <is>
          <t>OVANÅKER</t>
        </is>
      </c>
      <c r="G1014" t="n">
        <v>1.5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14755-2024</t>
        </is>
      </c>
      <c r="B1015" s="1" t="n">
        <v>45397</v>
      </c>
      <c r="C1015" s="1" t="n">
        <v>45838</v>
      </c>
      <c r="D1015" t="inlineStr">
        <is>
          <t>GÄVLEBORGS LÄN</t>
        </is>
      </c>
      <c r="E1015" t="inlineStr">
        <is>
          <t>OVANÅKER</t>
        </is>
      </c>
      <c r="G1015" t="n">
        <v>2.8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14758-2024</t>
        </is>
      </c>
      <c r="B1016" s="1" t="n">
        <v>45397</v>
      </c>
      <c r="C1016" s="1" t="n">
        <v>45838</v>
      </c>
      <c r="D1016" t="inlineStr">
        <is>
          <t>GÄVLEBORGS LÄN</t>
        </is>
      </c>
      <c r="E1016" t="inlineStr">
        <is>
          <t>OVANÅKER</t>
        </is>
      </c>
      <c r="G1016" t="n">
        <v>3.7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14761-2024</t>
        </is>
      </c>
      <c r="B1017" s="1" t="n">
        <v>45397</v>
      </c>
      <c r="C1017" s="1" t="n">
        <v>45838</v>
      </c>
      <c r="D1017" t="inlineStr">
        <is>
          <t>GÄVLEBORGS LÄN</t>
        </is>
      </c>
      <c r="E1017" t="inlineStr">
        <is>
          <t>OVANÅKER</t>
        </is>
      </c>
      <c r="G1017" t="n">
        <v>4.3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15069-2024</t>
        </is>
      </c>
      <c r="B1018" s="1" t="n">
        <v>45399</v>
      </c>
      <c r="C1018" s="1" t="n">
        <v>45838</v>
      </c>
      <c r="D1018" t="inlineStr">
        <is>
          <t>GÄVLEBORGS LÄN</t>
        </is>
      </c>
      <c r="E1018" t="inlineStr">
        <is>
          <t>OVANÅKER</t>
        </is>
      </c>
      <c r="G1018" t="n">
        <v>1.8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15509-2024</t>
        </is>
      </c>
      <c r="B1019" s="1" t="n">
        <v>45401</v>
      </c>
      <c r="C1019" s="1" t="n">
        <v>45838</v>
      </c>
      <c r="D1019" t="inlineStr">
        <is>
          <t>GÄVLEBORGS LÄN</t>
        </is>
      </c>
      <c r="E1019" t="inlineStr">
        <is>
          <t>OVANÅKER</t>
        </is>
      </c>
      <c r="G1019" t="n">
        <v>10.5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15564-2024</t>
        </is>
      </c>
      <c r="B1020" s="1" t="n">
        <v>45401</v>
      </c>
      <c r="C1020" s="1" t="n">
        <v>45838</v>
      </c>
      <c r="D1020" t="inlineStr">
        <is>
          <t>GÄVLEBORGS LÄN</t>
        </is>
      </c>
      <c r="E1020" t="inlineStr">
        <is>
          <t>OVANÅKER</t>
        </is>
      </c>
      <c r="G1020" t="n">
        <v>2.5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15912-2024</t>
        </is>
      </c>
      <c r="B1021" s="1" t="n">
        <v>45405</v>
      </c>
      <c r="C1021" s="1" t="n">
        <v>45838</v>
      </c>
      <c r="D1021" t="inlineStr">
        <is>
          <t>GÄVLEBORGS LÄN</t>
        </is>
      </c>
      <c r="E1021" t="inlineStr">
        <is>
          <t>OVANÅKER</t>
        </is>
      </c>
      <c r="G1021" t="n">
        <v>4.1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16019-2024</t>
        </is>
      </c>
      <c r="B1022" s="1" t="n">
        <v>45405</v>
      </c>
      <c r="C1022" s="1" t="n">
        <v>45838</v>
      </c>
      <c r="D1022" t="inlineStr">
        <is>
          <t>GÄVLEBORGS LÄN</t>
        </is>
      </c>
      <c r="E1022" t="inlineStr">
        <is>
          <t>OVANÅKER</t>
        </is>
      </c>
      <c r="G1022" t="n">
        <v>3.6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15910-2024</t>
        </is>
      </c>
      <c r="B1023" s="1" t="n">
        <v>45405</v>
      </c>
      <c r="C1023" s="1" t="n">
        <v>45838</v>
      </c>
      <c r="D1023" t="inlineStr">
        <is>
          <t>GÄVLEBORGS LÄN</t>
        </is>
      </c>
      <c r="E1023" t="inlineStr">
        <is>
          <t>OVANÅKER</t>
        </is>
      </c>
      <c r="G1023" t="n">
        <v>5.9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16469-2024</t>
        </is>
      </c>
      <c r="B1024" s="1" t="n">
        <v>45408</v>
      </c>
      <c r="C1024" s="1" t="n">
        <v>45838</v>
      </c>
      <c r="D1024" t="inlineStr">
        <is>
          <t>GÄVLEBORGS LÄN</t>
        </is>
      </c>
      <c r="E1024" t="inlineStr">
        <is>
          <t>OVANÅKER</t>
        </is>
      </c>
      <c r="G1024" t="n">
        <v>8.9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16605-2024</t>
        </is>
      </c>
      <c r="B1025" s="1" t="n">
        <v>45408</v>
      </c>
      <c r="C1025" s="1" t="n">
        <v>45838</v>
      </c>
      <c r="D1025" t="inlineStr">
        <is>
          <t>GÄVLEBORGS LÄN</t>
        </is>
      </c>
      <c r="E1025" t="inlineStr">
        <is>
          <t>OVANÅKER</t>
        </is>
      </c>
      <c r="G1025" t="n">
        <v>17.8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16560-2024</t>
        </is>
      </c>
      <c r="B1026" s="1" t="n">
        <v>45408</v>
      </c>
      <c r="C1026" s="1" t="n">
        <v>45838</v>
      </c>
      <c r="D1026" t="inlineStr">
        <is>
          <t>GÄVLEBORGS LÄN</t>
        </is>
      </c>
      <c r="E1026" t="inlineStr">
        <is>
          <t>OVANÅKER</t>
        </is>
      </c>
      <c r="G1026" t="n">
        <v>2.2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16632-2024</t>
        </is>
      </c>
      <c r="B1027" s="1" t="n">
        <v>45408</v>
      </c>
      <c r="C1027" s="1" t="n">
        <v>45838</v>
      </c>
      <c r="D1027" t="inlineStr">
        <is>
          <t>GÄVLEBORGS LÄN</t>
        </is>
      </c>
      <c r="E1027" t="inlineStr">
        <is>
          <t>OVANÅKER</t>
        </is>
      </c>
      <c r="G1027" t="n">
        <v>1.4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16900-2024</t>
        </is>
      </c>
      <c r="B1028" s="1" t="n">
        <v>45411</v>
      </c>
      <c r="C1028" s="1" t="n">
        <v>45838</v>
      </c>
      <c r="D1028" t="inlineStr">
        <is>
          <t>GÄVLEBORGS LÄN</t>
        </is>
      </c>
      <c r="E1028" t="inlineStr">
        <is>
          <t>OVANÅKER</t>
        </is>
      </c>
      <c r="G1028" t="n">
        <v>8.699999999999999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17036-2024</t>
        </is>
      </c>
      <c r="B1029" s="1" t="n">
        <v>45412</v>
      </c>
      <c r="C1029" s="1" t="n">
        <v>45838</v>
      </c>
      <c r="D1029" t="inlineStr">
        <is>
          <t>GÄVLEBORGS LÄN</t>
        </is>
      </c>
      <c r="E1029" t="inlineStr">
        <is>
          <t>OVANÅKER</t>
        </is>
      </c>
      <c r="G1029" t="n">
        <v>1.2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17141-2024</t>
        </is>
      </c>
      <c r="B1030" s="1" t="n">
        <v>45412</v>
      </c>
      <c r="C1030" s="1" t="n">
        <v>45838</v>
      </c>
      <c r="D1030" t="inlineStr">
        <is>
          <t>GÄVLEBORGS LÄN</t>
        </is>
      </c>
      <c r="E1030" t="inlineStr">
        <is>
          <t>OVANÅKER</t>
        </is>
      </c>
      <c r="G1030" t="n">
        <v>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17137-2024</t>
        </is>
      </c>
      <c r="B1031" s="1" t="n">
        <v>45412</v>
      </c>
      <c r="C1031" s="1" t="n">
        <v>45838</v>
      </c>
      <c r="D1031" t="inlineStr">
        <is>
          <t>GÄVLEBORGS LÄN</t>
        </is>
      </c>
      <c r="E1031" t="inlineStr">
        <is>
          <t>OVANÅKER</t>
        </is>
      </c>
      <c r="G1031" t="n">
        <v>0.5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17625-2024</t>
        </is>
      </c>
      <c r="B1032" s="1" t="n">
        <v>45417</v>
      </c>
      <c r="C1032" s="1" t="n">
        <v>45838</v>
      </c>
      <c r="D1032" t="inlineStr">
        <is>
          <t>GÄVLEBORGS LÄN</t>
        </is>
      </c>
      <c r="E1032" t="inlineStr">
        <is>
          <t>OVANÅKER</t>
        </is>
      </c>
      <c r="G1032" t="n">
        <v>0.1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17756-2024</t>
        </is>
      </c>
      <c r="B1033" s="1" t="n">
        <v>45418</v>
      </c>
      <c r="C1033" s="1" t="n">
        <v>45838</v>
      </c>
      <c r="D1033" t="inlineStr">
        <is>
          <t>GÄVLEBORGS LÄN</t>
        </is>
      </c>
      <c r="E1033" t="inlineStr">
        <is>
          <t>OVANÅKER</t>
        </is>
      </c>
      <c r="F1033" t="inlineStr">
        <is>
          <t>Bergvik skog öst AB</t>
        </is>
      </c>
      <c r="G1033" t="n">
        <v>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17831-2024</t>
        </is>
      </c>
      <c r="B1034" s="1" t="n">
        <v>45419</v>
      </c>
      <c r="C1034" s="1" t="n">
        <v>45838</v>
      </c>
      <c r="D1034" t="inlineStr">
        <is>
          <t>GÄVLEBORGS LÄN</t>
        </is>
      </c>
      <c r="E1034" t="inlineStr">
        <is>
          <t>OVANÅKER</t>
        </is>
      </c>
      <c r="F1034" t="inlineStr">
        <is>
          <t>Bergvik skog öst AB</t>
        </is>
      </c>
      <c r="G1034" t="n">
        <v>0.6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17833-2024</t>
        </is>
      </c>
      <c r="B1035" s="1" t="n">
        <v>45419</v>
      </c>
      <c r="C1035" s="1" t="n">
        <v>45838</v>
      </c>
      <c r="D1035" t="inlineStr">
        <is>
          <t>GÄVLEBORGS LÄN</t>
        </is>
      </c>
      <c r="E1035" t="inlineStr">
        <is>
          <t>OVANÅKER</t>
        </is>
      </c>
      <c r="F1035" t="inlineStr">
        <is>
          <t>Bergvik skog öst AB</t>
        </is>
      </c>
      <c r="G1035" t="n">
        <v>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17999-2024</t>
        </is>
      </c>
      <c r="B1036" s="1" t="n">
        <v>45420</v>
      </c>
      <c r="C1036" s="1" t="n">
        <v>45838</v>
      </c>
      <c r="D1036" t="inlineStr">
        <is>
          <t>GÄVLEBORGS LÄN</t>
        </is>
      </c>
      <c r="E1036" t="inlineStr">
        <is>
          <t>OVANÅKER</t>
        </is>
      </c>
      <c r="G1036" t="n">
        <v>0.8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17997-2024</t>
        </is>
      </c>
      <c r="B1037" s="1" t="n">
        <v>45420</v>
      </c>
      <c r="C1037" s="1" t="n">
        <v>45838</v>
      </c>
      <c r="D1037" t="inlineStr">
        <is>
          <t>GÄVLEBORGS LÄN</t>
        </is>
      </c>
      <c r="E1037" t="inlineStr">
        <is>
          <t>OVANÅKER</t>
        </is>
      </c>
      <c r="G1037" t="n">
        <v>0.7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17998-2024</t>
        </is>
      </c>
      <c r="B1038" s="1" t="n">
        <v>45420</v>
      </c>
      <c r="C1038" s="1" t="n">
        <v>45838</v>
      </c>
      <c r="D1038" t="inlineStr">
        <is>
          <t>GÄVLEBORGS LÄN</t>
        </is>
      </c>
      <c r="E1038" t="inlineStr">
        <is>
          <t>OVANÅKER</t>
        </is>
      </c>
      <c r="G1038" t="n">
        <v>8.699999999999999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18016-2024</t>
        </is>
      </c>
      <c r="B1039" s="1" t="n">
        <v>45420</v>
      </c>
      <c r="C1039" s="1" t="n">
        <v>45838</v>
      </c>
      <c r="D1039" t="inlineStr">
        <is>
          <t>GÄVLEBORGS LÄN</t>
        </is>
      </c>
      <c r="E1039" t="inlineStr">
        <is>
          <t>OVANÅKER</t>
        </is>
      </c>
      <c r="G1039" t="n">
        <v>5.1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18194-2024</t>
        </is>
      </c>
      <c r="B1040" s="1" t="n">
        <v>45420</v>
      </c>
      <c r="C1040" s="1" t="n">
        <v>45838</v>
      </c>
      <c r="D1040" t="inlineStr">
        <is>
          <t>GÄVLEBORGS LÄN</t>
        </is>
      </c>
      <c r="E1040" t="inlineStr">
        <is>
          <t>OVANÅKER</t>
        </is>
      </c>
      <c r="G1040" t="n">
        <v>1.3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18015-2024</t>
        </is>
      </c>
      <c r="B1041" s="1" t="n">
        <v>45420</v>
      </c>
      <c r="C1041" s="1" t="n">
        <v>45838</v>
      </c>
      <c r="D1041" t="inlineStr">
        <is>
          <t>GÄVLEBORGS LÄN</t>
        </is>
      </c>
      <c r="E1041" t="inlineStr">
        <is>
          <t>OVANÅKER</t>
        </is>
      </c>
      <c r="G1041" t="n">
        <v>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18156-2024</t>
        </is>
      </c>
      <c r="B1042" s="1" t="n">
        <v>45420</v>
      </c>
      <c r="C1042" s="1" t="n">
        <v>45838</v>
      </c>
      <c r="D1042" t="inlineStr">
        <is>
          <t>GÄVLEBORGS LÄN</t>
        </is>
      </c>
      <c r="E1042" t="inlineStr">
        <is>
          <t>OVANÅKER</t>
        </is>
      </c>
      <c r="G1042" t="n">
        <v>0.8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18197-2024</t>
        </is>
      </c>
      <c r="B1043" s="1" t="n">
        <v>45420</v>
      </c>
      <c r="C1043" s="1" t="n">
        <v>45838</v>
      </c>
      <c r="D1043" t="inlineStr">
        <is>
          <t>GÄVLEBORGS LÄN</t>
        </is>
      </c>
      <c r="E1043" t="inlineStr">
        <is>
          <t>OVANÅKER</t>
        </is>
      </c>
      <c r="G1043" t="n">
        <v>2.1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18244-2024</t>
        </is>
      </c>
      <c r="B1044" s="1" t="n">
        <v>45421</v>
      </c>
      <c r="C1044" s="1" t="n">
        <v>45838</v>
      </c>
      <c r="D1044" t="inlineStr">
        <is>
          <t>GÄVLEBORGS LÄN</t>
        </is>
      </c>
      <c r="E1044" t="inlineStr">
        <is>
          <t>OVANÅKER</t>
        </is>
      </c>
      <c r="G1044" t="n">
        <v>0.7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18243-2024</t>
        </is>
      </c>
      <c r="B1045" s="1" t="n">
        <v>45421</v>
      </c>
      <c r="C1045" s="1" t="n">
        <v>45838</v>
      </c>
      <c r="D1045" t="inlineStr">
        <is>
          <t>GÄVLEBORGS LÄN</t>
        </is>
      </c>
      <c r="E1045" t="inlineStr">
        <is>
          <t>OVANÅKER</t>
        </is>
      </c>
      <c r="G1045" t="n">
        <v>1.1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18255-2024</t>
        </is>
      </c>
      <c r="B1046" s="1" t="n">
        <v>45421</v>
      </c>
      <c r="C1046" s="1" t="n">
        <v>45838</v>
      </c>
      <c r="D1046" t="inlineStr">
        <is>
          <t>GÄVLEBORGS LÄN</t>
        </is>
      </c>
      <c r="E1046" t="inlineStr">
        <is>
          <t>OVANÅKER</t>
        </is>
      </c>
      <c r="G1046" t="n">
        <v>3.1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19042-2024</t>
        </is>
      </c>
      <c r="B1047" s="1" t="n">
        <v>45427</v>
      </c>
      <c r="C1047" s="1" t="n">
        <v>45838</v>
      </c>
      <c r="D1047" t="inlineStr">
        <is>
          <t>GÄVLEBORGS LÄN</t>
        </is>
      </c>
      <c r="E1047" t="inlineStr">
        <is>
          <t>OVANÅKER</t>
        </is>
      </c>
      <c r="G1047" t="n">
        <v>1.7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19039-2024</t>
        </is>
      </c>
      <c r="B1048" s="1" t="n">
        <v>45427</v>
      </c>
      <c r="C1048" s="1" t="n">
        <v>45838</v>
      </c>
      <c r="D1048" t="inlineStr">
        <is>
          <t>GÄVLEBORGS LÄN</t>
        </is>
      </c>
      <c r="E1048" t="inlineStr">
        <is>
          <t>OVANÅKER</t>
        </is>
      </c>
      <c r="G1048" t="n">
        <v>2.3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19041-2024</t>
        </is>
      </c>
      <c r="B1049" s="1" t="n">
        <v>45427</v>
      </c>
      <c r="C1049" s="1" t="n">
        <v>45838</v>
      </c>
      <c r="D1049" t="inlineStr">
        <is>
          <t>GÄVLEBORGS LÄN</t>
        </is>
      </c>
      <c r="E1049" t="inlineStr">
        <is>
          <t>OVANÅKER</t>
        </is>
      </c>
      <c r="G1049" t="n">
        <v>1.6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19172-2024</t>
        </is>
      </c>
      <c r="B1050" s="1" t="n">
        <v>45428</v>
      </c>
      <c r="C1050" s="1" t="n">
        <v>45838</v>
      </c>
      <c r="D1050" t="inlineStr">
        <is>
          <t>GÄVLEBORGS LÄN</t>
        </is>
      </c>
      <c r="E1050" t="inlineStr">
        <is>
          <t>OVANÅKER</t>
        </is>
      </c>
      <c r="G1050" t="n">
        <v>0.6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19163-2024</t>
        </is>
      </c>
      <c r="B1051" s="1" t="n">
        <v>45428</v>
      </c>
      <c r="C1051" s="1" t="n">
        <v>45838</v>
      </c>
      <c r="D1051" t="inlineStr">
        <is>
          <t>GÄVLEBORGS LÄN</t>
        </is>
      </c>
      <c r="E1051" t="inlineStr">
        <is>
          <t>OVANÅKER</t>
        </is>
      </c>
      <c r="G1051" t="n">
        <v>0.9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19289-2024</t>
        </is>
      </c>
      <c r="B1052" s="1" t="n">
        <v>45428</v>
      </c>
      <c r="C1052" s="1" t="n">
        <v>45838</v>
      </c>
      <c r="D1052" t="inlineStr">
        <is>
          <t>GÄVLEBORGS LÄN</t>
        </is>
      </c>
      <c r="E1052" t="inlineStr">
        <is>
          <t>OVANÅKER</t>
        </is>
      </c>
      <c r="G1052" t="n">
        <v>1.4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19177-2024</t>
        </is>
      </c>
      <c r="B1053" s="1" t="n">
        <v>45428</v>
      </c>
      <c r="C1053" s="1" t="n">
        <v>45838</v>
      </c>
      <c r="D1053" t="inlineStr">
        <is>
          <t>GÄVLEBORGS LÄN</t>
        </is>
      </c>
      <c r="E1053" t="inlineStr">
        <is>
          <t>OVANÅKER</t>
        </is>
      </c>
      <c r="G1053" t="n">
        <v>0.1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19522-2024</t>
        </is>
      </c>
      <c r="B1054" s="1" t="n">
        <v>45429</v>
      </c>
      <c r="C1054" s="1" t="n">
        <v>45838</v>
      </c>
      <c r="D1054" t="inlineStr">
        <is>
          <t>GÄVLEBORGS LÄN</t>
        </is>
      </c>
      <c r="E1054" t="inlineStr">
        <is>
          <t>OVANÅKER</t>
        </is>
      </c>
      <c r="G1054" t="n">
        <v>2.3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19547-2024</t>
        </is>
      </c>
      <c r="B1055" s="1" t="n">
        <v>45429</v>
      </c>
      <c r="C1055" s="1" t="n">
        <v>45838</v>
      </c>
      <c r="D1055" t="inlineStr">
        <is>
          <t>GÄVLEBORGS LÄN</t>
        </is>
      </c>
      <c r="E1055" t="inlineStr">
        <is>
          <t>OVANÅKER</t>
        </is>
      </c>
      <c r="G1055" t="n">
        <v>11.9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19632-2024</t>
        </is>
      </c>
      <c r="B1056" s="1" t="n">
        <v>45432</v>
      </c>
      <c r="C1056" s="1" t="n">
        <v>45838</v>
      </c>
      <c r="D1056" t="inlineStr">
        <is>
          <t>GÄVLEBORGS LÄN</t>
        </is>
      </c>
      <c r="E1056" t="inlineStr">
        <is>
          <t>OVANÅKER</t>
        </is>
      </c>
      <c r="G1056" t="n">
        <v>1.5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19629-2024</t>
        </is>
      </c>
      <c r="B1057" s="1" t="n">
        <v>45432</v>
      </c>
      <c r="C1057" s="1" t="n">
        <v>45838</v>
      </c>
      <c r="D1057" t="inlineStr">
        <is>
          <t>GÄVLEBORGS LÄN</t>
        </is>
      </c>
      <c r="E1057" t="inlineStr">
        <is>
          <t>OVANÅKER</t>
        </is>
      </c>
      <c r="G1057" t="n">
        <v>1.2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19656-2024</t>
        </is>
      </c>
      <c r="B1058" s="1" t="n">
        <v>45432</v>
      </c>
      <c r="C1058" s="1" t="n">
        <v>45838</v>
      </c>
      <c r="D1058" t="inlineStr">
        <is>
          <t>GÄVLEBORGS LÄN</t>
        </is>
      </c>
      <c r="E1058" t="inlineStr">
        <is>
          <t>OVANÅKER</t>
        </is>
      </c>
      <c r="G1058" t="n">
        <v>9.4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20049-2024</t>
        </is>
      </c>
      <c r="B1059" s="1" t="n">
        <v>45434</v>
      </c>
      <c r="C1059" s="1" t="n">
        <v>45838</v>
      </c>
      <c r="D1059" t="inlineStr">
        <is>
          <t>GÄVLEBORGS LÄN</t>
        </is>
      </c>
      <c r="E1059" t="inlineStr">
        <is>
          <t>OVANÅKER</t>
        </is>
      </c>
      <c r="F1059" t="inlineStr">
        <is>
          <t>Kyrkan</t>
        </is>
      </c>
      <c r="G1059" t="n">
        <v>9.699999999999999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20265-2024</t>
        </is>
      </c>
      <c r="B1060" s="1" t="n">
        <v>45435</v>
      </c>
      <c r="C1060" s="1" t="n">
        <v>45838</v>
      </c>
      <c r="D1060" t="inlineStr">
        <is>
          <t>GÄVLEBORGS LÄN</t>
        </is>
      </c>
      <c r="E1060" t="inlineStr">
        <is>
          <t>OVANÅKER</t>
        </is>
      </c>
      <c r="G1060" t="n">
        <v>20.1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20266-2024</t>
        </is>
      </c>
      <c r="B1061" s="1" t="n">
        <v>45435</v>
      </c>
      <c r="C1061" s="1" t="n">
        <v>45838</v>
      </c>
      <c r="D1061" t="inlineStr">
        <is>
          <t>GÄVLEBORGS LÄN</t>
        </is>
      </c>
      <c r="E1061" t="inlineStr">
        <is>
          <t>OVANÅKER</t>
        </is>
      </c>
      <c r="G1061" t="n">
        <v>2.2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20264-2024</t>
        </is>
      </c>
      <c r="B1062" s="1" t="n">
        <v>45435</v>
      </c>
      <c r="C1062" s="1" t="n">
        <v>45838</v>
      </c>
      <c r="D1062" t="inlineStr">
        <is>
          <t>GÄVLEBORGS LÄN</t>
        </is>
      </c>
      <c r="E1062" t="inlineStr">
        <is>
          <t>OVANÅKER</t>
        </is>
      </c>
      <c r="G1062" t="n">
        <v>5.3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20649-2024</t>
        </is>
      </c>
      <c r="B1063" s="1" t="n">
        <v>45436</v>
      </c>
      <c r="C1063" s="1" t="n">
        <v>45838</v>
      </c>
      <c r="D1063" t="inlineStr">
        <is>
          <t>GÄVLEBORGS LÄN</t>
        </is>
      </c>
      <c r="E1063" t="inlineStr">
        <is>
          <t>OVANÅKER</t>
        </is>
      </c>
      <c r="G1063" t="n">
        <v>2.2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20976-2024</t>
        </is>
      </c>
      <c r="B1064" s="1" t="n">
        <v>45439</v>
      </c>
      <c r="C1064" s="1" t="n">
        <v>45838</v>
      </c>
      <c r="D1064" t="inlineStr">
        <is>
          <t>GÄVLEBORGS LÄN</t>
        </is>
      </c>
      <c r="E1064" t="inlineStr">
        <is>
          <t>OVANÅKER</t>
        </is>
      </c>
      <c r="G1064" t="n">
        <v>3.3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21429-2024</t>
        </is>
      </c>
      <c r="B1065" s="1" t="n">
        <v>45441</v>
      </c>
      <c r="C1065" s="1" t="n">
        <v>45838</v>
      </c>
      <c r="D1065" t="inlineStr">
        <is>
          <t>GÄVLEBORGS LÄN</t>
        </is>
      </c>
      <c r="E1065" t="inlineStr">
        <is>
          <t>OVANÅKER</t>
        </is>
      </c>
      <c r="F1065" t="inlineStr">
        <is>
          <t>Kyrkan</t>
        </is>
      </c>
      <c r="G1065" t="n">
        <v>11.3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21905-2024</t>
        </is>
      </c>
      <c r="B1066" s="1" t="n">
        <v>45443</v>
      </c>
      <c r="C1066" s="1" t="n">
        <v>45838</v>
      </c>
      <c r="D1066" t="inlineStr">
        <is>
          <t>GÄVLEBORGS LÄN</t>
        </is>
      </c>
      <c r="E1066" t="inlineStr">
        <is>
          <t>OVANÅKER</t>
        </is>
      </c>
      <c r="F1066" t="inlineStr">
        <is>
          <t>Kyrkan</t>
        </is>
      </c>
      <c r="G1066" t="n">
        <v>7.5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22346-2024</t>
        </is>
      </c>
      <c r="B1067" s="1" t="n">
        <v>45446</v>
      </c>
      <c r="C1067" s="1" t="n">
        <v>45838</v>
      </c>
      <c r="D1067" t="inlineStr">
        <is>
          <t>GÄVLEBORGS LÄN</t>
        </is>
      </c>
      <c r="E1067" t="inlineStr">
        <is>
          <t>OVANÅKER</t>
        </is>
      </c>
      <c r="G1067" t="n">
        <v>2.5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22347-2024</t>
        </is>
      </c>
      <c r="B1068" s="1" t="n">
        <v>45446</v>
      </c>
      <c r="C1068" s="1" t="n">
        <v>45838</v>
      </c>
      <c r="D1068" t="inlineStr">
        <is>
          <t>GÄVLEBORGS LÄN</t>
        </is>
      </c>
      <c r="E1068" t="inlineStr">
        <is>
          <t>OVANÅKER</t>
        </is>
      </c>
      <c r="G1068" t="n">
        <v>0.6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22357-2024</t>
        </is>
      </c>
      <c r="B1069" s="1" t="n">
        <v>45446</v>
      </c>
      <c r="C1069" s="1" t="n">
        <v>45838</v>
      </c>
      <c r="D1069" t="inlineStr">
        <is>
          <t>GÄVLEBORGS LÄN</t>
        </is>
      </c>
      <c r="E1069" t="inlineStr">
        <is>
          <t>OVANÅKER</t>
        </is>
      </c>
      <c r="G1069" t="n">
        <v>1.3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22173-2024</t>
        </is>
      </c>
      <c r="B1070" s="1" t="n">
        <v>45446</v>
      </c>
      <c r="C1070" s="1" t="n">
        <v>45838</v>
      </c>
      <c r="D1070" t="inlineStr">
        <is>
          <t>GÄVLEBORGS LÄN</t>
        </is>
      </c>
      <c r="E1070" t="inlineStr">
        <is>
          <t>OVANÅKER</t>
        </is>
      </c>
      <c r="G1070" t="n">
        <v>1.9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22741-2024</t>
        </is>
      </c>
      <c r="B1071" s="1" t="n">
        <v>45448</v>
      </c>
      <c r="C1071" s="1" t="n">
        <v>45838</v>
      </c>
      <c r="D1071" t="inlineStr">
        <is>
          <t>GÄVLEBORGS LÄN</t>
        </is>
      </c>
      <c r="E1071" t="inlineStr">
        <is>
          <t>OVANÅKER</t>
        </is>
      </c>
      <c r="F1071" t="inlineStr">
        <is>
          <t>Bergvik skog väst AB</t>
        </is>
      </c>
      <c r="G1071" t="n">
        <v>18.7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23040-2024</t>
        </is>
      </c>
      <c r="B1072" s="1" t="n">
        <v>45450</v>
      </c>
      <c r="C1072" s="1" t="n">
        <v>45838</v>
      </c>
      <c r="D1072" t="inlineStr">
        <is>
          <t>GÄVLEBORGS LÄN</t>
        </is>
      </c>
      <c r="E1072" t="inlineStr">
        <is>
          <t>OVANÅKER</t>
        </is>
      </c>
      <c r="G1072" t="n">
        <v>2.4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23038-2024</t>
        </is>
      </c>
      <c r="B1073" s="1" t="n">
        <v>45450</v>
      </c>
      <c r="C1073" s="1" t="n">
        <v>45838</v>
      </c>
      <c r="D1073" t="inlineStr">
        <is>
          <t>GÄVLEBORGS LÄN</t>
        </is>
      </c>
      <c r="E1073" t="inlineStr">
        <is>
          <t>OVANÅKER</t>
        </is>
      </c>
      <c r="G1073" t="n">
        <v>1.7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23442-2024</t>
        </is>
      </c>
      <c r="B1074" s="1" t="n">
        <v>45453</v>
      </c>
      <c r="C1074" s="1" t="n">
        <v>45838</v>
      </c>
      <c r="D1074" t="inlineStr">
        <is>
          <t>GÄVLEBORGS LÄN</t>
        </is>
      </c>
      <c r="E1074" t="inlineStr">
        <is>
          <t>OVANÅKER</t>
        </is>
      </c>
      <c r="G1074" t="n">
        <v>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23447-2024</t>
        </is>
      </c>
      <c r="B1075" s="1" t="n">
        <v>45453</v>
      </c>
      <c r="C1075" s="1" t="n">
        <v>45838</v>
      </c>
      <c r="D1075" t="inlineStr">
        <is>
          <t>GÄVLEBORGS LÄN</t>
        </is>
      </c>
      <c r="E1075" t="inlineStr">
        <is>
          <t>OVANÅKER</t>
        </is>
      </c>
      <c r="G1075" t="n">
        <v>3.1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23499-2024</t>
        </is>
      </c>
      <c r="B1076" s="1" t="n">
        <v>45453</v>
      </c>
      <c r="C1076" s="1" t="n">
        <v>45838</v>
      </c>
      <c r="D1076" t="inlineStr">
        <is>
          <t>GÄVLEBORGS LÄN</t>
        </is>
      </c>
      <c r="E1076" t="inlineStr">
        <is>
          <t>OVANÅKER</t>
        </is>
      </c>
      <c r="G1076" t="n">
        <v>2.8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23582-2024</t>
        </is>
      </c>
      <c r="B1077" s="1" t="n">
        <v>45454</v>
      </c>
      <c r="C1077" s="1" t="n">
        <v>45838</v>
      </c>
      <c r="D1077" t="inlineStr">
        <is>
          <t>GÄVLEBORGS LÄN</t>
        </is>
      </c>
      <c r="E1077" t="inlineStr">
        <is>
          <t>OVANÅKER</t>
        </is>
      </c>
      <c r="G1077" t="n">
        <v>3.3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23593-2024</t>
        </is>
      </c>
      <c r="B1078" s="1" t="n">
        <v>45454</v>
      </c>
      <c r="C1078" s="1" t="n">
        <v>45838</v>
      </c>
      <c r="D1078" t="inlineStr">
        <is>
          <t>GÄVLEBORGS LÄN</t>
        </is>
      </c>
      <c r="E1078" t="inlineStr">
        <is>
          <t>OVANÅKER</t>
        </is>
      </c>
      <c r="G1078" t="n">
        <v>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23604-2024</t>
        </is>
      </c>
      <c r="B1079" s="1" t="n">
        <v>45454</v>
      </c>
      <c r="C1079" s="1" t="n">
        <v>45838</v>
      </c>
      <c r="D1079" t="inlineStr">
        <is>
          <t>GÄVLEBORGS LÄN</t>
        </is>
      </c>
      <c r="E1079" t="inlineStr">
        <is>
          <t>OVANÅKER</t>
        </is>
      </c>
      <c r="G1079" t="n">
        <v>3.6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23588-2024</t>
        </is>
      </c>
      <c r="B1080" s="1" t="n">
        <v>45454</v>
      </c>
      <c r="C1080" s="1" t="n">
        <v>45838</v>
      </c>
      <c r="D1080" t="inlineStr">
        <is>
          <t>GÄVLEBORGS LÄN</t>
        </is>
      </c>
      <c r="E1080" t="inlineStr">
        <is>
          <t>OVANÅKER</t>
        </is>
      </c>
      <c r="G1080" t="n">
        <v>6.7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23792-2024</t>
        </is>
      </c>
      <c r="B1081" s="1" t="n">
        <v>45455</v>
      </c>
      <c r="C1081" s="1" t="n">
        <v>45838</v>
      </c>
      <c r="D1081" t="inlineStr">
        <is>
          <t>GÄVLEBORGS LÄN</t>
        </is>
      </c>
      <c r="E1081" t="inlineStr">
        <is>
          <t>OVANÅKER</t>
        </is>
      </c>
      <c r="G1081" t="n">
        <v>3.7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23958-2024</t>
        </is>
      </c>
      <c r="B1082" s="1" t="n">
        <v>45456</v>
      </c>
      <c r="C1082" s="1" t="n">
        <v>45838</v>
      </c>
      <c r="D1082" t="inlineStr">
        <is>
          <t>GÄVLEBORGS LÄN</t>
        </is>
      </c>
      <c r="E1082" t="inlineStr">
        <is>
          <t>OVANÅKER</t>
        </is>
      </c>
      <c r="G1082" t="n">
        <v>7.1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23959-2024</t>
        </is>
      </c>
      <c r="B1083" s="1" t="n">
        <v>45456</v>
      </c>
      <c r="C1083" s="1" t="n">
        <v>45838</v>
      </c>
      <c r="D1083" t="inlineStr">
        <is>
          <t>GÄVLEBORGS LÄN</t>
        </is>
      </c>
      <c r="E1083" t="inlineStr">
        <is>
          <t>OVANÅKER</t>
        </is>
      </c>
      <c r="G1083" t="n">
        <v>19.2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24047-2024</t>
        </is>
      </c>
      <c r="B1084" s="1" t="n">
        <v>45456</v>
      </c>
      <c r="C1084" s="1" t="n">
        <v>45838</v>
      </c>
      <c r="D1084" t="inlineStr">
        <is>
          <t>GÄVLEBORGS LÄN</t>
        </is>
      </c>
      <c r="E1084" t="inlineStr">
        <is>
          <t>OVANÅKER</t>
        </is>
      </c>
      <c r="G1084" t="n">
        <v>0.3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24064-2024</t>
        </is>
      </c>
      <c r="B1085" s="1" t="n">
        <v>45456</v>
      </c>
      <c r="C1085" s="1" t="n">
        <v>45838</v>
      </c>
      <c r="D1085" t="inlineStr">
        <is>
          <t>GÄVLEBORGS LÄN</t>
        </is>
      </c>
      <c r="E1085" t="inlineStr">
        <is>
          <t>OVANÅKER</t>
        </is>
      </c>
      <c r="F1085" t="inlineStr">
        <is>
          <t>Bergvik skog väst AB</t>
        </is>
      </c>
      <c r="G1085" t="n">
        <v>6.8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24084-2024</t>
        </is>
      </c>
      <c r="B1086" s="1" t="n">
        <v>45456</v>
      </c>
      <c r="C1086" s="1" t="n">
        <v>45838</v>
      </c>
      <c r="D1086" t="inlineStr">
        <is>
          <t>GÄVLEBORGS LÄN</t>
        </is>
      </c>
      <c r="E1086" t="inlineStr">
        <is>
          <t>OVANÅKER</t>
        </is>
      </c>
      <c r="F1086" t="inlineStr">
        <is>
          <t>Bergvik skog väst AB</t>
        </is>
      </c>
      <c r="G1086" t="n">
        <v>4.6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24032-2024</t>
        </is>
      </c>
      <c r="B1087" s="1" t="n">
        <v>45456</v>
      </c>
      <c r="C1087" s="1" t="n">
        <v>45838</v>
      </c>
      <c r="D1087" t="inlineStr">
        <is>
          <t>GÄVLEBORGS LÄN</t>
        </is>
      </c>
      <c r="E1087" t="inlineStr">
        <is>
          <t>OVANÅKER</t>
        </is>
      </c>
      <c r="F1087" t="inlineStr">
        <is>
          <t>Bergvik skog väst AB</t>
        </is>
      </c>
      <c r="G1087" t="n">
        <v>1.3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24056-2024</t>
        </is>
      </c>
      <c r="B1088" s="1" t="n">
        <v>45456</v>
      </c>
      <c r="C1088" s="1" t="n">
        <v>45838</v>
      </c>
      <c r="D1088" t="inlineStr">
        <is>
          <t>GÄVLEBORGS LÄN</t>
        </is>
      </c>
      <c r="E1088" t="inlineStr">
        <is>
          <t>OVANÅKER</t>
        </is>
      </c>
      <c r="F1088" t="inlineStr">
        <is>
          <t>Bergvik skog väst AB</t>
        </is>
      </c>
      <c r="G1088" t="n">
        <v>2.5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24069-2024</t>
        </is>
      </c>
      <c r="B1089" s="1" t="n">
        <v>45456</v>
      </c>
      <c r="C1089" s="1" t="n">
        <v>45838</v>
      </c>
      <c r="D1089" t="inlineStr">
        <is>
          <t>GÄVLEBORGS LÄN</t>
        </is>
      </c>
      <c r="E1089" t="inlineStr">
        <is>
          <t>OVANÅKER</t>
        </is>
      </c>
      <c r="F1089" t="inlineStr">
        <is>
          <t>Bergvik skog väst AB</t>
        </is>
      </c>
      <c r="G1089" t="n">
        <v>3.6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24074-2024</t>
        </is>
      </c>
      <c r="B1090" s="1" t="n">
        <v>45456</v>
      </c>
      <c r="C1090" s="1" t="n">
        <v>45838</v>
      </c>
      <c r="D1090" t="inlineStr">
        <is>
          <t>GÄVLEBORGS LÄN</t>
        </is>
      </c>
      <c r="E1090" t="inlineStr">
        <is>
          <t>OVANÅKER</t>
        </is>
      </c>
      <c r="G1090" t="n">
        <v>1.1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24134-2024</t>
        </is>
      </c>
      <c r="B1091" s="1" t="n">
        <v>45456</v>
      </c>
      <c r="C1091" s="1" t="n">
        <v>45838</v>
      </c>
      <c r="D1091" t="inlineStr">
        <is>
          <t>GÄVLEBORGS LÄN</t>
        </is>
      </c>
      <c r="E1091" t="inlineStr">
        <is>
          <t>OVANÅKER</t>
        </is>
      </c>
      <c r="F1091" t="inlineStr">
        <is>
          <t>Bergvik skog väst AB</t>
        </is>
      </c>
      <c r="G1091" t="n">
        <v>1.4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24137-2024</t>
        </is>
      </c>
      <c r="B1092" s="1" t="n">
        <v>45456</v>
      </c>
      <c r="C1092" s="1" t="n">
        <v>45838</v>
      </c>
      <c r="D1092" t="inlineStr">
        <is>
          <t>GÄVLEBORGS LÄN</t>
        </is>
      </c>
      <c r="E1092" t="inlineStr">
        <is>
          <t>OVANÅKER</t>
        </is>
      </c>
      <c r="F1092" t="inlineStr">
        <is>
          <t>Bergvik skog väst AB</t>
        </is>
      </c>
      <c r="G1092" t="n">
        <v>1.5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24067-2024</t>
        </is>
      </c>
      <c r="B1093" s="1" t="n">
        <v>45456</v>
      </c>
      <c r="C1093" s="1" t="n">
        <v>45838</v>
      </c>
      <c r="D1093" t="inlineStr">
        <is>
          <t>GÄVLEBORGS LÄN</t>
        </is>
      </c>
      <c r="E1093" t="inlineStr">
        <is>
          <t>OVANÅKER</t>
        </is>
      </c>
      <c r="F1093" t="inlineStr">
        <is>
          <t>Bergvik skog väst AB</t>
        </is>
      </c>
      <c r="G1093" t="n">
        <v>1.5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24075-2024</t>
        </is>
      </c>
      <c r="B1094" s="1" t="n">
        <v>45456</v>
      </c>
      <c r="C1094" s="1" t="n">
        <v>45838</v>
      </c>
      <c r="D1094" t="inlineStr">
        <is>
          <t>GÄVLEBORGS LÄN</t>
        </is>
      </c>
      <c r="E1094" t="inlineStr">
        <is>
          <t>OVANÅKER</t>
        </is>
      </c>
      <c r="F1094" t="inlineStr">
        <is>
          <t>Bergvik skog väst AB</t>
        </is>
      </c>
      <c r="G1094" t="n">
        <v>1.1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24079-2024</t>
        </is>
      </c>
      <c r="B1095" s="1" t="n">
        <v>45456</v>
      </c>
      <c r="C1095" s="1" t="n">
        <v>45838</v>
      </c>
      <c r="D1095" t="inlineStr">
        <is>
          <t>GÄVLEBORGS LÄN</t>
        </is>
      </c>
      <c r="E1095" t="inlineStr">
        <is>
          <t>OVANÅKER</t>
        </is>
      </c>
      <c r="F1095" t="inlineStr">
        <is>
          <t>Bergvik skog väst AB</t>
        </is>
      </c>
      <c r="G1095" t="n">
        <v>2.2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24294-2024</t>
        </is>
      </c>
      <c r="B1096" s="1" t="n">
        <v>45457</v>
      </c>
      <c r="C1096" s="1" t="n">
        <v>45838</v>
      </c>
      <c r="D1096" t="inlineStr">
        <is>
          <t>GÄVLEBORGS LÄN</t>
        </is>
      </c>
      <c r="E1096" t="inlineStr">
        <is>
          <t>OVANÅKER</t>
        </is>
      </c>
      <c r="G1096" t="n">
        <v>1.2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24322-2024</t>
        </is>
      </c>
      <c r="B1097" s="1" t="n">
        <v>45457</v>
      </c>
      <c r="C1097" s="1" t="n">
        <v>45838</v>
      </c>
      <c r="D1097" t="inlineStr">
        <is>
          <t>GÄVLEBORGS LÄN</t>
        </is>
      </c>
      <c r="E1097" t="inlineStr">
        <is>
          <t>OVANÅKER</t>
        </is>
      </c>
      <c r="G1097" t="n">
        <v>0.7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24326-2024</t>
        </is>
      </c>
      <c r="B1098" s="1" t="n">
        <v>45457</v>
      </c>
      <c r="C1098" s="1" t="n">
        <v>45838</v>
      </c>
      <c r="D1098" t="inlineStr">
        <is>
          <t>GÄVLEBORGS LÄN</t>
        </is>
      </c>
      <c r="E1098" t="inlineStr">
        <is>
          <t>OVANÅKER</t>
        </is>
      </c>
      <c r="G1098" t="n">
        <v>1.2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24293-2024</t>
        </is>
      </c>
      <c r="B1099" s="1" t="n">
        <v>45457</v>
      </c>
      <c r="C1099" s="1" t="n">
        <v>45838</v>
      </c>
      <c r="D1099" t="inlineStr">
        <is>
          <t>GÄVLEBORGS LÄN</t>
        </is>
      </c>
      <c r="E1099" t="inlineStr">
        <is>
          <t>OVANÅKER</t>
        </is>
      </c>
      <c r="G1099" t="n">
        <v>3.8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24728-2024</t>
        </is>
      </c>
      <c r="B1100" s="1" t="n">
        <v>45460</v>
      </c>
      <c r="C1100" s="1" t="n">
        <v>45838</v>
      </c>
      <c r="D1100" t="inlineStr">
        <is>
          <t>GÄVLEBORGS LÄN</t>
        </is>
      </c>
      <c r="E1100" t="inlineStr">
        <is>
          <t>OVANÅKER</t>
        </is>
      </c>
      <c r="G1100" t="n">
        <v>3.5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24671-2024</t>
        </is>
      </c>
      <c r="B1101" s="1" t="n">
        <v>45460</v>
      </c>
      <c r="C1101" s="1" t="n">
        <v>45838</v>
      </c>
      <c r="D1101" t="inlineStr">
        <is>
          <t>GÄVLEBORGS LÄN</t>
        </is>
      </c>
      <c r="E1101" t="inlineStr">
        <is>
          <t>OVANÅKER</t>
        </is>
      </c>
      <c r="G1101" t="n">
        <v>3.3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24725-2024</t>
        </is>
      </c>
      <c r="B1102" s="1" t="n">
        <v>45460</v>
      </c>
      <c r="C1102" s="1" t="n">
        <v>45838</v>
      </c>
      <c r="D1102" t="inlineStr">
        <is>
          <t>GÄVLEBORGS LÄN</t>
        </is>
      </c>
      <c r="E1102" t="inlineStr">
        <is>
          <t>OVANÅKER</t>
        </is>
      </c>
      <c r="G1102" t="n">
        <v>1.5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25003-2024</t>
        </is>
      </c>
      <c r="B1103" s="1" t="n">
        <v>45461</v>
      </c>
      <c r="C1103" s="1" t="n">
        <v>45838</v>
      </c>
      <c r="D1103" t="inlineStr">
        <is>
          <t>GÄVLEBORGS LÄN</t>
        </is>
      </c>
      <c r="E1103" t="inlineStr">
        <is>
          <t>OVANÅKER</t>
        </is>
      </c>
      <c r="G1103" t="n">
        <v>1.3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24971-2024</t>
        </is>
      </c>
      <c r="B1104" s="1" t="n">
        <v>45461</v>
      </c>
      <c r="C1104" s="1" t="n">
        <v>45838</v>
      </c>
      <c r="D1104" t="inlineStr">
        <is>
          <t>GÄVLEBORGS LÄN</t>
        </is>
      </c>
      <c r="E1104" t="inlineStr">
        <is>
          <t>OVANÅKER</t>
        </is>
      </c>
      <c r="F1104" t="inlineStr">
        <is>
          <t>Bergvik skog väst AB</t>
        </is>
      </c>
      <c r="G1104" t="n">
        <v>4.9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24954-2024</t>
        </is>
      </c>
      <c r="B1105" s="1" t="n">
        <v>45461</v>
      </c>
      <c r="C1105" s="1" t="n">
        <v>45838</v>
      </c>
      <c r="D1105" t="inlineStr">
        <is>
          <t>GÄVLEBORGS LÄN</t>
        </is>
      </c>
      <c r="E1105" t="inlineStr">
        <is>
          <t>OVANÅKER</t>
        </is>
      </c>
      <c r="F1105" t="inlineStr">
        <is>
          <t>Bergvik skog väst AB</t>
        </is>
      </c>
      <c r="G1105" t="n">
        <v>4.4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24835-2024</t>
        </is>
      </c>
      <c r="B1106" s="1" t="n">
        <v>45461</v>
      </c>
      <c r="C1106" s="1" t="n">
        <v>45838</v>
      </c>
      <c r="D1106" t="inlineStr">
        <is>
          <t>GÄVLEBORGS LÄN</t>
        </is>
      </c>
      <c r="E1106" t="inlineStr">
        <is>
          <t>OVANÅKER</t>
        </is>
      </c>
      <c r="G1106" t="n">
        <v>1.2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25297-2024</t>
        </is>
      </c>
      <c r="B1107" s="1" t="n">
        <v>45462</v>
      </c>
      <c r="C1107" s="1" t="n">
        <v>45838</v>
      </c>
      <c r="D1107" t="inlineStr">
        <is>
          <t>GÄVLEBORGS LÄN</t>
        </is>
      </c>
      <c r="E1107" t="inlineStr">
        <is>
          <t>OVANÅKER</t>
        </is>
      </c>
      <c r="G1107" t="n">
        <v>1.9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25293-2024</t>
        </is>
      </c>
      <c r="B1108" s="1" t="n">
        <v>45462</v>
      </c>
      <c r="C1108" s="1" t="n">
        <v>45838</v>
      </c>
      <c r="D1108" t="inlineStr">
        <is>
          <t>GÄVLEBORGS LÄN</t>
        </is>
      </c>
      <c r="E1108" t="inlineStr">
        <is>
          <t>OVANÅKER</t>
        </is>
      </c>
      <c r="G1108" t="n">
        <v>4.3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25299-2024</t>
        </is>
      </c>
      <c r="B1109" s="1" t="n">
        <v>45462</v>
      </c>
      <c r="C1109" s="1" t="n">
        <v>45838</v>
      </c>
      <c r="D1109" t="inlineStr">
        <is>
          <t>GÄVLEBORGS LÄN</t>
        </is>
      </c>
      <c r="E1109" t="inlineStr">
        <is>
          <t>OVANÅKER</t>
        </is>
      </c>
      <c r="G1109" t="n">
        <v>0.7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25250-2024</t>
        </is>
      </c>
      <c r="B1110" s="1" t="n">
        <v>45462</v>
      </c>
      <c r="C1110" s="1" t="n">
        <v>45838</v>
      </c>
      <c r="D1110" t="inlineStr">
        <is>
          <t>GÄVLEBORGS LÄN</t>
        </is>
      </c>
      <c r="E1110" t="inlineStr">
        <is>
          <t>OVANÅKER</t>
        </is>
      </c>
      <c r="F1110" t="inlineStr">
        <is>
          <t>Bergvik skog öst AB</t>
        </is>
      </c>
      <c r="G1110" t="n">
        <v>0.9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25345-2024</t>
        </is>
      </c>
      <c r="B1111" s="1" t="n">
        <v>45463</v>
      </c>
      <c r="C1111" s="1" t="n">
        <v>45838</v>
      </c>
      <c r="D1111" t="inlineStr">
        <is>
          <t>GÄVLEBORGS LÄN</t>
        </is>
      </c>
      <c r="E1111" t="inlineStr">
        <is>
          <t>OVANÅKER</t>
        </is>
      </c>
      <c r="G1111" t="n">
        <v>2.1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25823-2024</t>
        </is>
      </c>
      <c r="B1112" s="1" t="n">
        <v>45463</v>
      </c>
      <c r="C1112" s="1" t="n">
        <v>45838</v>
      </c>
      <c r="D1112" t="inlineStr">
        <is>
          <t>GÄVLEBORGS LÄN</t>
        </is>
      </c>
      <c r="E1112" t="inlineStr">
        <is>
          <t>OVANÅKER</t>
        </is>
      </c>
      <c r="G1112" t="n">
        <v>1.3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25529-2024</t>
        </is>
      </c>
      <c r="B1113" s="1" t="n">
        <v>45463</v>
      </c>
      <c r="C1113" s="1" t="n">
        <v>45838</v>
      </c>
      <c r="D1113" t="inlineStr">
        <is>
          <t>GÄVLEBORGS LÄN</t>
        </is>
      </c>
      <c r="E1113" t="inlineStr">
        <is>
          <t>OVANÅKER</t>
        </is>
      </c>
      <c r="G1113" t="n">
        <v>3.2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25831-2024</t>
        </is>
      </c>
      <c r="B1114" s="1" t="n">
        <v>45463</v>
      </c>
      <c r="C1114" s="1" t="n">
        <v>45838</v>
      </c>
      <c r="D1114" t="inlineStr">
        <is>
          <t>GÄVLEBORGS LÄN</t>
        </is>
      </c>
      <c r="E1114" t="inlineStr">
        <is>
          <t>OVANÅKER</t>
        </is>
      </c>
      <c r="G1114" t="n">
        <v>2.6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25411-2024</t>
        </is>
      </c>
      <c r="B1115" s="1" t="n">
        <v>45463</v>
      </c>
      <c r="C1115" s="1" t="n">
        <v>45838</v>
      </c>
      <c r="D1115" t="inlineStr">
        <is>
          <t>GÄVLEBORGS LÄN</t>
        </is>
      </c>
      <c r="E1115" t="inlineStr">
        <is>
          <t>OVANÅKER</t>
        </is>
      </c>
      <c r="F1115" t="inlineStr">
        <is>
          <t>Bergvik skog öst AB</t>
        </is>
      </c>
      <c r="G1115" t="n">
        <v>1.5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26028-2024</t>
        </is>
      </c>
      <c r="B1116" s="1" t="n">
        <v>45468</v>
      </c>
      <c r="C1116" s="1" t="n">
        <v>45838</v>
      </c>
      <c r="D1116" t="inlineStr">
        <is>
          <t>GÄVLEBORGS LÄN</t>
        </is>
      </c>
      <c r="E1116" t="inlineStr">
        <is>
          <t>OVANÅKER</t>
        </is>
      </c>
      <c r="G1116" t="n">
        <v>5.4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26027-2024</t>
        </is>
      </c>
      <c r="B1117" s="1" t="n">
        <v>45468</v>
      </c>
      <c r="C1117" s="1" t="n">
        <v>45838</v>
      </c>
      <c r="D1117" t="inlineStr">
        <is>
          <t>GÄVLEBORGS LÄN</t>
        </is>
      </c>
      <c r="E1117" t="inlineStr">
        <is>
          <t>OVANÅKER</t>
        </is>
      </c>
      <c r="G1117" t="n">
        <v>1.6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26814-2024</t>
        </is>
      </c>
      <c r="B1118" s="1" t="n">
        <v>45470</v>
      </c>
      <c r="C1118" s="1" t="n">
        <v>45838</v>
      </c>
      <c r="D1118" t="inlineStr">
        <is>
          <t>GÄVLEBORGS LÄN</t>
        </is>
      </c>
      <c r="E1118" t="inlineStr">
        <is>
          <t>OVANÅKER</t>
        </is>
      </c>
      <c r="G1118" t="n">
        <v>0.8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26735-2024</t>
        </is>
      </c>
      <c r="B1119" s="1" t="n">
        <v>45470</v>
      </c>
      <c r="C1119" s="1" t="n">
        <v>45838</v>
      </c>
      <c r="D1119" t="inlineStr">
        <is>
          <t>GÄVLEBORGS LÄN</t>
        </is>
      </c>
      <c r="E1119" t="inlineStr">
        <is>
          <t>OVANÅKER</t>
        </is>
      </c>
      <c r="F1119" t="inlineStr">
        <is>
          <t>Bergvik skog väst AB</t>
        </is>
      </c>
      <c r="G1119" t="n">
        <v>2.8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26767-2024</t>
        </is>
      </c>
      <c r="B1120" s="1" t="n">
        <v>45470</v>
      </c>
      <c r="C1120" s="1" t="n">
        <v>45838</v>
      </c>
      <c r="D1120" t="inlineStr">
        <is>
          <t>GÄVLEBORGS LÄN</t>
        </is>
      </c>
      <c r="E1120" t="inlineStr">
        <is>
          <t>OVANÅKER</t>
        </is>
      </c>
      <c r="F1120" t="inlineStr">
        <is>
          <t>Bergvik skog väst AB</t>
        </is>
      </c>
      <c r="G1120" t="n">
        <v>11.8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26744-2024</t>
        </is>
      </c>
      <c r="B1121" s="1" t="n">
        <v>45470</v>
      </c>
      <c r="C1121" s="1" t="n">
        <v>45838</v>
      </c>
      <c r="D1121" t="inlineStr">
        <is>
          <t>GÄVLEBORGS LÄN</t>
        </is>
      </c>
      <c r="E1121" t="inlineStr">
        <is>
          <t>OVANÅKER</t>
        </is>
      </c>
      <c r="F1121" t="inlineStr">
        <is>
          <t>Bergvik skog väst AB</t>
        </is>
      </c>
      <c r="G1121" t="n">
        <v>4.7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26829-2024</t>
        </is>
      </c>
      <c r="B1122" s="1" t="n">
        <v>45470</v>
      </c>
      <c r="C1122" s="1" t="n">
        <v>45838</v>
      </c>
      <c r="D1122" t="inlineStr">
        <is>
          <t>GÄVLEBORGS LÄN</t>
        </is>
      </c>
      <c r="E1122" t="inlineStr">
        <is>
          <t>OVANÅKER</t>
        </is>
      </c>
      <c r="G1122" t="n">
        <v>2.7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27215-2024</t>
        </is>
      </c>
      <c r="B1123" s="1" t="n">
        <v>45471</v>
      </c>
      <c r="C1123" s="1" t="n">
        <v>45838</v>
      </c>
      <c r="D1123" t="inlineStr">
        <is>
          <t>GÄVLEBORGS LÄN</t>
        </is>
      </c>
      <c r="E1123" t="inlineStr">
        <is>
          <t>OVANÅKER</t>
        </is>
      </c>
      <c r="G1123" t="n">
        <v>4.5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26984-2024</t>
        </is>
      </c>
      <c r="B1124" s="1" t="n">
        <v>45471</v>
      </c>
      <c r="C1124" s="1" t="n">
        <v>45838</v>
      </c>
      <c r="D1124" t="inlineStr">
        <is>
          <t>GÄVLEBORGS LÄN</t>
        </is>
      </c>
      <c r="E1124" t="inlineStr">
        <is>
          <t>OVANÅKER</t>
        </is>
      </c>
      <c r="G1124" t="n">
        <v>3.4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27422-2024</t>
        </is>
      </c>
      <c r="B1125" s="1" t="n">
        <v>45474</v>
      </c>
      <c r="C1125" s="1" t="n">
        <v>45838</v>
      </c>
      <c r="D1125" t="inlineStr">
        <is>
          <t>GÄVLEBORGS LÄN</t>
        </is>
      </c>
      <c r="E1125" t="inlineStr">
        <is>
          <t>OVANÅKER</t>
        </is>
      </c>
      <c r="G1125" t="n">
        <v>0.6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27601-2024</t>
        </is>
      </c>
      <c r="B1126" s="1" t="n">
        <v>45474</v>
      </c>
      <c r="C1126" s="1" t="n">
        <v>45838</v>
      </c>
      <c r="D1126" t="inlineStr">
        <is>
          <t>GÄVLEBORGS LÄN</t>
        </is>
      </c>
      <c r="E1126" t="inlineStr">
        <is>
          <t>OVANÅKER</t>
        </is>
      </c>
      <c r="G1126" t="n">
        <v>6.2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27971-2024</t>
        </is>
      </c>
      <c r="B1127" s="1" t="n">
        <v>45476</v>
      </c>
      <c r="C1127" s="1" t="n">
        <v>45838</v>
      </c>
      <c r="D1127" t="inlineStr">
        <is>
          <t>GÄVLEBORGS LÄN</t>
        </is>
      </c>
      <c r="E1127" t="inlineStr">
        <is>
          <t>OVANÅKER</t>
        </is>
      </c>
      <c r="G1127" t="n">
        <v>0.8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28001-2024</t>
        </is>
      </c>
      <c r="B1128" s="1" t="n">
        <v>45476</v>
      </c>
      <c r="C1128" s="1" t="n">
        <v>45838</v>
      </c>
      <c r="D1128" t="inlineStr">
        <is>
          <t>GÄVLEBORGS LÄN</t>
        </is>
      </c>
      <c r="E1128" t="inlineStr">
        <is>
          <t>OVANÅKER</t>
        </is>
      </c>
      <c r="F1128" t="inlineStr">
        <is>
          <t>Bergvik skog väst AB</t>
        </is>
      </c>
      <c r="G1128" t="n">
        <v>22.9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28448-2024</t>
        </is>
      </c>
      <c r="B1129" s="1" t="n">
        <v>45477</v>
      </c>
      <c r="C1129" s="1" t="n">
        <v>45838</v>
      </c>
      <c r="D1129" t="inlineStr">
        <is>
          <t>GÄVLEBORGS LÄN</t>
        </is>
      </c>
      <c r="E1129" t="inlineStr">
        <is>
          <t>OVANÅKER</t>
        </is>
      </c>
      <c r="G1129" t="n">
        <v>3.8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28371-2024</t>
        </is>
      </c>
      <c r="B1130" s="1" t="n">
        <v>45477</v>
      </c>
      <c r="C1130" s="1" t="n">
        <v>45838</v>
      </c>
      <c r="D1130" t="inlineStr">
        <is>
          <t>GÄVLEBORGS LÄN</t>
        </is>
      </c>
      <c r="E1130" t="inlineStr">
        <is>
          <t>OVANÅKER</t>
        </is>
      </c>
      <c r="G1130" t="n">
        <v>13.9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28445-2024</t>
        </is>
      </c>
      <c r="B1131" s="1" t="n">
        <v>45477</v>
      </c>
      <c r="C1131" s="1" t="n">
        <v>45838</v>
      </c>
      <c r="D1131" t="inlineStr">
        <is>
          <t>GÄVLEBORGS LÄN</t>
        </is>
      </c>
      <c r="E1131" t="inlineStr">
        <is>
          <t>OVANÅKER</t>
        </is>
      </c>
      <c r="G1131" t="n">
        <v>9.5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28450-2024</t>
        </is>
      </c>
      <c r="B1132" s="1" t="n">
        <v>45477</v>
      </c>
      <c r="C1132" s="1" t="n">
        <v>45838</v>
      </c>
      <c r="D1132" t="inlineStr">
        <is>
          <t>GÄVLEBORGS LÄN</t>
        </is>
      </c>
      <c r="E1132" t="inlineStr">
        <is>
          <t>OVANÅKER</t>
        </is>
      </c>
      <c r="G1132" t="n">
        <v>4.9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28446-2024</t>
        </is>
      </c>
      <c r="B1133" s="1" t="n">
        <v>45477</v>
      </c>
      <c r="C1133" s="1" t="n">
        <v>45838</v>
      </c>
      <c r="D1133" t="inlineStr">
        <is>
          <t>GÄVLEBORGS LÄN</t>
        </is>
      </c>
      <c r="E1133" t="inlineStr">
        <is>
          <t>OVANÅKER</t>
        </is>
      </c>
      <c r="G1133" t="n">
        <v>0.6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28744-2024</t>
        </is>
      </c>
      <c r="B1134" s="1" t="n">
        <v>45478</v>
      </c>
      <c r="C1134" s="1" t="n">
        <v>45838</v>
      </c>
      <c r="D1134" t="inlineStr">
        <is>
          <t>GÄVLEBORGS LÄN</t>
        </is>
      </c>
      <c r="E1134" t="inlineStr">
        <is>
          <t>OVANÅKER</t>
        </is>
      </c>
      <c r="G1134" t="n">
        <v>0.6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29294-2024</t>
        </is>
      </c>
      <c r="B1135" s="1" t="n">
        <v>45483</v>
      </c>
      <c r="C1135" s="1" t="n">
        <v>45838</v>
      </c>
      <c r="D1135" t="inlineStr">
        <is>
          <t>GÄVLEBORGS LÄN</t>
        </is>
      </c>
      <c r="E1135" t="inlineStr">
        <is>
          <t>OVANÅKER</t>
        </is>
      </c>
      <c r="F1135" t="inlineStr">
        <is>
          <t>Bergvik skog väst AB</t>
        </is>
      </c>
      <c r="G1135" t="n">
        <v>15.6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30224-2024</t>
        </is>
      </c>
      <c r="B1136" s="1" t="n">
        <v>45490</v>
      </c>
      <c r="C1136" s="1" t="n">
        <v>45838</v>
      </c>
      <c r="D1136" t="inlineStr">
        <is>
          <t>GÄVLEBORGS LÄN</t>
        </is>
      </c>
      <c r="E1136" t="inlineStr">
        <is>
          <t>OVANÅKER</t>
        </is>
      </c>
      <c r="F1136" t="inlineStr">
        <is>
          <t>Bergvik skog väst AB</t>
        </is>
      </c>
      <c r="G1136" t="n">
        <v>25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30254-2024</t>
        </is>
      </c>
      <c r="B1137" s="1" t="n">
        <v>45490</v>
      </c>
      <c r="C1137" s="1" t="n">
        <v>45838</v>
      </c>
      <c r="D1137" t="inlineStr">
        <is>
          <t>GÄVLEBORGS LÄN</t>
        </is>
      </c>
      <c r="E1137" t="inlineStr">
        <is>
          <t>OVANÅKER</t>
        </is>
      </c>
      <c r="F1137" t="inlineStr">
        <is>
          <t>Bergvik skog väst AB</t>
        </is>
      </c>
      <c r="G1137" t="n">
        <v>1.1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30241-2024</t>
        </is>
      </c>
      <c r="B1138" s="1" t="n">
        <v>45490</v>
      </c>
      <c r="C1138" s="1" t="n">
        <v>45838</v>
      </c>
      <c r="D1138" t="inlineStr">
        <is>
          <t>GÄVLEBORGS LÄN</t>
        </is>
      </c>
      <c r="E1138" t="inlineStr">
        <is>
          <t>OVANÅKER</t>
        </is>
      </c>
      <c r="G1138" t="n">
        <v>3.3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30245-2024</t>
        </is>
      </c>
      <c r="B1139" s="1" t="n">
        <v>45490</v>
      </c>
      <c r="C1139" s="1" t="n">
        <v>45838</v>
      </c>
      <c r="D1139" t="inlineStr">
        <is>
          <t>GÄVLEBORGS LÄN</t>
        </is>
      </c>
      <c r="E1139" t="inlineStr">
        <is>
          <t>OVANÅKER</t>
        </is>
      </c>
      <c r="G1139" t="n">
        <v>1.9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30257-2024</t>
        </is>
      </c>
      <c r="B1140" s="1" t="n">
        <v>45490</v>
      </c>
      <c r="C1140" s="1" t="n">
        <v>45838</v>
      </c>
      <c r="D1140" t="inlineStr">
        <is>
          <t>GÄVLEBORGS LÄN</t>
        </is>
      </c>
      <c r="E1140" t="inlineStr">
        <is>
          <t>OVANÅKER</t>
        </is>
      </c>
      <c r="F1140" t="inlineStr">
        <is>
          <t>Bergvik skog väst AB</t>
        </is>
      </c>
      <c r="G1140" t="n">
        <v>5.1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30269-2024</t>
        </is>
      </c>
      <c r="B1141" s="1" t="n">
        <v>45490</v>
      </c>
      <c r="C1141" s="1" t="n">
        <v>45838</v>
      </c>
      <c r="D1141" t="inlineStr">
        <is>
          <t>GÄVLEBORGS LÄN</t>
        </is>
      </c>
      <c r="E1141" t="inlineStr">
        <is>
          <t>OVANÅKER</t>
        </is>
      </c>
      <c r="F1141" t="inlineStr">
        <is>
          <t>Bergvik skog väst AB</t>
        </is>
      </c>
      <c r="G1141" t="n">
        <v>3.3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30199-2024</t>
        </is>
      </c>
      <c r="B1142" s="1" t="n">
        <v>45490</v>
      </c>
      <c r="C1142" s="1" t="n">
        <v>45838</v>
      </c>
      <c r="D1142" t="inlineStr">
        <is>
          <t>GÄVLEBORGS LÄN</t>
        </is>
      </c>
      <c r="E1142" t="inlineStr">
        <is>
          <t>OVANÅKER</t>
        </is>
      </c>
      <c r="F1142" t="inlineStr">
        <is>
          <t>Bergvik skog väst AB</t>
        </is>
      </c>
      <c r="G1142" t="n">
        <v>20.8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30565-2024</t>
        </is>
      </c>
      <c r="B1143" s="1" t="n">
        <v>45493</v>
      </c>
      <c r="C1143" s="1" t="n">
        <v>45838</v>
      </c>
      <c r="D1143" t="inlineStr">
        <is>
          <t>GÄVLEBORGS LÄN</t>
        </is>
      </c>
      <c r="E1143" t="inlineStr">
        <is>
          <t>OVANÅKER</t>
        </is>
      </c>
      <c r="G1143" t="n">
        <v>1.8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30566-2024</t>
        </is>
      </c>
      <c r="B1144" s="1" t="n">
        <v>45493</v>
      </c>
      <c r="C1144" s="1" t="n">
        <v>45838</v>
      </c>
      <c r="D1144" t="inlineStr">
        <is>
          <t>GÄVLEBORGS LÄN</t>
        </is>
      </c>
      <c r="E1144" t="inlineStr">
        <is>
          <t>OVANÅKER</t>
        </is>
      </c>
      <c r="G1144" t="n">
        <v>2.9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30492-2024</t>
        </is>
      </c>
      <c r="B1145" s="1" t="n">
        <v>45492</v>
      </c>
      <c r="C1145" s="1" t="n">
        <v>45838</v>
      </c>
      <c r="D1145" t="inlineStr">
        <is>
          <t>GÄVLEBORGS LÄN</t>
        </is>
      </c>
      <c r="E1145" t="inlineStr">
        <is>
          <t>OVANÅKER</t>
        </is>
      </c>
      <c r="F1145" t="inlineStr">
        <is>
          <t>Bergvik skog väst AB</t>
        </is>
      </c>
      <c r="G1145" t="n">
        <v>6.7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30695-2024</t>
        </is>
      </c>
      <c r="B1146" s="1" t="n">
        <v>45496</v>
      </c>
      <c r="C1146" s="1" t="n">
        <v>45838</v>
      </c>
      <c r="D1146" t="inlineStr">
        <is>
          <t>GÄVLEBORGS LÄN</t>
        </is>
      </c>
      <c r="E1146" t="inlineStr">
        <is>
          <t>OVANÅKER</t>
        </is>
      </c>
      <c r="F1146" t="inlineStr">
        <is>
          <t>Bergvik skog väst AB</t>
        </is>
      </c>
      <c r="G1146" t="n">
        <v>8.1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30802-2024</t>
        </is>
      </c>
      <c r="B1147" s="1" t="n">
        <v>45497</v>
      </c>
      <c r="C1147" s="1" t="n">
        <v>45838</v>
      </c>
      <c r="D1147" t="inlineStr">
        <is>
          <t>GÄVLEBORGS LÄN</t>
        </is>
      </c>
      <c r="E1147" t="inlineStr">
        <is>
          <t>OVANÅKER</t>
        </is>
      </c>
      <c r="F1147" t="inlineStr">
        <is>
          <t>Bergvik skog väst AB</t>
        </is>
      </c>
      <c r="G1147" t="n">
        <v>2.1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30919-2024</t>
        </is>
      </c>
      <c r="B1148" s="1" t="n">
        <v>45498</v>
      </c>
      <c r="C1148" s="1" t="n">
        <v>45838</v>
      </c>
      <c r="D1148" t="inlineStr">
        <is>
          <t>GÄVLEBORGS LÄN</t>
        </is>
      </c>
      <c r="E1148" t="inlineStr">
        <is>
          <t>OVANÅKER</t>
        </is>
      </c>
      <c r="F1148" t="inlineStr">
        <is>
          <t>Bergvik skog öst AB</t>
        </is>
      </c>
      <c r="G1148" t="n">
        <v>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30906-2024</t>
        </is>
      </c>
      <c r="B1149" s="1" t="n">
        <v>45498</v>
      </c>
      <c r="C1149" s="1" t="n">
        <v>45838</v>
      </c>
      <c r="D1149" t="inlineStr">
        <is>
          <t>GÄVLEBORGS LÄN</t>
        </is>
      </c>
      <c r="E1149" t="inlineStr">
        <is>
          <t>OVANÅKER</t>
        </is>
      </c>
      <c r="F1149" t="inlineStr">
        <is>
          <t>Bergvik skog öst AB</t>
        </is>
      </c>
      <c r="G1149" t="n">
        <v>5.3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30946-2024</t>
        </is>
      </c>
      <c r="B1150" s="1" t="n">
        <v>45499</v>
      </c>
      <c r="C1150" s="1" t="n">
        <v>45838</v>
      </c>
      <c r="D1150" t="inlineStr">
        <is>
          <t>GÄVLEBORGS LÄN</t>
        </is>
      </c>
      <c r="E1150" t="inlineStr">
        <is>
          <t>OVANÅKER</t>
        </is>
      </c>
      <c r="F1150" t="inlineStr">
        <is>
          <t>Bergvik skog öst AB</t>
        </is>
      </c>
      <c r="G1150" t="n">
        <v>1.8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31063-2024</t>
        </is>
      </c>
      <c r="B1151" s="1" t="n">
        <v>45502</v>
      </c>
      <c r="C1151" s="1" t="n">
        <v>45838</v>
      </c>
      <c r="D1151" t="inlineStr">
        <is>
          <t>GÄVLEBORGS LÄN</t>
        </is>
      </c>
      <c r="E1151" t="inlineStr">
        <is>
          <t>OVANÅKER</t>
        </is>
      </c>
      <c r="G1151" t="n">
        <v>1.9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31084-2024</t>
        </is>
      </c>
      <c r="B1152" s="1" t="n">
        <v>45502</v>
      </c>
      <c r="C1152" s="1" t="n">
        <v>45838</v>
      </c>
      <c r="D1152" t="inlineStr">
        <is>
          <t>GÄVLEBORGS LÄN</t>
        </is>
      </c>
      <c r="E1152" t="inlineStr">
        <is>
          <t>OVANÅKER</t>
        </is>
      </c>
      <c r="F1152" t="inlineStr">
        <is>
          <t>Bergvik skog öst AB</t>
        </is>
      </c>
      <c r="G1152" t="n">
        <v>6.7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31052-2024</t>
        </is>
      </c>
      <c r="B1153" s="1" t="n">
        <v>45502</v>
      </c>
      <c r="C1153" s="1" t="n">
        <v>45838</v>
      </c>
      <c r="D1153" t="inlineStr">
        <is>
          <t>GÄVLEBORGS LÄN</t>
        </is>
      </c>
      <c r="E1153" t="inlineStr">
        <is>
          <t>OVANÅKER</t>
        </is>
      </c>
      <c r="F1153" t="inlineStr">
        <is>
          <t>Bergvik skog väst AB</t>
        </is>
      </c>
      <c r="G1153" t="n">
        <v>2.9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31175-2024</t>
        </is>
      </c>
      <c r="B1154" s="1" t="n">
        <v>45503</v>
      </c>
      <c r="C1154" s="1" t="n">
        <v>45838</v>
      </c>
      <c r="D1154" t="inlineStr">
        <is>
          <t>GÄVLEBORGS LÄN</t>
        </is>
      </c>
      <c r="E1154" t="inlineStr">
        <is>
          <t>OVANÅKER</t>
        </is>
      </c>
      <c r="F1154" t="inlineStr">
        <is>
          <t>Bergvik skog väst AB</t>
        </is>
      </c>
      <c r="G1154" t="n">
        <v>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31298-2024</t>
        </is>
      </c>
      <c r="B1155" s="1" t="n">
        <v>45504</v>
      </c>
      <c r="C1155" s="1" t="n">
        <v>45838</v>
      </c>
      <c r="D1155" t="inlineStr">
        <is>
          <t>GÄVLEBORGS LÄN</t>
        </is>
      </c>
      <c r="E1155" t="inlineStr">
        <is>
          <t>OVANÅKER</t>
        </is>
      </c>
      <c r="G1155" t="n">
        <v>2.4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31296-2024</t>
        </is>
      </c>
      <c r="B1156" s="1" t="n">
        <v>45504</v>
      </c>
      <c r="C1156" s="1" t="n">
        <v>45838</v>
      </c>
      <c r="D1156" t="inlineStr">
        <is>
          <t>GÄVLEBORGS LÄN</t>
        </is>
      </c>
      <c r="E1156" t="inlineStr">
        <is>
          <t>OVANÅKER</t>
        </is>
      </c>
      <c r="G1156" t="n">
        <v>0.8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32274-2024</t>
        </is>
      </c>
      <c r="B1157" s="1" t="n">
        <v>45512</v>
      </c>
      <c r="C1157" s="1" t="n">
        <v>45838</v>
      </c>
      <c r="D1157" t="inlineStr">
        <is>
          <t>GÄVLEBORGS LÄN</t>
        </is>
      </c>
      <c r="E1157" t="inlineStr">
        <is>
          <t>OVANÅKER</t>
        </is>
      </c>
      <c r="F1157" t="inlineStr">
        <is>
          <t>Bergvik skog väst AB</t>
        </is>
      </c>
      <c r="G1157" t="n">
        <v>6.1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32296-2024</t>
        </is>
      </c>
      <c r="B1158" s="1" t="n">
        <v>45512</v>
      </c>
      <c r="C1158" s="1" t="n">
        <v>45838</v>
      </c>
      <c r="D1158" t="inlineStr">
        <is>
          <t>GÄVLEBORGS LÄN</t>
        </is>
      </c>
      <c r="E1158" t="inlineStr">
        <is>
          <t>OVANÅKER</t>
        </is>
      </c>
      <c r="F1158" t="inlineStr">
        <is>
          <t>Bergvik skog väst AB</t>
        </is>
      </c>
      <c r="G1158" t="n">
        <v>4.4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32345-2024</t>
        </is>
      </c>
      <c r="B1159" s="1" t="n">
        <v>45512</v>
      </c>
      <c r="C1159" s="1" t="n">
        <v>45838</v>
      </c>
      <c r="D1159" t="inlineStr">
        <is>
          <t>GÄVLEBORGS LÄN</t>
        </is>
      </c>
      <c r="E1159" t="inlineStr">
        <is>
          <t>OVANÅKER</t>
        </is>
      </c>
      <c r="F1159" t="inlineStr">
        <is>
          <t>Bergvik skog väst AB</t>
        </is>
      </c>
      <c r="G1159" t="n">
        <v>3.2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32348-2024</t>
        </is>
      </c>
      <c r="B1160" s="1" t="n">
        <v>45512</v>
      </c>
      <c r="C1160" s="1" t="n">
        <v>45838</v>
      </c>
      <c r="D1160" t="inlineStr">
        <is>
          <t>GÄVLEBORGS LÄN</t>
        </is>
      </c>
      <c r="E1160" t="inlineStr">
        <is>
          <t>OVANÅKER</t>
        </is>
      </c>
      <c r="F1160" t="inlineStr">
        <is>
          <t>Bergvik skog väst AB</t>
        </is>
      </c>
      <c r="G1160" t="n">
        <v>3.1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32686-2024</t>
        </is>
      </c>
      <c r="B1161" s="1" t="n">
        <v>45515</v>
      </c>
      <c r="C1161" s="1" t="n">
        <v>45838</v>
      </c>
      <c r="D1161" t="inlineStr">
        <is>
          <t>GÄVLEBORGS LÄN</t>
        </is>
      </c>
      <c r="E1161" t="inlineStr">
        <is>
          <t>OVANÅKER</t>
        </is>
      </c>
      <c r="G1161" t="n">
        <v>3.6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32682-2024</t>
        </is>
      </c>
      <c r="B1162" s="1" t="n">
        <v>45515</v>
      </c>
      <c r="C1162" s="1" t="n">
        <v>45838</v>
      </c>
      <c r="D1162" t="inlineStr">
        <is>
          <t>GÄVLEBORGS LÄN</t>
        </is>
      </c>
      <c r="E1162" t="inlineStr">
        <is>
          <t>OVANÅKER</t>
        </is>
      </c>
      <c r="G1162" t="n">
        <v>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32804-2024</t>
        </is>
      </c>
      <c r="B1163" s="1" t="n">
        <v>45516</v>
      </c>
      <c r="C1163" s="1" t="n">
        <v>45838</v>
      </c>
      <c r="D1163" t="inlineStr">
        <is>
          <t>GÄVLEBORGS LÄN</t>
        </is>
      </c>
      <c r="E1163" t="inlineStr">
        <is>
          <t>OVANÅKER</t>
        </is>
      </c>
      <c r="F1163" t="inlineStr">
        <is>
          <t>Bergvik skog öst AB</t>
        </is>
      </c>
      <c r="G1163" t="n">
        <v>1.6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32996-2024</t>
        </is>
      </c>
      <c r="B1164" s="1" t="n">
        <v>45517</v>
      </c>
      <c r="C1164" s="1" t="n">
        <v>45838</v>
      </c>
      <c r="D1164" t="inlineStr">
        <is>
          <t>GÄVLEBORGS LÄN</t>
        </is>
      </c>
      <c r="E1164" t="inlineStr">
        <is>
          <t>OVANÅKER</t>
        </is>
      </c>
      <c r="F1164" t="inlineStr">
        <is>
          <t>Bergvik skog väst AB</t>
        </is>
      </c>
      <c r="G1164" t="n">
        <v>1.8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32969-2024</t>
        </is>
      </c>
      <c r="B1165" s="1" t="n">
        <v>45517</v>
      </c>
      <c r="C1165" s="1" t="n">
        <v>45838</v>
      </c>
      <c r="D1165" t="inlineStr">
        <is>
          <t>GÄVLEBORGS LÄN</t>
        </is>
      </c>
      <c r="E1165" t="inlineStr">
        <is>
          <t>OVANÅKER</t>
        </is>
      </c>
      <c r="F1165" t="inlineStr">
        <is>
          <t>Bergvik skog väst AB</t>
        </is>
      </c>
      <c r="G1165" t="n">
        <v>1.3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32947-2024</t>
        </is>
      </c>
      <c r="B1166" s="1" t="n">
        <v>45517</v>
      </c>
      <c r="C1166" s="1" t="n">
        <v>45838</v>
      </c>
      <c r="D1166" t="inlineStr">
        <is>
          <t>GÄVLEBORGS LÄN</t>
        </is>
      </c>
      <c r="E1166" t="inlineStr">
        <is>
          <t>OVANÅKER</t>
        </is>
      </c>
      <c r="F1166" t="inlineStr">
        <is>
          <t>Bergvik skog väst AB</t>
        </is>
      </c>
      <c r="G1166" t="n">
        <v>11.9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33249-2024</t>
        </is>
      </c>
      <c r="B1167" s="1" t="n">
        <v>45518</v>
      </c>
      <c r="C1167" s="1" t="n">
        <v>45838</v>
      </c>
      <c r="D1167" t="inlineStr">
        <is>
          <t>GÄVLEBORGS LÄN</t>
        </is>
      </c>
      <c r="E1167" t="inlineStr">
        <is>
          <t>OVANÅKER</t>
        </is>
      </c>
      <c r="F1167" t="inlineStr">
        <is>
          <t>Bergvik skog öst AB</t>
        </is>
      </c>
      <c r="G1167" t="n">
        <v>6.7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33272-2024</t>
        </is>
      </c>
      <c r="B1168" s="1" t="n">
        <v>45518</v>
      </c>
      <c r="C1168" s="1" t="n">
        <v>45838</v>
      </c>
      <c r="D1168" t="inlineStr">
        <is>
          <t>GÄVLEBORGS LÄN</t>
        </is>
      </c>
      <c r="E1168" t="inlineStr">
        <is>
          <t>OVANÅKER</t>
        </is>
      </c>
      <c r="G1168" t="n">
        <v>3.9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33198-2024</t>
        </is>
      </c>
      <c r="B1169" s="1" t="n">
        <v>45518</v>
      </c>
      <c r="C1169" s="1" t="n">
        <v>45838</v>
      </c>
      <c r="D1169" t="inlineStr">
        <is>
          <t>GÄVLEBORGS LÄN</t>
        </is>
      </c>
      <c r="E1169" t="inlineStr">
        <is>
          <t>OVANÅKER</t>
        </is>
      </c>
      <c r="G1169" t="n">
        <v>0.5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33489-2024</t>
        </is>
      </c>
      <c r="B1170" s="1" t="n">
        <v>45519</v>
      </c>
      <c r="C1170" s="1" t="n">
        <v>45838</v>
      </c>
      <c r="D1170" t="inlineStr">
        <is>
          <t>GÄVLEBORGS LÄN</t>
        </is>
      </c>
      <c r="E1170" t="inlineStr">
        <is>
          <t>OVANÅKER</t>
        </is>
      </c>
      <c r="F1170" t="inlineStr">
        <is>
          <t>Bergvik skog öst AB</t>
        </is>
      </c>
      <c r="G1170" t="n">
        <v>1.9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33390-2024</t>
        </is>
      </c>
      <c r="B1171" s="1" t="n">
        <v>45519</v>
      </c>
      <c r="C1171" s="1" t="n">
        <v>45838</v>
      </c>
      <c r="D1171" t="inlineStr">
        <is>
          <t>GÄVLEBORGS LÄN</t>
        </is>
      </c>
      <c r="E1171" t="inlineStr">
        <is>
          <t>OVANÅKER</t>
        </is>
      </c>
      <c r="F1171" t="inlineStr">
        <is>
          <t>Sveaskog</t>
        </is>
      </c>
      <c r="G1171" t="n">
        <v>0.9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33527-2024</t>
        </is>
      </c>
      <c r="B1172" s="1" t="n">
        <v>45519</v>
      </c>
      <c r="C1172" s="1" t="n">
        <v>45838</v>
      </c>
      <c r="D1172" t="inlineStr">
        <is>
          <t>GÄVLEBORGS LÄN</t>
        </is>
      </c>
      <c r="E1172" t="inlineStr">
        <is>
          <t>OVANÅKER</t>
        </is>
      </c>
      <c r="G1172" t="n">
        <v>7.2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33634-2024</t>
        </is>
      </c>
      <c r="B1173" s="1" t="n">
        <v>45520</v>
      </c>
      <c r="C1173" s="1" t="n">
        <v>45838</v>
      </c>
      <c r="D1173" t="inlineStr">
        <is>
          <t>GÄVLEBORGS LÄN</t>
        </is>
      </c>
      <c r="E1173" t="inlineStr">
        <is>
          <t>OVANÅKER</t>
        </is>
      </c>
      <c r="F1173" t="inlineStr">
        <is>
          <t>Bergvik skog öst AB</t>
        </is>
      </c>
      <c r="G1173" t="n">
        <v>1.1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33725-2024</t>
        </is>
      </c>
      <c r="B1174" s="1" t="n">
        <v>45520</v>
      </c>
      <c r="C1174" s="1" t="n">
        <v>45838</v>
      </c>
      <c r="D1174" t="inlineStr">
        <is>
          <t>GÄVLEBORGS LÄN</t>
        </is>
      </c>
      <c r="E1174" t="inlineStr">
        <is>
          <t>OVANÅKER</t>
        </is>
      </c>
      <c r="F1174" t="inlineStr">
        <is>
          <t>Bergvik skog väst AB</t>
        </is>
      </c>
      <c r="G1174" t="n">
        <v>3.6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33945-2024</t>
        </is>
      </c>
      <c r="B1175" s="1" t="n">
        <v>45523</v>
      </c>
      <c r="C1175" s="1" t="n">
        <v>45838</v>
      </c>
      <c r="D1175" t="inlineStr">
        <is>
          <t>GÄVLEBORGS LÄN</t>
        </is>
      </c>
      <c r="E1175" t="inlineStr">
        <is>
          <t>OVANÅKER</t>
        </is>
      </c>
      <c r="G1175" t="n">
        <v>1.2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34451-2024</t>
        </is>
      </c>
      <c r="B1176" s="1" t="n">
        <v>45525</v>
      </c>
      <c r="C1176" s="1" t="n">
        <v>45838</v>
      </c>
      <c r="D1176" t="inlineStr">
        <is>
          <t>GÄVLEBORGS LÄN</t>
        </is>
      </c>
      <c r="E1176" t="inlineStr">
        <is>
          <t>OVANÅKER</t>
        </is>
      </c>
      <c r="F1176" t="inlineStr">
        <is>
          <t>Bergvik skog öst AB</t>
        </is>
      </c>
      <c r="G1176" t="n">
        <v>2.9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34490-2024</t>
        </is>
      </c>
      <c r="B1177" s="1" t="n">
        <v>45525</v>
      </c>
      <c r="C1177" s="1" t="n">
        <v>45838</v>
      </c>
      <c r="D1177" t="inlineStr">
        <is>
          <t>GÄVLEBORGS LÄN</t>
        </is>
      </c>
      <c r="E1177" t="inlineStr">
        <is>
          <t>OVANÅKER</t>
        </is>
      </c>
      <c r="F1177" t="inlineStr">
        <is>
          <t>Bergvik skog öst AB</t>
        </is>
      </c>
      <c r="G1177" t="n">
        <v>1.2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34392-2024</t>
        </is>
      </c>
      <c r="B1178" s="1" t="n">
        <v>45525</v>
      </c>
      <c r="C1178" s="1" t="n">
        <v>45838</v>
      </c>
      <c r="D1178" t="inlineStr">
        <is>
          <t>GÄVLEBORGS LÄN</t>
        </is>
      </c>
      <c r="E1178" t="inlineStr">
        <is>
          <t>OVANÅKER</t>
        </is>
      </c>
      <c r="F1178" t="inlineStr">
        <is>
          <t>Bergvik skog väst AB</t>
        </is>
      </c>
      <c r="G1178" t="n">
        <v>6.7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34379-2024</t>
        </is>
      </c>
      <c r="B1179" s="1" t="n">
        <v>45525</v>
      </c>
      <c r="C1179" s="1" t="n">
        <v>45838</v>
      </c>
      <c r="D1179" t="inlineStr">
        <is>
          <t>GÄVLEBORGS LÄN</t>
        </is>
      </c>
      <c r="E1179" t="inlineStr">
        <is>
          <t>OVANÅKER</t>
        </is>
      </c>
      <c r="F1179" t="inlineStr">
        <is>
          <t>Bergvik skog öst AB</t>
        </is>
      </c>
      <c r="G1179" t="n">
        <v>3.4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34570-2024</t>
        </is>
      </c>
      <c r="B1180" s="1" t="n">
        <v>45526</v>
      </c>
      <c r="C1180" s="1" t="n">
        <v>45838</v>
      </c>
      <c r="D1180" t="inlineStr">
        <is>
          <t>GÄVLEBORGS LÄN</t>
        </is>
      </c>
      <c r="E1180" t="inlineStr">
        <is>
          <t>OVANÅKER</t>
        </is>
      </c>
      <c r="F1180" t="inlineStr">
        <is>
          <t>Bergvik skog öst AB</t>
        </is>
      </c>
      <c r="G1180" t="n">
        <v>1.8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34565-2024</t>
        </is>
      </c>
      <c r="B1181" s="1" t="n">
        <v>45526</v>
      </c>
      <c r="C1181" s="1" t="n">
        <v>45838</v>
      </c>
      <c r="D1181" t="inlineStr">
        <is>
          <t>GÄVLEBORGS LÄN</t>
        </is>
      </c>
      <c r="E1181" t="inlineStr">
        <is>
          <t>OVANÅKER</t>
        </is>
      </c>
      <c r="G1181" t="n">
        <v>1.6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35025-2024</t>
        </is>
      </c>
      <c r="B1182" s="1" t="n">
        <v>45527</v>
      </c>
      <c r="C1182" s="1" t="n">
        <v>45838</v>
      </c>
      <c r="D1182" t="inlineStr">
        <is>
          <t>GÄVLEBORGS LÄN</t>
        </is>
      </c>
      <c r="E1182" t="inlineStr">
        <is>
          <t>OVANÅKER</t>
        </is>
      </c>
      <c r="G1182" t="n">
        <v>1.1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35086-2024</t>
        </is>
      </c>
      <c r="B1183" s="1" t="n">
        <v>45527</v>
      </c>
      <c r="C1183" s="1" t="n">
        <v>45838</v>
      </c>
      <c r="D1183" t="inlineStr">
        <is>
          <t>GÄVLEBORGS LÄN</t>
        </is>
      </c>
      <c r="E1183" t="inlineStr">
        <is>
          <t>OVANÅKER</t>
        </is>
      </c>
      <c r="G1183" t="n">
        <v>2.1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34943-2024</t>
        </is>
      </c>
      <c r="B1184" s="1" t="n">
        <v>45527</v>
      </c>
      <c r="C1184" s="1" t="n">
        <v>45838</v>
      </c>
      <c r="D1184" t="inlineStr">
        <is>
          <t>GÄVLEBORGS LÄN</t>
        </is>
      </c>
      <c r="E1184" t="inlineStr">
        <is>
          <t>OVANÅKER</t>
        </is>
      </c>
      <c r="G1184" t="n">
        <v>1.7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35297-2024</t>
        </is>
      </c>
      <c r="B1185" s="1" t="n">
        <v>45530</v>
      </c>
      <c r="C1185" s="1" t="n">
        <v>45838</v>
      </c>
      <c r="D1185" t="inlineStr">
        <is>
          <t>GÄVLEBORGS LÄN</t>
        </is>
      </c>
      <c r="E1185" t="inlineStr">
        <is>
          <t>OVANÅKER</t>
        </is>
      </c>
      <c r="G1185" t="n">
        <v>5.2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35166-2024</t>
        </is>
      </c>
      <c r="B1186" s="1" t="n">
        <v>45530</v>
      </c>
      <c r="C1186" s="1" t="n">
        <v>45838</v>
      </c>
      <c r="D1186" t="inlineStr">
        <is>
          <t>GÄVLEBORGS LÄN</t>
        </is>
      </c>
      <c r="E1186" t="inlineStr">
        <is>
          <t>OVANÅKER</t>
        </is>
      </c>
      <c r="G1186" t="n">
        <v>1.3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35164-2024</t>
        </is>
      </c>
      <c r="B1187" s="1" t="n">
        <v>45530</v>
      </c>
      <c r="C1187" s="1" t="n">
        <v>45838</v>
      </c>
      <c r="D1187" t="inlineStr">
        <is>
          <t>GÄVLEBORGS LÄN</t>
        </is>
      </c>
      <c r="E1187" t="inlineStr">
        <is>
          <t>OVANÅKER</t>
        </is>
      </c>
      <c r="G1187" t="n">
        <v>2.7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35294-2024</t>
        </is>
      </c>
      <c r="B1188" s="1" t="n">
        <v>45530</v>
      </c>
      <c r="C1188" s="1" t="n">
        <v>45838</v>
      </c>
      <c r="D1188" t="inlineStr">
        <is>
          <t>GÄVLEBORGS LÄN</t>
        </is>
      </c>
      <c r="E1188" t="inlineStr">
        <is>
          <t>OVANÅKER</t>
        </is>
      </c>
      <c r="G1188" t="n">
        <v>0.7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35352-2024</t>
        </is>
      </c>
      <c r="B1189" s="1" t="n">
        <v>45531</v>
      </c>
      <c r="C1189" s="1" t="n">
        <v>45838</v>
      </c>
      <c r="D1189" t="inlineStr">
        <is>
          <t>GÄVLEBORGS LÄN</t>
        </is>
      </c>
      <c r="E1189" t="inlineStr">
        <is>
          <t>OVANÅKER</t>
        </is>
      </c>
      <c r="F1189" t="inlineStr">
        <is>
          <t>Sveaskog</t>
        </is>
      </c>
      <c r="G1189" t="n">
        <v>9.199999999999999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35349-2024</t>
        </is>
      </c>
      <c r="B1190" s="1" t="n">
        <v>45531</v>
      </c>
      <c r="C1190" s="1" t="n">
        <v>45838</v>
      </c>
      <c r="D1190" t="inlineStr">
        <is>
          <t>GÄVLEBORGS LÄN</t>
        </is>
      </c>
      <c r="E1190" t="inlineStr">
        <is>
          <t>OVANÅKER</t>
        </is>
      </c>
      <c r="F1190" t="inlineStr">
        <is>
          <t>Sveaskog</t>
        </is>
      </c>
      <c r="G1190" t="n">
        <v>10.4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35351-2024</t>
        </is>
      </c>
      <c r="B1191" s="1" t="n">
        <v>45531</v>
      </c>
      <c r="C1191" s="1" t="n">
        <v>45838</v>
      </c>
      <c r="D1191" t="inlineStr">
        <is>
          <t>GÄVLEBORGS LÄN</t>
        </is>
      </c>
      <c r="E1191" t="inlineStr">
        <is>
          <t>OVANÅKER</t>
        </is>
      </c>
      <c r="F1191" t="inlineStr">
        <is>
          <t>Sveaskog</t>
        </is>
      </c>
      <c r="G1191" t="n">
        <v>0.8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35557-2024</t>
        </is>
      </c>
      <c r="B1192" s="1" t="n">
        <v>45531</v>
      </c>
      <c r="C1192" s="1" t="n">
        <v>45838</v>
      </c>
      <c r="D1192" t="inlineStr">
        <is>
          <t>GÄVLEBORGS LÄN</t>
        </is>
      </c>
      <c r="E1192" t="inlineStr">
        <is>
          <t>OVANÅKER</t>
        </is>
      </c>
      <c r="G1192" t="n">
        <v>9.5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35522-2024</t>
        </is>
      </c>
      <c r="B1193" s="1" t="n">
        <v>45531</v>
      </c>
      <c r="C1193" s="1" t="n">
        <v>45838</v>
      </c>
      <c r="D1193" t="inlineStr">
        <is>
          <t>GÄVLEBORGS LÄN</t>
        </is>
      </c>
      <c r="E1193" t="inlineStr">
        <is>
          <t>OVANÅKER</t>
        </is>
      </c>
      <c r="F1193" t="inlineStr">
        <is>
          <t>Bergvik skog väst AB</t>
        </is>
      </c>
      <c r="G1193" t="n">
        <v>6.1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35993-2024</t>
        </is>
      </c>
      <c r="B1194" s="1" t="n">
        <v>45533</v>
      </c>
      <c r="C1194" s="1" t="n">
        <v>45838</v>
      </c>
      <c r="D1194" t="inlineStr">
        <is>
          <t>GÄVLEBORGS LÄN</t>
        </is>
      </c>
      <c r="E1194" t="inlineStr">
        <is>
          <t>OVANÅKER</t>
        </is>
      </c>
      <c r="G1194" t="n">
        <v>1.8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36048-2024</t>
        </is>
      </c>
      <c r="B1195" s="1" t="n">
        <v>45533</v>
      </c>
      <c r="C1195" s="1" t="n">
        <v>45838</v>
      </c>
      <c r="D1195" t="inlineStr">
        <is>
          <t>GÄVLEBORGS LÄN</t>
        </is>
      </c>
      <c r="E1195" t="inlineStr">
        <is>
          <t>OVANÅKER</t>
        </is>
      </c>
      <c r="G1195" t="n">
        <v>2.1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36257-2024</t>
        </is>
      </c>
      <c r="B1196" s="1" t="n">
        <v>45534</v>
      </c>
      <c r="C1196" s="1" t="n">
        <v>45838</v>
      </c>
      <c r="D1196" t="inlineStr">
        <is>
          <t>GÄVLEBORGS LÄN</t>
        </is>
      </c>
      <c r="E1196" t="inlineStr">
        <is>
          <t>OVANÅKER</t>
        </is>
      </c>
      <c r="G1196" t="n">
        <v>0.4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36254-2024</t>
        </is>
      </c>
      <c r="B1197" s="1" t="n">
        <v>45534</v>
      </c>
      <c r="C1197" s="1" t="n">
        <v>45838</v>
      </c>
      <c r="D1197" t="inlineStr">
        <is>
          <t>GÄVLEBORGS LÄN</t>
        </is>
      </c>
      <c r="E1197" t="inlineStr">
        <is>
          <t>OVANÅKER</t>
        </is>
      </c>
      <c r="G1197" t="n">
        <v>0.3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36258-2024</t>
        </is>
      </c>
      <c r="B1198" s="1" t="n">
        <v>45534</v>
      </c>
      <c r="C1198" s="1" t="n">
        <v>45838</v>
      </c>
      <c r="D1198" t="inlineStr">
        <is>
          <t>GÄVLEBORGS LÄN</t>
        </is>
      </c>
      <c r="E1198" t="inlineStr">
        <is>
          <t>OVANÅKER</t>
        </is>
      </c>
      <c r="G1198" t="n">
        <v>0.3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36252-2024</t>
        </is>
      </c>
      <c r="B1199" s="1" t="n">
        <v>45534</v>
      </c>
      <c r="C1199" s="1" t="n">
        <v>45838</v>
      </c>
      <c r="D1199" t="inlineStr">
        <is>
          <t>GÄVLEBORGS LÄN</t>
        </is>
      </c>
      <c r="E1199" t="inlineStr">
        <is>
          <t>OVANÅKER</t>
        </is>
      </c>
      <c r="G1199" t="n">
        <v>0.7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36602-2024</t>
        </is>
      </c>
      <c r="B1200" s="1" t="n">
        <v>45537</v>
      </c>
      <c r="C1200" s="1" t="n">
        <v>45838</v>
      </c>
      <c r="D1200" t="inlineStr">
        <is>
          <t>GÄVLEBORGS LÄN</t>
        </is>
      </c>
      <c r="E1200" t="inlineStr">
        <is>
          <t>OVANÅKER</t>
        </is>
      </c>
      <c r="G1200" t="n">
        <v>3.9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36628-2024</t>
        </is>
      </c>
      <c r="B1201" s="1" t="n">
        <v>45537</v>
      </c>
      <c r="C1201" s="1" t="n">
        <v>45838</v>
      </c>
      <c r="D1201" t="inlineStr">
        <is>
          <t>GÄVLEBORGS LÄN</t>
        </is>
      </c>
      <c r="E1201" t="inlineStr">
        <is>
          <t>OVANÅKER</t>
        </is>
      </c>
      <c r="G1201" t="n">
        <v>1.5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36834-2024</t>
        </is>
      </c>
      <c r="B1202" s="1" t="n">
        <v>45538</v>
      </c>
      <c r="C1202" s="1" t="n">
        <v>45838</v>
      </c>
      <c r="D1202" t="inlineStr">
        <is>
          <t>GÄVLEBORGS LÄN</t>
        </is>
      </c>
      <c r="E1202" t="inlineStr">
        <is>
          <t>OVANÅKER</t>
        </is>
      </c>
      <c r="G1202" t="n">
        <v>4.7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36832-2024</t>
        </is>
      </c>
      <c r="B1203" s="1" t="n">
        <v>45538</v>
      </c>
      <c r="C1203" s="1" t="n">
        <v>45838</v>
      </c>
      <c r="D1203" t="inlineStr">
        <is>
          <t>GÄVLEBORGS LÄN</t>
        </is>
      </c>
      <c r="E1203" t="inlineStr">
        <is>
          <t>OVANÅKER</t>
        </is>
      </c>
      <c r="G1203" t="n">
        <v>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36864-2024</t>
        </is>
      </c>
      <c r="B1204" s="1" t="n">
        <v>45538</v>
      </c>
      <c r="C1204" s="1" t="n">
        <v>45838</v>
      </c>
      <c r="D1204" t="inlineStr">
        <is>
          <t>GÄVLEBORGS LÄN</t>
        </is>
      </c>
      <c r="E1204" t="inlineStr">
        <is>
          <t>OVANÅKER</t>
        </is>
      </c>
      <c r="G1204" t="n">
        <v>1.6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36990-2024</t>
        </is>
      </c>
      <c r="B1205" s="1" t="n">
        <v>45539</v>
      </c>
      <c r="C1205" s="1" t="n">
        <v>45838</v>
      </c>
      <c r="D1205" t="inlineStr">
        <is>
          <t>GÄVLEBORGS LÄN</t>
        </is>
      </c>
      <c r="E1205" t="inlineStr">
        <is>
          <t>OVANÅKER</t>
        </is>
      </c>
      <c r="G1205" t="n">
        <v>2.1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37112-2024</t>
        </is>
      </c>
      <c r="B1206" s="1" t="n">
        <v>45539</v>
      </c>
      <c r="C1206" s="1" t="n">
        <v>45838</v>
      </c>
      <c r="D1206" t="inlineStr">
        <is>
          <t>GÄVLEBORGS LÄN</t>
        </is>
      </c>
      <c r="E1206" t="inlineStr">
        <is>
          <t>OVANÅKER</t>
        </is>
      </c>
      <c r="F1206" t="inlineStr">
        <is>
          <t>Bergvik skog väst AB</t>
        </is>
      </c>
      <c r="G1206" t="n">
        <v>2.9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36991-2024</t>
        </is>
      </c>
      <c r="B1207" s="1" t="n">
        <v>45539</v>
      </c>
      <c r="C1207" s="1" t="n">
        <v>45838</v>
      </c>
      <c r="D1207" t="inlineStr">
        <is>
          <t>GÄVLEBORGS LÄN</t>
        </is>
      </c>
      <c r="E1207" t="inlineStr">
        <is>
          <t>OVANÅKER</t>
        </is>
      </c>
      <c r="G1207" t="n">
        <v>0.8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37110-2024</t>
        </is>
      </c>
      <c r="B1208" s="1" t="n">
        <v>45539</v>
      </c>
      <c r="C1208" s="1" t="n">
        <v>45838</v>
      </c>
      <c r="D1208" t="inlineStr">
        <is>
          <t>GÄVLEBORGS LÄN</t>
        </is>
      </c>
      <c r="E1208" t="inlineStr">
        <is>
          <t>OVANÅKER</t>
        </is>
      </c>
      <c r="F1208" t="inlineStr">
        <is>
          <t>Bergvik skog väst AB</t>
        </is>
      </c>
      <c r="G1208" t="n">
        <v>6.2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37004-2024</t>
        </is>
      </c>
      <c r="B1209" s="1" t="n">
        <v>45539</v>
      </c>
      <c r="C1209" s="1" t="n">
        <v>45838</v>
      </c>
      <c r="D1209" t="inlineStr">
        <is>
          <t>GÄVLEBORGS LÄN</t>
        </is>
      </c>
      <c r="E1209" t="inlineStr">
        <is>
          <t>OVANÅKER</t>
        </is>
      </c>
      <c r="G1209" t="n">
        <v>3.6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37071-2024</t>
        </is>
      </c>
      <c r="B1210" s="1" t="n">
        <v>45539</v>
      </c>
      <c r="C1210" s="1" t="n">
        <v>45838</v>
      </c>
      <c r="D1210" t="inlineStr">
        <is>
          <t>GÄVLEBORGS LÄN</t>
        </is>
      </c>
      <c r="E1210" t="inlineStr">
        <is>
          <t>OVANÅKER</t>
        </is>
      </c>
      <c r="F1210" t="inlineStr">
        <is>
          <t>Bergvik skog väst AB</t>
        </is>
      </c>
      <c r="G1210" t="n">
        <v>2.7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37340-2024</t>
        </is>
      </c>
      <c r="B1211" s="1" t="n">
        <v>45540</v>
      </c>
      <c r="C1211" s="1" t="n">
        <v>45838</v>
      </c>
      <c r="D1211" t="inlineStr">
        <is>
          <t>GÄVLEBORGS LÄN</t>
        </is>
      </c>
      <c r="E1211" t="inlineStr">
        <is>
          <t>OVANÅKER</t>
        </is>
      </c>
      <c r="G1211" t="n">
        <v>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37306-2024</t>
        </is>
      </c>
      <c r="B1212" s="1" t="n">
        <v>45540</v>
      </c>
      <c r="C1212" s="1" t="n">
        <v>45838</v>
      </c>
      <c r="D1212" t="inlineStr">
        <is>
          <t>GÄVLEBORGS LÄN</t>
        </is>
      </c>
      <c r="E1212" t="inlineStr">
        <is>
          <t>OVANÅKER</t>
        </is>
      </c>
      <c r="G1212" t="n">
        <v>0.7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37317-2024</t>
        </is>
      </c>
      <c r="B1213" s="1" t="n">
        <v>45540</v>
      </c>
      <c r="C1213" s="1" t="n">
        <v>45838</v>
      </c>
      <c r="D1213" t="inlineStr">
        <is>
          <t>GÄVLEBORGS LÄN</t>
        </is>
      </c>
      <c r="E1213" t="inlineStr">
        <is>
          <t>OVANÅKER</t>
        </is>
      </c>
      <c r="G1213" t="n">
        <v>2.5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37338-2024</t>
        </is>
      </c>
      <c r="B1214" s="1" t="n">
        <v>45540</v>
      </c>
      <c r="C1214" s="1" t="n">
        <v>45838</v>
      </c>
      <c r="D1214" t="inlineStr">
        <is>
          <t>GÄVLEBORGS LÄN</t>
        </is>
      </c>
      <c r="E1214" t="inlineStr">
        <is>
          <t>OVANÅKER</t>
        </is>
      </c>
      <c r="G1214" t="n">
        <v>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37342-2024</t>
        </is>
      </c>
      <c r="B1215" s="1" t="n">
        <v>45540</v>
      </c>
      <c r="C1215" s="1" t="n">
        <v>45838</v>
      </c>
      <c r="D1215" t="inlineStr">
        <is>
          <t>GÄVLEBORGS LÄN</t>
        </is>
      </c>
      <c r="E1215" t="inlineStr">
        <is>
          <t>OVANÅKER</t>
        </is>
      </c>
      <c r="G1215" t="n">
        <v>1.6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37478-2024</t>
        </is>
      </c>
      <c r="B1216" s="1" t="n">
        <v>45541</v>
      </c>
      <c r="C1216" s="1" t="n">
        <v>45838</v>
      </c>
      <c r="D1216" t="inlineStr">
        <is>
          <t>GÄVLEBORGS LÄN</t>
        </is>
      </c>
      <c r="E1216" t="inlineStr">
        <is>
          <t>OVANÅKER</t>
        </is>
      </c>
      <c r="F1216" t="inlineStr">
        <is>
          <t>Bergvik skog väst AB</t>
        </is>
      </c>
      <c r="G1216" t="n">
        <v>4.4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37768-2024</t>
        </is>
      </c>
      <c r="B1217" s="1" t="n">
        <v>45541</v>
      </c>
      <c r="C1217" s="1" t="n">
        <v>45838</v>
      </c>
      <c r="D1217" t="inlineStr">
        <is>
          <t>GÄVLEBORGS LÄN</t>
        </is>
      </c>
      <c r="E1217" t="inlineStr">
        <is>
          <t>OVANÅKER</t>
        </is>
      </c>
      <c r="F1217" t="inlineStr">
        <is>
          <t>Bergvik skog väst AB</t>
        </is>
      </c>
      <c r="G1217" t="n">
        <v>2.4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37765-2024</t>
        </is>
      </c>
      <c r="B1218" s="1" t="n">
        <v>45541</v>
      </c>
      <c r="C1218" s="1" t="n">
        <v>45838</v>
      </c>
      <c r="D1218" t="inlineStr">
        <is>
          <t>GÄVLEBORGS LÄN</t>
        </is>
      </c>
      <c r="E1218" t="inlineStr">
        <is>
          <t>OVANÅKER</t>
        </is>
      </c>
      <c r="F1218" t="inlineStr">
        <is>
          <t>Bergvik skog väst AB</t>
        </is>
      </c>
      <c r="G1218" t="n">
        <v>3.9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37777-2024</t>
        </is>
      </c>
      <c r="B1219" s="1" t="n">
        <v>45542</v>
      </c>
      <c r="C1219" s="1" t="n">
        <v>45838</v>
      </c>
      <c r="D1219" t="inlineStr">
        <is>
          <t>GÄVLEBORGS LÄN</t>
        </is>
      </c>
      <c r="E1219" t="inlineStr">
        <is>
          <t>OVANÅKER</t>
        </is>
      </c>
      <c r="F1219" t="inlineStr">
        <is>
          <t>Bergvik skog väst AB</t>
        </is>
      </c>
      <c r="G1219" t="n">
        <v>3.4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38367-2024</t>
        </is>
      </c>
      <c r="B1220" s="1" t="n">
        <v>45545</v>
      </c>
      <c r="C1220" s="1" t="n">
        <v>45838</v>
      </c>
      <c r="D1220" t="inlineStr">
        <is>
          <t>GÄVLEBORGS LÄN</t>
        </is>
      </c>
      <c r="E1220" t="inlineStr">
        <is>
          <t>OVANÅKER</t>
        </is>
      </c>
      <c r="G1220" t="n">
        <v>4.5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38309-2024</t>
        </is>
      </c>
      <c r="B1221" s="1" t="n">
        <v>45545</v>
      </c>
      <c r="C1221" s="1" t="n">
        <v>45838</v>
      </c>
      <c r="D1221" t="inlineStr">
        <is>
          <t>GÄVLEBORGS LÄN</t>
        </is>
      </c>
      <c r="E1221" t="inlineStr">
        <is>
          <t>OVANÅKER</t>
        </is>
      </c>
      <c r="G1221" t="n">
        <v>0.5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38369-2024</t>
        </is>
      </c>
      <c r="B1222" s="1" t="n">
        <v>45545</v>
      </c>
      <c r="C1222" s="1" t="n">
        <v>45838</v>
      </c>
      <c r="D1222" t="inlineStr">
        <is>
          <t>GÄVLEBORGS LÄN</t>
        </is>
      </c>
      <c r="E1222" t="inlineStr">
        <is>
          <t>OVANÅKER</t>
        </is>
      </c>
      <c r="G1222" t="n">
        <v>1.5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38843-2024</t>
        </is>
      </c>
      <c r="B1223" s="1" t="n">
        <v>45547</v>
      </c>
      <c r="C1223" s="1" t="n">
        <v>45838</v>
      </c>
      <c r="D1223" t="inlineStr">
        <is>
          <t>GÄVLEBORGS LÄN</t>
        </is>
      </c>
      <c r="E1223" t="inlineStr">
        <is>
          <t>OVANÅKER</t>
        </is>
      </c>
      <c r="G1223" t="n">
        <v>5.2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39163-2024</t>
        </is>
      </c>
      <c r="B1224" s="1" t="n">
        <v>45548</v>
      </c>
      <c r="C1224" s="1" t="n">
        <v>45838</v>
      </c>
      <c r="D1224" t="inlineStr">
        <is>
          <t>GÄVLEBORGS LÄN</t>
        </is>
      </c>
      <c r="E1224" t="inlineStr">
        <is>
          <t>OVANÅKER</t>
        </is>
      </c>
      <c r="G1224" t="n">
        <v>3.3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39173-2024</t>
        </is>
      </c>
      <c r="B1225" s="1" t="n">
        <v>45548</v>
      </c>
      <c r="C1225" s="1" t="n">
        <v>45838</v>
      </c>
      <c r="D1225" t="inlineStr">
        <is>
          <t>GÄVLEBORGS LÄN</t>
        </is>
      </c>
      <c r="E1225" t="inlineStr">
        <is>
          <t>OVANÅKER</t>
        </is>
      </c>
      <c r="G1225" t="n">
        <v>3.2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39189-2024</t>
        </is>
      </c>
      <c r="B1226" s="1" t="n">
        <v>45548</v>
      </c>
      <c r="C1226" s="1" t="n">
        <v>45838</v>
      </c>
      <c r="D1226" t="inlineStr">
        <is>
          <t>GÄVLEBORGS LÄN</t>
        </is>
      </c>
      <c r="E1226" t="inlineStr">
        <is>
          <t>OVANÅKER</t>
        </is>
      </c>
      <c r="G1226" t="n">
        <v>2.8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39194-2024</t>
        </is>
      </c>
      <c r="B1227" s="1" t="n">
        <v>45548</v>
      </c>
      <c r="C1227" s="1" t="n">
        <v>45838</v>
      </c>
      <c r="D1227" t="inlineStr">
        <is>
          <t>GÄVLEBORGS LÄN</t>
        </is>
      </c>
      <c r="E1227" t="inlineStr">
        <is>
          <t>OVANÅKER</t>
        </is>
      </c>
      <c r="G1227" t="n">
        <v>0.8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39249-2024</t>
        </is>
      </c>
      <c r="B1228" s="1" t="n">
        <v>45551</v>
      </c>
      <c r="C1228" s="1" t="n">
        <v>45838</v>
      </c>
      <c r="D1228" t="inlineStr">
        <is>
          <t>GÄVLEBORGS LÄN</t>
        </is>
      </c>
      <c r="E1228" t="inlineStr">
        <is>
          <t>OVANÅKER</t>
        </is>
      </c>
      <c r="G1228" t="n">
        <v>0.6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39329-2024</t>
        </is>
      </c>
      <c r="B1229" s="1" t="n">
        <v>45551</v>
      </c>
      <c r="C1229" s="1" t="n">
        <v>45838</v>
      </c>
      <c r="D1229" t="inlineStr">
        <is>
          <t>GÄVLEBORGS LÄN</t>
        </is>
      </c>
      <c r="E1229" t="inlineStr">
        <is>
          <t>OVANÅKER</t>
        </is>
      </c>
      <c r="G1229" t="n">
        <v>1.1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39473-2024</t>
        </is>
      </c>
      <c r="B1230" s="1" t="n">
        <v>45551</v>
      </c>
      <c r="C1230" s="1" t="n">
        <v>45838</v>
      </c>
      <c r="D1230" t="inlineStr">
        <is>
          <t>GÄVLEBORGS LÄN</t>
        </is>
      </c>
      <c r="E1230" t="inlineStr">
        <is>
          <t>OVANÅKER</t>
        </is>
      </c>
      <c r="F1230" t="inlineStr">
        <is>
          <t>Bergvik skog väst AB</t>
        </is>
      </c>
      <c r="G1230" t="n">
        <v>1.9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39373-2024</t>
        </is>
      </c>
      <c r="B1231" s="1" t="n">
        <v>45551</v>
      </c>
      <c r="C1231" s="1" t="n">
        <v>45838</v>
      </c>
      <c r="D1231" t="inlineStr">
        <is>
          <t>GÄVLEBORGS LÄN</t>
        </is>
      </c>
      <c r="E1231" t="inlineStr">
        <is>
          <t>OVANÅKER</t>
        </is>
      </c>
      <c r="G1231" t="n">
        <v>0.5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39539-2024</t>
        </is>
      </c>
      <c r="B1232" s="1" t="n">
        <v>45552</v>
      </c>
      <c r="C1232" s="1" t="n">
        <v>45838</v>
      </c>
      <c r="D1232" t="inlineStr">
        <is>
          <t>GÄVLEBORGS LÄN</t>
        </is>
      </c>
      <c r="E1232" t="inlineStr">
        <is>
          <t>OVANÅKER</t>
        </is>
      </c>
      <c r="G1232" t="n">
        <v>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39541-2024</t>
        </is>
      </c>
      <c r="B1233" s="1" t="n">
        <v>45552</v>
      </c>
      <c r="C1233" s="1" t="n">
        <v>45838</v>
      </c>
      <c r="D1233" t="inlineStr">
        <is>
          <t>GÄVLEBORGS LÄN</t>
        </is>
      </c>
      <c r="E1233" t="inlineStr">
        <is>
          <t>OVANÅKER</t>
        </is>
      </c>
      <c r="G1233" t="n">
        <v>0.6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39540-2024</t>
        </is>
      </c>
      <c r="B1234" s="1" t="n">
        <v>45552</v>
      </c>
      <c r="C1234" s="1" t="n">
        <v>45838</v>
      </c>
      <c r="D1234" t="inlineStr">
        <is>
          <t>GÄVLEBORGS LÄN</t>
        </is>
      </c>
      <c r="E1234" t="inlineStr">
        <is>
          <t>OVANÅKER</t>
        </is>
      </c>
      <c r="G1234" t="n">
        <v>1.2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39729-2024</t>
        </is>
      </c>
      <c r="B1235" s="1" t="n">
        <v>45552</v>
      </c>
      <c r="C1235" s="1" t="n">
        <v>45838</v>
      </c>
      <c r="D1235" t="inlineStr">
        <is>
          <t>GÄVLEBORGS LÄN</t>
        </is>
      </c>
      <c r="E1235" t="inlineStr">
        <is>
          <t>OVANÅKER</t>
        </is>
      </c>
      <c r="G1235" t="n">
        <v>3.1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40476-2024</t>
        </is>
      </c>
      <c r="B1236" s="1" t="n">
        <v>45555</v>
      </c>
      <c r="C1236" s="1" t="n">
        <v>45838</v>
      </c>
      <c r="D1236" t="inlineStr">
        <is>
          <t>GÄVLEBORGS LÄN</t>
        </is>
      </c>
      <c r="E1236" t="inlineStr">
        <is>
          <t>OVANÅKER</t>
        </is>
      </c>
      <c r="G1236" t="n">
        <v>0.6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40474-2024</t>
        </is>
      </c>
      <c r="B1237" s="1" t="n">
        <v>45555</v>
      </c>
      <c r="C1237" s="1" t="n">
        <v>45838</v>
      </c>
      <c r="D1237" t="inlineStr">
        <is>
          <t>GÄVLEBORGS LÄN</t>
        </is>
      </c>
      <c r="E1237" t="inlineStr">
        <is>
          <t>OVANÅKER</t>
        </is>
      </c>
      <c r="G1237" t="n">
        <v>8.1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40479-2024</t>
        </is>
      </c>
      <c r="B1238" s="1" t="n">
        <v>45555</v>
      </c>
      <c r="C1238" s="1" t="n">
        <v>45838</v>
      </c>
      <c r="D1238" t="inlineStr">
        <is>
          <t>GÄVLEBORGS LÄN</t>
        </is>
      </c>
      <c r="E1238" t="inlineStr">
        <is>
          <t>OVANÅKER</t>
        </is>
      </c>
      <c r="G1238" t="n">
        <v>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40942-2024</t>
        </is>
      </c>
      <c r="B1239" s="1" t="n">
        <v>45558</v>
      </c>
      <c r="C1239" s="1" t="n">
        <v>45838</v>
      </c>
      <c r="D1239" t="inlineStr">
        <is>
          <t>GÄVLEBORGS LÄN</t>
        </is>
      </c>
      <c r="E1239" t="inlineStr">
        <is>
          <t>OVANÅKER</t>
        </is>
      </c>
      <c r="G1239" t="n">
        <v>1.1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40945-2024</t>
        </is>
      </c>
      <c r="B1240" s="1" t="n">
        <v>45558</v>
      </c>
      <c r="C1240" s="1" t="n">
        <v>45838</v>
      </c>
      <c r="D1240" t="inlineStr">
        <is>
          <t>GÄVLEBORGS LÄN</t>
        </is>
      </c>
      <c r="E1240" t="inlineStr">
        <is>
          <t>OVANÅKER</t>
        </is>
      </c>
      <c r="G1240" t="n">
        <v>3.8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40953-2024</t>
        </is>
      </c>
      <c r="B1241" s="1" t="n">
        <v>45558</v>
      </c>
      <c r="C1241" s="1" t="n">
        <v>45838</v>
      </c>
      <c r="D1241" t="inlineStr">
        <is>
          <t>GÄVLEBORGS LÄN</t>
        </is>
      </c>
      <c r="E1241" t="inlineStr">
        <is>
          <t>OVANÅKER</t>
        </is>
      </c>
      <c r="G1241" t="n">
        <v>1.7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40886-2024</t>
        </is>
      </c>
      <c r="B1242" s="1" t="n">
        <v>45558</v>
      </c>
      <c r="C1242" s="1" t="n">
        <v>45838</v>
      </c>
      <c r="D1242" t="inlineStr">
        <is>
          <t>GÄVLEBORGS LÄN</t>
        </is>
      </c>
      <c r="E1242" t="inlineStr">
        <is>
          <t>OVANÅKER</t>
        </is>
      </c>
      <c r="G1242" t="n">
        <v>0.6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41546-2024</t>
        </is>
      </c>
      <c r="B1243" s="1" t="n">
        <v>45560</v>
      </c>
      <c r="C1243" s="1" t="n">
        <v>45838</v>
      </c>
      <c r="D1243" t="inlineStr">
        <is>
          <t>GÄVLEBORGS LÄN</t>
        </is>
      </c>
      <c r="E1243" t="inlineStr">
        <is>
          <t>OVANÅKER</t>
        </is>
      </c>
      <c r="G1243" t="n">
        <v>2.5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41545-2024</t>
        </is>
      </c>
      <c r="B1244" s="1" t="n">
        <v>45560</v>
      </c>
      <c r="C1244" s="1" t="n">
        <v>45838</v>
      </c>
      <c r="D1244" t="inlineStr">
        <is>
          <t>GÄVLEBORGS LÄN</t>
        </is>
      </c>
      <c r="E1244" t="inlineStr">
        <is>
          <t>OVANÅKER</t>
        </is>
      </c>
      <c r="G1244" t="n">
        <v>0.4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41547-2024</t>
        </is>
      </c>
      <c r="B1245" s="1" t="n">
        <v>45560</v>
      </c>
      <c r="C1245" s="1" t="n">
        <v>45838</v>
      </c>
      <c r="D1245" t="inlineStr">
        <is>
          <t>GÄVLEBORGS LÄN</t>
        </is>
      </c>
      <c r="E1245" t="inlineStr">
        <is>
          <t>OVANÅKER</t>
        </is>
      </c>
      <c r="G1245" t="n">
        <v>2.1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42331-2024</t>
        </is>
      </c>
      <c r="B1246" s="1" t="n">
        <v>45562</v>
      </c>
      <c r="C1246" s="1" t="n">
        <v>45838</v>
      </c>
      <c r="D1246" t="inlineStr">
        <is>
          <t>GÄVLEBORGS LÄN</t>
        </is>
      </c>
      <c r="E1246" t="inlineStr">
        <is>
          <t>OVANÅKER</t>
        </is>
      </c>
      <c r="G1246" t="n">
        <v>0.1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42316-2024</t>
        </is>
      </c>
      <c r="B1247" s="1" t="n">
        <v>45562</v>
      </c>
      <c r="C1247" s="1" t="n">
        <v>45838</v>
      </c>
      <c r="D1247" t="inlineStr">
        <is>
          <t>GÄVLEBORGS LÄN</t>
        </is>
      </c>
      <c r="E1247" t="inlineStr">
        <is>
          <t>OVANÅKER</t>
        </is>
      </c>
      <c r="G1247" t="n">
        <v>1.4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42324-2024</t>
        </is>
      </c>
      <c r="B1248" s="1" t="n">
        <v>45562</v>
      </c>
      <c r="C1248" s="1" t="n">
        <v>45838</v>
      </c>
      <c r="D1248" t="inlineStr">
        <is>
          <t>GÄVLEBORGS LÄN</t>
        </is>
      </c>
      <c r="E1248" t="inlineStr">
        <is>
          <t>OVANÅKER</t>
        </is>
      </c>
      <c r="G1248" t="n">
        <v>0.4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42068-2024</t>
        </is>
      </c>
      <c r="B1249" s="1" t="n">
        <v>45562</v>
      </c>
      <c r="C1249" s="1" t="n">
        <v>45838</v>
      </c>
      <c r="D1249" t="inlineStr">
        <is>
          <t>GÄVLEBORGS LÄN</t>
        </is>
      </c>
      <c r="E1249" t="inlineStr">
        <is>
          <t>OVANÅKER</t>
        </is>
      </c>
      <c r="G1249" t="n">
        <v>1.9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42322-2024</t>
        </is>
      </c>
      <c r="B1250" s="1" t="n">
        <v>45562</v>
      </c>
      <c r="C1250" s="1" t="n">
        <v>45838</v>
      </c>
      <c r="D1250" t="inlineStr">
        <is>
          <t>GÄVLEBORGS LÄN</t>
        </is>
      </c>
      <c r="E1250" t="inlineStr">
        <is>
          <t>OVANÅKER</t>
        </is>
      </c>
      <c r="G1250" t="n">
        <v>4.7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42334-2024</t>
        </is>
      </c>
      <c r="B1251" s="1" t="n">
        <v>45562</v>
      </c>
      <c r="C1251" s="1" t="n">
        <v>45838</v>
      </c>
      <c r="D1251" t="inlineStr">
        <is>
          <t>GÄVLEBORGS LÄN</t>
        </is>
      </c>
      <c r="E1251" t="inlineStr">
        <is>
          <t>OVANÅKER</t>
        </is>
      </c>
      <c r="G1251" t="n">
        <v>5.4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42722-2024</t>
        </is>
      </c>
      <c r="B1252" s="1" t="n">
        <v>45566</v>
      </c>
      <c r="C1252" s="1" t="n">
        <v>45838</v>
      </c>
      <c r="D1252" t="inlineStr">
        <is>
          <t>GÄVLEBORGS LÄN</t>
        </is>
      </c>
      <c r="E1252" t="inlineStr">
        <is>
          <t>OVANÅKER</t>
        </is>
      </c>
      <c r="G1252" t="n">
        <v>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43175-2024</t>
        </is>
      </c>
      <c r="B1253" s="1" t="n">
        <v>45567</v>
      </c>
      <c r="C1253" s="1" t="n">
        <v>45838</v>
      </c>
      <c r="D1253" t="inlineStr">
        <is>
          <t>GÄVLEBORGS LÄN</t>
        </is>
      </c>
      <c r="E1253" t="inlineStr">
        <is>
          <t>OVANÅKER</t>
        </is>
      </c>
      <c r="G1253" t="n">
        <v>6.6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42991-2024</t>
        </is>
      </c>
      <c r="B1254" s="1" t="n">
        <v>45567</v>
      </c>
      <c r="C1254" s="1" t="n">
        <v>45838</v>
      </c>
      <c r="D1254" t="inlineStr">
        <is>
          <t>GÄVLEBORGS LÄN</t>
        </is>
      </c>
      <c r="E1254" t="inlineStr">
        <is>
          <t>OVANÅKER</t>
        </is>
      </c>
      <c r="G1254" t="n">
        <v>1.4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43498-2024</t>
        </is>
      </c>
      <c r="B1255" s="1" t="n">
        <v>45569</v>
      </c>
      <c r="C1255" s="1" t="n">
        <v>45838</v>
      </c>
      <c r="D1255" t="inlineStr">
        <is>
          <t>GÄVLEBORGS LÄN</t>
        </is>
      </c>
      <c r="E1255" t="inlineStr">
        <is>
          <t>OVANÅKER</t>
        </is>
      </c>
      <c r="G1255" t="n">
        <v>2.7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43544-2024</t>
        </is>
      </c>
      <c r="B1256" s="1" t="n">
        <v>45569</v>
      </c>
      <c r="C1256" s="1" t="n">
        <v>45838</v>
      </c>
      <c r="D1256" t="inlineStr">
        <is>
          <t>GÄVLEBORGS LÄN</t>
        </is>
      </c>
      <c r="E1256" t="inlineStr">
        <is>
          <t>OVANÅKER</t>
        </is>
      </c>
      <c r="G1256" t="n">
        <v>2.6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43504-2024</t>
        </is>
      </c>
      <c r="B1257" s="1" t="n">
        <v>45569</v>
      </c>
      <c r="C1257" s="1" t="n">
        <v>45838</v>
      </c>
      <c r="D1257" t="inlineStr">
        <is>
          <t>GÄVLEBORGS LÄN</t>
        </is>
      </c>
      <c r="E1257" t="inlineStr">
        <is>
          <t>OVANÅKER</t>
        </is>
      </c>
      <c r="G1257" t="n">
        <v>6.5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43542-2024</t>
        </is>
      </c>
      <c r="B1258" s="1" t="n">
        <v>45569</v>
      </c>
      <c r="C1258" s="1" t="n">
        <v>45838</v>
      </c>
      <c r="D1258" t="inlineStr">
        <is>
          <t>GÄVLEBORGS LÄN</t>
        </is>
      </c>
      <c r="E1258" t="inlineStr">
        <is>
          <t>OVANÅKER</t>
        </is>
      </c>
      <c r="G1258" t="n">
        <v>0.6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43547-2024</t>
        </is>
      </c>
      <c r="B1259" s="1" t="n">
        <v>45569</v>
      </c>
      <c r="C1259" s="1" t="n">
        <v>45838</v>
      </c>
      <c r="D1259" t="inlineStr">
        <is>
          <t>GÄVLEBORGS LÄN</t>
        </is>
      </c>
      <c r="E1259" t="inlineStr">
        <is>
          <t>OVANÅKER</t>
        </is>
      </c>
      <c r="G1259" t="n">
        <v>2.6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43521-2024</t>
        </is>
      </c>
      <c r="B1260" s="1" t="n">
        <v>45569</v>
      </c>
      <c r="C1260" s="1" t="n">
        <v>45838</v>
      </c>
      <c r="D1260" t="inlineStr">
        <is>
          <t>GÄVLEBORGS LÄN</t>
        </is>
      </c>
      <c r="E1260" t="inlineStr">
        <is>
          <t>OVANÅKER</t>
        </is>
      </c>
      <c r="G1260" t="n">
        <v>0.7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43503-2024</t>
        </is>
      </c>
      <c r="B1261" s="1" t="n">
        <v>45569</v>
      </c>
      <c r="C1261" s="1" t="n">
        <v>45838</v>
      </c>
      <c r="D1261" t="inlineStr">
        <is>
          <t>GÄVLEBORGS LÄN</t>
        </is>
      </c>
      <c r="E1261" t="inlineStr">
        <is>
          <t>OVANÅKER</t>
        </is>
      </c>
      <c r="G1261" t="n">
        <v>0.9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43991-2024</t>
        </is>
      </c>
      <c r="B1262" s="1" t="n">
        <v>45572</v>
      </c>
      <c r="C1262" s="1" t="n">
        <v>45838</v>
      </c>
      <c r="D1262" t="inlineStr">
        <is>
          <t>GÄVLEBORGS LÄN</t>
        </is>
      </c>
      <c r="E1262" t="inlineStr">
        <is>
          <t>OVANÅKER</t>
        </is>
      </c>
      <c r="G1262" t="n">
        <v>1.6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44418-2024</t>
        </is>
      </c>
      <c r="B1263" s="1" t="n">
        <v>45573</v>
      </c>
      <c r="C1263" s="1" t="n">
        <v>45838</v>
      </c>
      <c r="D1263" t="inlineStr">
        <is>
          <t>GÄVLEBORGS LÄN</t>
        </is>
      </c>
      <c r="E1263" t="inlineStr">
        <is>
          <t>OVANÅKER</t>
        </is>
      </c>
      <c r="G1263" t="n">
        <v>1.7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44208-2024</t>
        </is>
      </c>
      <c r="B1264" s="1" t="n">
        <v>45573</v>
      </c>
      <c r="C1264" s="1" t="n">
        <v>45838</v>
      </c>
      <c r="D1264" t="inlineStr">
        <is>
          <t>GÄVLEBORGS LÄN</t>
        </is>
      </c>
      <c r="E1264" t="inlineStr">
        <is>
          <t>OVANÅKER</t>
        </is>
      </c>
      <c r="G1264" t="n">
        <v>1.9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44439-2024</t>
        </is>
      </c>
      <c r="B1265" s="1" t="n">
        <v>45574</v>
      </c>
      <c r="C1265" s="1" t="n">
        <v>45838</v>
      </c>
      <c r="D1265" t="inlineStr">
        <is>
          <t>GÄVLEBORGS LÄN</t>
        </is>
      </c>
      <c r="E1265" t="inlineStr">
        <is>
          <t>OVANÅKER</t>
        </is>
      </c>
      <c r="G1265" t="n">
        <v>12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44440-2024</t>
        </is>
      </c>
      <c r="B1266" s="1" t="n">
        <v>45574</v>
      </c>
      <c r="C1266" s="1" t="n">
        <v>45838</v>
      </c>
      <c r="D1266" t="inlineStr">
        <is>
          <t>GÄVLEBORGS LÄN</t>
        </is>
      </c>
      <c r="E1266" t="inlineStr">
        <is>
          <t>OVANÅKER</t>
        </is>
      </c>
      <c r="G1266" t="n">
        <v>12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44473-2024</t>
        </is>
      </c>
      <c r="B1267" s="1" t="n">
        <v>45574</v>
      </c>
      <c r="C1267" s="1" t="n">
        <v>45838</v>
      </c>
      <c r="D1267" t="inlineStr">
        <is>
          <t>GÄVLEBORGS LÄN</t>
        </is>
      </c>
      <c r="E1267" t="inlineStr">
        <is>
          <t>OVANÅKER</t>
        </is>
      </c>
      <c r="G1267" t="n">
        <v>2.9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44571-2024</t>
        </is>
      </c>
      <c r="B1268" s="1" t="n">
        <v>45574</v>
      </c>
      <c r="C1268" s="1" t="n">
        <v>45838</v>
      </c>
      <c r="D1268" t="inlineStr">
        <is>
          <t>GÄVLEBORGS LÄN</t>
        </is>
      </c>
      <c r="E1268" t="inlineStr">
        <is>
          <t>OVANÅKER</t>
        </is>
      </c>
      <c r="G1268" t="n">
        <v>1.1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44575-2024</t>
        </is>
      </c>
      <c r="B1269" s="1" t="n">
        <v>45574</v>
      </c>
      <c r="C1269" s="1" t="n">
        <v>45838</v>
      </c>
      <c r="D1269" t="inlineStr">
        <is>
          <t>GÄVLEBORGS LÄN</t>
        </is>
      </c>
      <c r="E1269" t="inlineStr">
        <is>
          <t>OVANÅKER</t>
        </is>
      </c>
      <c r="G1269" t="n">
        <v>1.1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44577-2024</t>
        </is>
      </c>
      <c r="B1270" s="1" t="n">
        <v>45574</v>
      </c>
      <c r="C1270" s="1" t="n">
        <v>45838</v>
      </c>
      <c r="D1270" t="inlineStr">
        <is>
          <t>GÄVLEBORGS LÄN</t>
        </is>
      </c>
      <c r="E1270" t="inlineStr">
        <is>
          <t>OVANÅKER</t>
        </is>
      </c>
      <c r="G1270" t="n">
        <v>1.1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44474-2024</t>
        </is>
      </c>
      <c r="B1271" s="1" t="n">
        <v>45574</v>
      </c>
      <c r="C1271" s="1" t="n">
        <v>45838</v>
      </c>
      <c r="D1271" t="inlineStr">
        <is>
          <t>GÄVLEBORGS LÄN</t>
        </is>
      </c>
      <c r="E1271" t="inlineStr">
        <is>
          <t>OVANÅKER</t>
        </is>
      </c>
      <c r="G1271" t="n">
        <v>2.9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44506-2024</t>
        </is>
      </c>
      <c r="B1272" s="1" t="n">
        <v>45574</v>
      </c>
      <c r="C1272" s="1" t="n">
        <v>45838</v>
      </c>
      <c r="D1272" t="inlineStr">
        <is>
          <t>GÄVLEBORGS LÄN</t>
        </is>
      </c>
      <c r="E1272" t="inlineStr">
        <is>
          <t>OVANÅKER</t>
        </is>
      </c>
      <c r="F1272" t="inlineStr">
        <is>
          <t>Kyrkan</t>
        </is>
      </c>
      <c r="G1272" t="n">
        <v>2.5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44859-2024</t>
        </is>
      </c>
      <c r="B1273" s="1" t="n">
        <v>45575</v>
      </c>
      <c r="C1273" s="1" t="n">
        <v>45838</v>
      </c>
      <c r="D1273" t="inlineStr">
        <is>
          <t>GÄVLEBORGS LÄN</t>
        </is>
      </c>
      <c r="E1273" t="inlineStr">
        <is>
          <t>OVANÅKER</t>
        </is>
      </c>
      <c r="G1273" t="n">
        <v>0.2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44910-2024</t>
        </is>
      </c>
      <c r="B1274" s="1" t="n">
        <v>45575</v>
      </c>
      <c r="C1274" s="1" t="n">
        <v>45838</v>
      </c>
      <c r="D1274" t="inlineStr">
        <is>
          <t>GÄVLEBORGS LÄN</t>
        </is>
      </c>
      <c r="E1274" t="inlineStr">
        <is>
          <t>OVANÅKER</t>
        </is>
      </c>
      <c r="G1274" t="n">
        <v>3.1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44863-2024</t>
        </is>
      </c>
      <c r="B1275" s="1" t="n">
        <v>45575</v>
      </c>
      <c r="C1275" s="1" t="n">
        <v>45838</v>
      </c>
      <c r="D1275" t="inlineStr">
        <is>
          <t>GÄVLEBORGS LÄN</t>
        </is>
      </c>
      <c r="E1275" t="inlineStr">
        <is>
          <t>OVANÅKER</t>
        </is>
      </c>
      <c r="G1275" t="n">
        <v>0.9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44905-2024</t>
        </is>
      </c>
      <c r="B1276" s="1" t="n">
        <v>45575</v>
      </c>
      <c r="C1276" s="1" t="n">
        <v>45838</v>
      </c>
      <c r="D1276" t="inlineStr">
        <is>
          <t>GÄVLEBORGS LÄN</t>
        </is>
      </c>
      <c r="E1276" t="inlineStr">
        <is>
          <t>OVANÅKER</t>
        </is>
      </c>
      <c r="G1276" t="n">
        <v>1.6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45532-2024</t>
        </is>
      </c>
      <c r="B1277" s="1" t="n">
        <v>45579</v>
      </c>
      <c r="C1277" s="1" t="n">
        <v>45838</v>
      </c>
      <c r="D1277" t="inlineStr">
        <is>
          <t>GÄVLEBORGS LÄN</t>
        </is>
      </c>
      <c r="E1277" t="inlineStr">
        <is>
          <t>OVANÅKER</t>
        </is>
      </c>
      <c r="G1277" t="n">
        <v>0.6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45546-2024</t>
        </is>
      </c>
      <c r="B1278" s="1" t="n">
        <v>45579</v>
      </c>
      <c r="C1278" s="1" t="n">
        <v>45838</v>
      </c>
      <c r="D1278" t="inlineStr">
        <is>
          <t>GÄVLEBORGS LÄN</t>
        </is>
      </c>
      <c r="E1278" t="inlineStr">
        <is>
          <t>OVANÅKER</t>
        </is>
      </c>
      <c r="G1278" t="n">
        <v>1.8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45534-2024</t>
        </is>
      </c>
      <c r="B1279" s="1" t="n">
        <v>45579</v>
      </c>
      <c r="C1279" s="1" t="n">
        <v>45838</v>
      </c>
      <c r="D1279" t="inlineStr">
        <is>
          <t>GÄVLEBORGS LÄN</t>
        </is>
      </c>
      <c r="E1279" t="inlineStr">
        <is>
          <t>OVANÅKER</t>
        </is>
      </c>
      <c r="G1279" t="n">
        <v>0.4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46000-2024</t>
        </is>
      </c>
      <c r="B1280" s="1" t="n">
        <v>45580</v>
      </c>
      <c r="C1280" s="1" t="n">
        <v>45838</v>
      </c>
      <c r="D1280" t="inlineStr">
        <is>
          <t>GÄVLEBORGS LÄN</t>
        </is>
      </c>
      <c r="E1280" t="inlineStr">
        <is>
          <t>OVANÅKER</t>
        </is>
      </c>
      <c r="G1280" t="n">
        <v>2.5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46036-2024</t>
        </is>
      </c>
      <c r="B1281" s="1" t="n">
        <v>45580</v>
      </c>
      <c r="C1281" s="1" t="n">
        <v>45838</v>
      </c>
      <c r="D1281" t="inlineStr">
        <is>
          <t>GÄVLEBORGS LÄN</t>
        </is>
      </c>
      <c r="E1281" t="inlineStr">
        <is>
          <t>OVANÅKER</t>
        </is>
      </c>
      <c r="G1281" t="n">
        <v>2.2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45998-2024</t>
        </is>
      </c>
      <c r="B1282" s="1" t="n">
        <v>45580</v>
      </c>
      <c r="C1282" s="1" t="n">
        <v>45838</v>
      </c>
      <c r="D1282" t="inlineStr">
        <is>
          <t>GÄVLEBORGS LÄN</t>
        </is>
      </c>
      <c r="E1282" t="inlineStr">
        <is>
          <t>OVANÅKER</t>
        </is>
      </c>
      <c r="F1282" t="inlineStr">
        <is>
          <t>Sveaskog</t>
        </is>
      </c>
      <c r="G1282" t="n">
        <v>0.9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46034-2024</t>
        </is>
      </c>
      <c r="B1283" s="1" t="n">
        <v>45580</v>
      </c>
      <c r="C1283" s="1" t="n">
        <v>45838</v>
      </c>
      <c r="D1283" t="inlineStr">
        <is>
          <t>GÄVLEBORGS LÄN</t>
        </is>
      </c>
      <c r="E1283" t="inlineStr">
        <is>
          <t>OVANÅKER</t>
        </is>
      </c>
      <c r="G1283" t="n">
        <v>2.5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45997-2024</t>
        </is>
      </c>
      <c r="B1284" s="1" t="n">
        <v>45580</v>
      </c>
      <c r="C1284" s="1" t="n">
        <v>45838</v>
      </c>
      <c r="D1284" t="inlineStr">
        <is>
          <t>GÄVLEBORGS LÄN</t>
        </is>
      </c>
      <c r="E1284" t="inlineStr">
        <is>
          <t>OVANÅKER</t>
        </is>
      </c>
      <c r="G1284" t="n">
        <v>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46397-2024</t>
        </is>
      </c>
      <c r="B1285" s="1" t="n">
        <v>45582</v>
      </c>
      <c r="C1285" s="1" t="n">
        <v>45838</v>
      </c>
      <c r="D1285" t="inlineStr">
        <is>
          <t>GÄVLEBORGS LÄN</t>
        </is>
      </c>
      <c r="E1285" t="inlineStr">
        <is>
          <t>OVANÅKER</t>
        </is>
      </c>
      <c r="G1285" t="n">
        <v>1.6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46605-2024</t>
        </is>
      </c>
      <c r="B1286" s="1" t="n">
        <v>45582</v>
      </c>
      <c r="C1286" s="1" t="n">
        <v>45838</v>
      </c>
      <c r="D1286" t="inlineStr">
        <is>
          <t>GÄVLEBORGS LÄN</t>
        </is>
      </c>
      <c r="E1286" t="inlineStr">
        <is>
          <t>OVANÅKER</t>
        </is>
      </c>
      <c r="G1286" t="n">
        <v>2.2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47380-2024</t>
        </is>
      </c>
      <c r="B1287" s="1" t="n">
        <v>45587</v>
      </c>
      <c r="C1287" s="1" t="n">
        <v>45838</v>
      </c>
      <c r="D1287" t="inlineStr">
        <is>
          <t>GÄVLEBORGS LÄN</t>
        </is>
      </c>
      <c r="E1287" t="inlineStr">
        <is>
          <t>OVANÅKER</t>
        </is>
      </c>
      <c r="G1287" t="n">
        <v>1.5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47376-2024</t>
        </is>
      </c>
      <c r="B1288" s="1" t="n">
        <v>45587</v>
      </c>
      <c r="C1288" s="1" t="n">
        <v>45838</v>
      </c>
      <c r="D1288" t="inlineStr">
        <is>
          <t>GÄVLEBORGS LÄN</t>
        </is>
      </c>
      <c r="E1288" t="inlineStr">
        <is>
          <t>OVANÅKER</t>
        </is>
      </c>
      <c r="G1288" t="n">
        <v>5.3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48113-2024</t>
        </is>
      </c>
      <c r="B1289" s="1" t="n">
        <v>45589</v>
      </c>
      <c r="C1289" s="1" t="n">
        <v>45838</v>
      </c>
      <c r="D1289" t="inlineStr">
        <is>
          <t>GÄVLEBORGS LÄN</t>
        </is>
      </c>
      <c r="E1289" t="inlineStr">
        <is>
          <t>OVANÅKER</t>
        </is>
      </c>
      <c r="G1289" t="n">
        <v>1.2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48125-2024</t>
        </is>
      </c>
      <c r="B1290" s="1" t="n">
        <v>45589</v>
      </c>
      <c r="C1290" s="1" t="n">
        <v>45838</v>
      </c>
      <c r="D1290" t="inlineStr">
        <is>
          <t>GÄVLEBORGS LÄN</t>
        </is>
      </c>
      <c r="E1290" t="inlineStr">
        <is>
          <t>OVANÅKER</t>
        </is>
      </c>
      <c r="G1290" t="n">
        <v>0.6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47978-2024</t>
        </is>
      </c>
      <c r="B1291" s="1" t="n">
        <v>45589</v>
      </c>
      <c r="C1291" s="1" t="n">
        <v>45838</v>
      </c>
      <c r="D1291" t="inlineStr">
        <is>
          <t>GÄVLEBORGS LÄN</t>
        </is>
      </c>
      <c r="E1291" t="inlineStr">
        <is>
          <t>OVANÅKER</t>
        </is>
      </c>
      <c r="G1291" t="n">
        <v>0.7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48755-2024</t>
        </is>
      </c>
      <c r="B1292" s="1" t="n">
        <v>45593</v>
      </c>
      <c r="C1292" s="1" t="n">
        <v>45838</v>
      </c>
      <c r="D1292" t="inlineStr">
        <is>
          <t>GÄVLEBORGS LÄN</t>
        </is>
      </c>
      <c r="E1292" t="inlineStr">
        <is>
          <t>OVANÅKER</t>
        </is>
      </c>
      <c r="G1292" t="n">
        <v>1.4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48757-2024</t>
        </is>
      </c>
      <c r="B1293" s="1" t="n">
        <v>45593</v>
      </c>
      <c r="C1293" s="1" t="n">
        <v>45838</v>
      </c>
      <c r="D1293" t="inlineStr">
        <is>
          <t>GÄVLEBORGS LÄN</t>
        </is>
      </c>
      <c r="E1293" t="inlineStr">
        <is>
          <t>OVANÅKER</t>
        </is>
      </c>
      <c r="G1293" t="n">
        <v>0.6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48907-2024</t>
        </is>
      </c>
      <c r="B1294" s="1" t="n">
        <v>45594</v>
      </c>
      <c r="C1294" s="1" t="n">
        <v>45838</v>
      </c>
      <c r="D1294" t="inlineStr">
        <is>
          <t>GÄVLEBORGS LÄN</t>
        </is>
      </c>
      <c r="E1294" t="inlineStr">
        <is>
          <t>OVANÅKER</t>
        </is>
      </c>
      <c r="G1294" t="n">
        <v>3.7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49202-2024</t>
        </is>
      </c>
      <c r="B1295" s="1" t="n">
        <v>45595</v>
      </c>
      <c r="C1295" s="1" t="n">
        <v>45838</v>
      </c>
      <c r="D1295" t="inlineStr">
        <is>
          <t>GÄVLEBORGS LÄN</t>
        </is>
      </c>
      <c r="E1295" t="inlineStr">
        <is>
          <t>OVANÅKER</t>
        </is>
      </c>
      <c r="G1295" t="n">
        <v>0.8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49224-2024</t>
        </is>
      </c>
      <c r="B1296" s="1" t="n">
        <v>45595</v>
      </c>
      <c r="C1296" s="1" t="n">
        <v>45838</v>
      </c>
      <c r="D1296" t="inlineStr">
        <is>
          <t>GÄVLEBORGS LÄN</t>
        </is>
      </c>
      <c r="E1296" t="inlineStr">
        <is>
          <t>OVANÅKER</t>
        </is>
      </c>
      <c r="G1296" t="n">
        <v>4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49321-2024</t>
        </is>
      </c>
      <c r="B1297" s="1" t="n">
        <v>45595</v>
      </c>
      <c r="C1297" s="1" t="n">
        <v>45838</v>
      </c>
      <c r="D1297" t="inlineStr">
        <is>
          <t>GÄVLEBORGS LÄN</t>
        </is>
      </c>
      <c r="E1297" t="inlineStr">
        <is>
          <t>OVANÅKER</t>
        </is>
      </c>
      <c r="G1297" t="n">
        <v>4.6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49858-2024</t>
        </is>
      </c>
      <c r="B1298" s="1" t="n">
        <v>45597</v>
      </c>
      <c r="C1298" s="1" t="n">
        <v>45838</v>
      </c>
      <c r="D1298" t="inlineStr">
        <is>
          <t>GÄVLEBORGS LÄN</t>
        </is>
      </c>
      <c r="E1298" t="inlineStr">
        <is>
          <t>OVANÅKER</t>
        </is>
      </c>
      <c r="G1298" t="n">
        <v>1.2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49856-2024</t>
        </is>
      </c>
      <c r="B1299" s="1" t="n">
        <v>45597</v>
      </c>
      <c r="C1299" s="1" t="n">
        <v>45838</v>
      </c>
      <c r="D1299" t="inlineStr">
        <is>
          <t>GÄVLEBORGS LÄN</t>
        </is>
      </c>
      <c r="E1299" t="inlineStr">
        <is>
          <t>OVANÅKER</t>
        </is>
      </c>
      <c r="G1299" t="n">
        <v>3.4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49857-2024</t>
        </is>
      </c>
      <c r="B1300" s="1" t="n">
        <v>45597</v>
      </c>
      <c r="C1300" s="1" t="n">
        <v>45838</v>
      </c>
      <c r="D1300" t="inlineStr">
        <is>
          <t>GÄVLEBORGS LÄN</t>
        </is>
      </c>
      <c r="E1300" t="inlineStr">
        <is>
          <t>OVANÅKER</t>
        </is>
      </c>
      <c r="G1300" t="n">
        <v>1.9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50480-2024</t>
        </is>
      </c>
      <c r="B1301" s="1" t="n">
        <v>45601</v>
      </c>
      <c r="C1301" s="1" t="n">
        <v>45838</v>
      </c>
      <c r="D1301" t="inlineStr">
        <is>
          <t>GÄVLEBORGS LÄN</t>
        </is>
      </c>
      <c r="E1301" t="inlineStr">
        <is>
          <t>OVANÅKER</t>
        </is>
      </c>
      <c r="G1301" t="n">
        <v>3.8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50565-2024</t>
        </is>
      </c>
      <c r="B1302" s="1" t="n">
        <v>45601</v>
      </c>
      <c r="C1302" s="1" t="n">
        <v>45838</v>
      </c>
      <c r="D1302" t="inlineStr">
        <is>
          <t>GÄVLEBORGS LÄN</t>
        </is>
      </c>
      <c r="E1302" t="inlineStr">
        <is>
          <t>OVANÅKER</t>
        </is>
      </c>
      <c r="G1302" t="n">
        <v>1.2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50570-2024</t>
        </is>
      </c>
      <c r="B1303" s="1" t="n">
        <v>45601</v>
      </c>
      <c r="C1303" s="1" t="n">
        <v>45838</v>
      </c>
      <c r="D1303" t="inlineStr">
        <is>
          <t>GÄVLEBORGS LÄN</t>
        </is>
      </c>
      <c r="E1303" t="inlineStr">
        <is>
          <t>OVANÅKER</t>
        </is>
      </c>
      <c r="G1303" t="n">
        <v>4.5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50622-2024</t>
        </is>
      </c>
      <c r="B1304" s="1" t="n">
        <v>45601</v>
      </c>
      <c r="C1304" s="1" t="n">
        <v>45838</v>
      </c>
      <c r="D1304" t="inlineStr">
        <is>
          <t>GÄVLEBORGS LÄN</t>
        </is>
      </c>
      <c r="E1304" t="inlineStr">
        <is>
          <t>OVANÅKER</t>
        </is>
      </c>
      <c r="G1304" t="n">
        <v>2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50650-2024</t>
        </is>
      </c>
      <c r="B1305" s="1" t="n">
        <v>45601</v>
      </c>
      <c r="C1305" s="1" t="n">
        <v>45838</v>
      </c>
      <c r="D1305" t="inlineStr">
        <is>
          <t>GÄVLEBORGS LÄN</t>
        </is>
      </c>
      <c r="E1305" t="inlineStr">
        <is>
          <t>OVANÅKER</t>
        </is>
      </c>
      <c r="G1305" t="n">
        <v>1.7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50412-2024</t>
        </is>
      </c>
      <c r="B1306" s="1" t="n">
        <v>45601</v>
      </c>
      <c r="C1306" s="1" t="n">
        <v>45838</v>
      </c>
      <c r="D1306" t="inlineStr">
        <is>
          <t>GÄVLEBORGS LÄN</t>
        </is>
      </c>
      <c r="E1306" t="inlineStr">
        <is>
          <t>OVANÅKER</t>
        </is>
      </c>
      <c r="G1306" t="n">
        <v>2.3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50389-2024</t>
        </is>
      </c>
      <c r="B1307" s="1" t="n">
        <v>45601</v>
      </c>
      <c r="C1307" s="1" t="n">
        <v>45838</v>
      </c>
      <c r="D1307" t="inlineStr">
        <is>
          <t>GÄVLEBORGS LÄN</t>
        </is>
      </c>
      <c r="E1307" t="inlineStr">
        <is>
          <t>OVANÅKER</t>
        </is>
      </c>
      <c r="G1307" t="n">
        <v>1.4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50457-2024</t>
        </is>
      </c>
      <c r="B1308" s="1" t="n">
        <v>45601</v>
      </c>
      <c r="C1308" s="1" t="n">
        <v>45838</v>
      </c>
      <c r="D1308" t="inlineStr">
        <is>
          <t>GÄVLEBORGS LÄN</t>
        </is>
      </c>
      <c r="E1308" t="inlineStr">
        <is>
          <t>OVANÅKER</t>
        </is>
      </c>
      <c r="G1308" t="n">
        <v>2.6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50469-2024</t>
        </is>
      </c>
      <c r="B1309" s="1" t="n">
        <v>45601</v>
      </c>
      <c r="C1309" s="1" t="n">
        <v>45838</v>
      </c>
      <c r="D1309" t="inlineStr">
        <is>
          <t>GÄVLEBORGS LÄN</t>
        </is>
      </c>
      <c r="E1309" t="inlineStr">
        <is>
          <t>OVANÅKER</t>
        </is>
      </c>
      <c r="G1309" t="n">
        <v>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50787-2024</t>
        </is>
      </c>
      <c r="B1310" s="1" t="n">
        <v>45602</v>
      </c>
      <c r="C1310" s="1" t="n">
        <v>45838</v>
      </c>
      <c r="D1310" t="inlineStr">
        <is>
          <t>GÄVLEBORGS LÄN</t>
        </is>
      </c>
      <c r="E1310" t="inlineStr">
        <is>
          <t>OVANÅKER</t>
        </is>
      </c>
      <c r="G1310" t="n">
        <v>1.5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50791-2024</t>
        </is>
      </c>
      <c r="B1311" s="1" t="n">
        <v>45602</v>
      </c>
      <c r="C1311" s="1" t="n">
        <v>45838</v>
      </c>
      <c r="D1311" t="inlineStr">
        <is>
          <t>GÄVLEBORGS LÄN</t>
        </is>
      </c>
      <c r="E1311" t="inlineStr">
        <is>
          <t>OVANÅKER</t>
        </is>
      </c>
      <c r="G1311" t="n">
        <v>0.5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50940-2024</t>
        </is>
      </c>
      <c r="B1312" s="1" t="n">
        <v>45602</v>
      </c>
      <c r="C1312" s="1" t="n">
        <v>45838</v>
      </c>
      <c r="D1312" t="inlineStr">
        <is>
          <t>GÄVLEBORGS LÄN</t>
        </is>
      </c>
      <c r="E1312" t="inlineStr">
        <is>
          <t>OVANÅKER</t>
        </is>
      </c>
      <c r="G1312" t="n">
        <v>4.4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51005-2024</t>
        </is>
      </c>
      <c r="B1313" s="1" t="n">
        <v>45603</v>
      </c>
      <c r="C1313" s="1" t="n">
        <v>45838</v>
      </c>
      <c r="D1313" t="inlineStr">
        <is>
          <t>GÄVLEBORGS LÄN</t>
        </is>
      </c>
      <c r="E1313" t="inlineStr">
        <is>
          <t>OVANÅKER</t>
        </is>
      </c>
      <c r="G1313" t="n">
        <v>10.9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51003-2024</t>
        </is>
      </c>
      <c r="B1314" s="1" t="n">
        <v>45603</v>
      </c>
      <c r="C1314" s="1" t="n">
        <v>45838</v>
      </c>
      <c r="D1314" t="inlineStr">
        <is>
          <t>GÄVLEBORGS LÄN</t>
        </is>
      </c>
      <c r="E1314" t="inlineStr">
        <is>
          <t>OVANÅKER</t>
        </is>
      </c>
      <c r="G1314" t="n">
        <v>14.3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51522-2024</t>
        </is>
      </c>
      <c r="B1315" s="1" t="n">
        <v>45604</v>
      </c>
      <c r="C1315" s="1" t="n">
        <v>45838</v>
      </c>
      <c r="D1315" t="inlineStr">
        <is>
          <t>GÄVLEBORGS LÄN</t>
        </is>
      </c>
      <c r="E1315" t="inlineStr">
        <is>
          <t>OVANÅKER</t>
        </is>
      </c>
      <c r="F1315" t="inlineStr">
        <is>
          <t>Bergvik skog väst AB</t>
        </is>
      </c>
      <c r="G1315" t="n">
        <v>1.4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51552-2024</t>
        </is>
      </c>
      <c r="B1316" s="1" t="n">
        <v>45604</v>
      </c>
      <c r="C1316" s="1" t="n">
        <v>45838</v>
      </c>
      <c r="D1316" t="inlineStr">
        <is>
          <t>GÄVLEBORGS LÄN</t>
        </is>
      </c>
      <c r="E1316" t="inlineStr">
        <is>
          <t>OVANÅKER</t>
        </is>
      </c>
      <c r="G1316" t="n">
        <v>2.5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51984-2024</t>
        </is>
      </c>
      <c r="B1317" s="1" t="n">
        <v>45607</v>
      </c>
      <c r="C1317" s="1" t="n">
        <v>45838</v>
      </c>
      <c r="D1317" t="inlineStr">
        <is>
          <t>GÄVLEBORGS LÄN</t>
        </is>
      </c>
      <c r="E1317" t="inlineStr">
        <is>
          <t>OVANÅKER</t>
        </is>
      </c>
      <c r="G1317" t="n">
        <v>15.2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  <c r="U1317">
        <f>HYPERLINK("https://klasma.github.io/Logging_2121/knärot/A 51984-2024 karta knärot.png", "A 51984-2024")</f>
        <v/>
      </c>
      <c r="V1317">
        <f>HYPERLINK("https://klasma.github.io/Logging_2121/klagomål/A 51984-2024 FSC-klagomål.docx", "A 51984-2024")</f>
        <v/>
      </c>
      <c r="W1317">
        <f>HYPERLINK("https://klasma.github.io/Logging_2121/klagomålsmail/A 51984-2024 FSC-klagomål mail.docx", "A 51984-2024")</f>
        <v/>
      </c>
      <c r="X1317">
        <f>HYPERLINK("https://klasma.github.io/Logging_2121/tillsyn/A 51984-2024 tillsynsbegäran.docx", "A 51984-2024")</f>
        <v/>
      </c>
      <c r="Y1317">
        <f>HYPERLINK("https://klasma.github.io/Logging_2121/tillsynsmail/A 51984-2024 tillsynsbegäran mail.docx", "A 51984-2024")</f>
        <v/>
      </c>
    </row>
    <row r="1318" ht="15" customHeight="1">
      <c r="A1318" t="inlineStr">
        <is>
          <t>A 51788-2024</t>
        </is>
      </c>
      <c r="B1318" s="1" t="n">
        <v>45607</v>
      </c>
      <c r="C1318" s="1" t="n">
        <v>45838</v>
      </c>
      <c r="D1318" t="inlineStr">
        <is>
          <t>GÄVLEBORGS LÄN</t>
        </is>
      </c>
      <c r="E1318" t="inlineStr">
        <is>
          <t>OVANÅKER</t>
        </is>
      </c>
      <c r="G1318" t="n">
        <v>2.7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52286-2024</t>
        </is>
      </c>
      <c r="B1319" s="1" t="n">
        <v>45608</v>
      </c>
      <c r="C1319" s="1" t="n">
        <v>45838</v>
      </c>
      <c r="D1319" t="inlineStr">
        <is>
          <t>GÄVLEBORGS LÄN</t>
        </is>
      </c>
      <c r="E1319" t="inlineStr">
        <is>
          <t>OVANÅKER</t>
        </is>
      </c>
      <c r="G1319" t="n">
        <v>1.1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52348-2024</t>
        </is>
      </c>
      <c r="B1320" s="1" t="n">
        <v>45609</v>
      </c>
      <c r="C1320" s="1" t="n">
        <v>45838</v>
      </c>
      <c r="D1320" t="inlineStr">
        <is>
          <t>GÄVLEBORGS LÄN</t>
        </is>
      </c>
      <c r="E1320" t="inlineStr">
        <is>
          <t>OVANÅKER</t>
        </is>
      </c>
      <c r="F1320" t="inlineStr">
        <is>
          <t>Bergvik skog öst AB</t>
        </is>
      </c>
      <c r="G1320" t="n">
        <v>2.4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52539-2024</t>
        </is>
      </c>
      <c r="B1321" s="1" t="n">
        <v>45609</v>
      </c>
      <c r="C1321" s="1" t="n">
        <v>45838</v>
      </c>
      <c r="D1321" t="inlineStr">
        <is>
          <t>GÄVLEBORGS LÄN</t>
        </is>
      </c>
      <c r="E1321" t="inlineStr">
        <is>
          <t>OVANÅKER</t>
        </is>
      </c>
      <c r="G1321" t="n">
        <v>1.7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52933-2024</t>
        </is>
      </c>
      <c r="B1322" s="1" t="n">
        <v>45610</v>
      </c>
      <c r="C1322" s="1" t="n">
        <v>45838</v>
      </c>
      <c r="D1322" t="inlineStr">
        <is>
          <t>GÄVLEBORGS LÄN</t>
        </is>
      </c>
      <c r="E1322" t="inlineStr">
        <is>
          <t>OVANÅKER</t>
        </is>
      </c>
      <c r="G1322" t="n">
        <v>1.6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52932-2024</t>
        </is>
      </c>
      <c r="B1323" s="1" t="n">
        <v>45610</v>
      </c>
      <c r="C1323" s="1" t="n">
        <v>45838</v>
      </c>
      <c r="D1323" t="inlineStr">
        <is>
          <t>GÄVLEBORGS LÄN</t>
        </is>
      </c>
      <c r="E1323" t="inlineStr">
        <is>
          <t>OVANÅKER</t>
        </is>
      </c>
      <c r="G1323" t="n">
        <v>2.2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52960-2024</t>
        </is>
      </c>
      <c r="B1324" s="1" t="n">
        <v>45611</v>
      </c>
      <c r="C1324" s="1" t="n">
        <v>45838</v>
      </c>
      <c r="D1324" t="inlineStr">
        <is>
          <t>GÄVLEBORGS LÄN</t>
        </is>
      </c>
      <c r="E1324" t="inlineStr">
        <is>
          <t>OVANÅKER</t>
        </is>
      </c>
      <c r="G1324" t="n">
        <v>1.2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53069-2024</t>
        </is>
      </c>
      <c r="B1325" s="1" t="n">
        <v>45611</v>
      </c>
      <c r="C1325" s="1" t="n">
        <v>45838</v>
      </c>
      <c r="D1325" t="inlineStr">
        <is>
          <t>GÄVLEBORGS LÄN</t>
        </is>
      </c>
      <c r="E1325" t="inlineStr">
        <is>
          <t>OVANÅKER</t>
        </is>
      </c>
      <c r="F1325" t="inlineStr">
        <is>
          <t>Bergvik skog öst AB</t>
        </is>
      </c>
      <c r="G1325" t="n">
        <v>15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52961-2024</t>
        </is>
      </c>
      <c r="B1326" s="1" t="n">
        <v>45611</v>
      </c>
      <c r="C1326" s="1" t="n">
        <v>45838</v>
      </c>
      <c r="D1326" t="inlineStr">
        <is>
          <t>GÄVLEBORGS LÄN</t>
        </is>
      </c>
      <c r="E1326" t="inlineStr">
        <is>
          <t>OVANÅKER</t>
        </is>
      </c>
      <c r="G1326" t="n">
        <v>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53461-2024</t>
        </is>
      </c>
      <c r="B1327" s="1" t="n">
        <v>45614</v>
      </c>
      <c r="C1327" s="1" t="n">
        <v>45838</v>
      </c>
      <c r="D1327" t="inlineStr">
        <is>
          <t>GÄVLEBORGS LÄN</t>
        </is>
      </c>
      <c r="E1327" t="inlineStr">
        <is>
          <t>OVANÅKER</t>
        </is>
      </c>
      <c r="G1327" t="n">
        <v>0.6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53399-2024</t>
        </is>
      </c>
      <c r="B1328" s="1" t="n">
        <v>45614</v>
      </c>
      <c r="C1328" s="1" t="n">
        <v>45838</v>
      </c>
      <c r="D1328" t="inlineStr">
        <is>
          <t>GÄVLEBORGS LÄN</t>
        </is>
      </c>
      <c r="E1328" t="inlineStr">
        <is>
          <t>OVANÅKER</t>
        </is>
      </c>
      <c r="G1328" t="n">
        <v>2.1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53565-2024</t>
        </is>
      </c>
      <c r="B1329" s="1" t="n">
        <v>45614</v>
      </c>
      <c r="C1329" s="1" t="n">
        <v>45838</v>
      </c>
      <c r="D1329" t="inlineStr">
        <is>
          <t>GÄVLEBORGS LÄN</t>
        </is>
      </c>
      <c r="E1329" t="inlineStr">
        <is>
          <t>OVANÅKER</t>
        </is>
      </c>
      <c r="G1329" t="n">
        <v>4.3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53444-2024</t>
        </is>
      </c>
      <c r="B1330" s="1" t="n">
        <v>45614</v>
      </c>
      <c r="C1330" s="1" t="n">
        <v>45838</v>
      </c>
      <c r="D1330" t="inlineStr">
        <is>
          <t>GÄVLEBORGS LÄN</t>
        </is>
      </c>
      <c r="E1330" t="inlineStr">
        <is>
          <t>OVANÅKER</t>
        </is>
      </c>
      <c r="G1330" t="n">
        <v>2.8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53440-2024</t>
        </is>
      </c>
      <c r="B1331" s="1" t="n">
        <v>45614</v>
      </c>
      <c r="C1331" s="1" t="n">
        <v>45838</v>
      </c>
      <c r="D1331" t="inlineStr">
        <is>
          <t>GÄVLEBORGS LÄN</t>
        </is>
      </c>
      <c r="E1331" t="inlineStr">
        <is>
          <t>OVANÅKER</t>
        </is>
      </c>
      <c r="G1331" t="n">
        <v>1.5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53404-2024</t>
        </is>
      </c>
      <c r="B1332" s="1" t="n">
        <v>45614</v>
      </c>
      <c r="C1332" s="1" t="n">
        <v>45838</v>
      </c>
      <c r="D1332" t="inlineStr">
        <is>
          <t>GÄVLEBORGS LÄN</t>
        </is>
      </c>
      <c r="E1332" t="inlineStr">
        <is>
          <t>OVANÅKER</t>
        </is>
      </c>
      <c r="G1332" t="n">
        <v>0.9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53250-2024</t>
        </is>
      </c>
      <c r="B1333" s="1" t="n">
        <v>45614</v>
      </c>
      <c r="C1333" s="1" t="n">
        <v>45838</v>
      </c>
      <c r="D1333" t="inlineStr">
        <is>
          <t>GÄVLEBORGS LÄN</t>
        </is>
      </c>
      <c r="E1333" t="inlineStr">
        <is>
          <t>OVANÅKER</t>
        </is>
      </c>
      <c r="G1333" t="n">
        <v>1.2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53834-2024</t>
        </is>
      </c>
      <c r="B1334" s="1" t="n">
        <v>45615</v>
      </c>
      <c r="C1334" s="1" t="n">
        <v>45838</v>
      </c>
      <c r="D1334" t="inlineStr">
        <is>
          <t>GÄVLEBORGS LÄN</t>
        </is>
      </c>
      <c r="E1334" t="inlineStr">
        <is>
          <t>OVANÅKER</t>
        </is>
      </c>
      <c r="G1334" t="n">
        <v>4.1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53840-2024</t>
        </is>
      </c>
      <c r="B1335" s="1" t="n">
        <v>45615</v>
      </c>
      <c r="C1335" s="1" t="n">
        <v>45838</v>
      </c>
      <c r="D1335" t="inlineStr">
        <is>
          <t>GÄVLEBORGS LÄN</t>
        </is>
      </c>
      <c r="E1335" t="inlineStr">
        <is>
          <t>OVANÅKER</t>
        </is>
      </c>
      <c r="G1335" t="n">
        <v>2.7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53871-2024</t>
        </is>
      </c>
      <c r="B1336" s="1" t="n">
        <v>45615</v>
      </c>
      <c r="C1336" s="1" t="n">
        <v>45838</v>
      </c>
      <c r="D1336" t="inlineStr">
        <is>
          <t>GÄVLEBORGS LÄN</t>
        </is>
      </c>
      <c r="E1336" t="inlineStr">
        <is>
          <t>OVANÅKER</t>
        </is>
      </c>
      <c r="G1336" t="n">
        <v>1.3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54146-2024</t>
        </is>
      </c>
      <c r="B1337" s="1" t="n">
        <v>45616</v>
      </c>
      <c r="C1337" s="1" t="n">
        <v>45838</v>
      </c>
      <c r="D1337" t="inlineStr">
        <is>
          <t>GÄVLEBORGS LÄN</t>
        </is>
      </c>
      <c r="E1337" t="inlineStr">
        <is>
          <t>OVANÅKER</t>
        </is>
      </c>
      <c r="G1337" t="n">
        <v>6.9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54214-2024</t>
        </is>
      </c>
      <c r="B1338" s="1" t="n">
        <v>45616</v>
      </c>
      <c r="C1338" s="1" t="n">
        <v>45838</v>
      </c>
      <c r="D1338" t="inlineStr">
        <is>
          <t>GÄVLEBORGS LÄN</t>
        </is>
      </c>
      <c r="E1338" t="inlineStr">
        <is>
          <t>OVANÅKER</t>
        </is>
      </c>
      <c r="F1338" t="inlineStr">
        <is>
          <t>Holmen skog AB</t>
        </is>
      </c>
      <c r="G1338" t="n">
        <v>2.3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53970-2024</t>
        </is>
      </c>
      <c r="B1339" s="1" t="n">
        <v>45616</v>
      </c>
      <c r="C1339" s="1" t="n">
        <v>45838</v>
      </c>
      <c r="D1339" t="inlineStr">
        <is>
          <t>GÄVLEBORGS LÄN</t>
        </is>
      </c>
      <c r="E1339" t="inlineStr">
        <is>
          <t>OVANÅKER</t>
        </is>
      </c>
      <c r="G1339" t="n">
        <v>1.4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54273-2024</t>
        </is>
      </c>
      <c r="B1340" s="1" t="n">
        <v>45616</v>
      </c>
      <c r="C1340" s="1" t="n">
        <v>45838</v>
      </c>
      <c r="D1340" t="inlineStr">
        <is>
          <t>GÄVLEBORGS LÄN</t>
        </is>
      </c>
      <c r="E1340" t="inlineStr">
        <is>
          <t>OVANÅKER</t>
        </is>
      </c>
      <c r="G1340" t="n">
        <v>1.7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53986-2024</t>
        </is>
      </c>
      <c r="B1341" s="1" t="n">
        <v>45616</v>
      </c>
      <c r="C1341" s="1" t="n">
        <v>45838</v>
      </c>
      <c r="D1341" t="inlineStr">
        <is>
          <t>GÄVLEBORGS LÄN</t>
        </is>
      </c>
      <c r="E1341" t="inlineStr">
        <is>
          <t>OVANÅKER</t>
        </is>
      </c>
      <c r="G1341" t="n">
        <v>3.3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54187-2024</t>
        </is>
      </c>
      <c r="B1342" s="1" t="n">
        <v>45616</v>
      </c>
      <c r="C1342" s="1" t="n">
        <v>45838</v>
      </c>
      <c r="D1342" t="inlineStr">
        <is>
          <t>GÄVLEBORGS LÄN</t>
        </is>
      </c>
      <c r="E1342" t="inlineStr">
        <is>
          <t>OVANÅKER</t>
        </is>
      </c>
      <c r="F1342" t="inlineStr">
        <is>
          <t>Holmen skog AB</t>
        </is>
      </c>
      <c r="G1342" t="n">
        <v>1.8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54297-2024</t>
        </is>
      </c>
      <c r="B1343" s="1" t="n">
        <v>45617</v>
      </c>
      <c r="C1343" s="1" t="n">
        <v>45838</v>
      </c>
      <c r="D1343" t="inlineStr">
        <is>
          <t>GÄVLEBORGS LÄN</t>
        </is>
      </c>
      <c r="E1343" t="inlineStr">
        <is>
          <t>OVANÅKER</t>
        </is>
      </c>
      <c r="G1343" t="n">
        <v>2.4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54554-2024</t>
        </is>
      </c>
      <c r="B1344" s="1" t="n">
        <v>45617</v>
      </c>
      <c r="C1344" s="1" t="n">
        <v>45838</v>
      </c>
      <c r="D1344" t="inlineStr">
        <is>
          <t>GÄVLEBORGS LÄN</t>
        </is>
      </c>
      <c r="E1344" t="inlineStr">
        <is>
          <t>OVANÅKER</t>
        </is>
      </c>
      <c r="G1344" t="n">
        <v>0.7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54557-2024</t>
        </is>
      </c>
      <c r="B1345" s="1" t="n">
        <v>45617</v>
      </c>
      <c r="C1345" s="1" t="n">
        <v>45838</v>
      </c>
      <c r="D1345" t="inlineStr">
        <is>
          <t>GÄVLEBORGS LÄN</t>
        </is>
      </c>
      <c r="E1345" t="inlineStr">
        <is>
          <t>OVANÅKER</t>
        </is>
      </c>
      <c r="G1345" t="n">
        <v>1.7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54665-2024</t>
        </is>
      </c>
      <c r="B1346" s="1" t="n">
        <v>45618</v>
      </c>
      <c r="C1346" s="1" t="n">
        <v>45838</v>
      </c>
      <c r="D1346" t="inlineStr">
        <is>
          <t>GÄVLEBORGS LÄN</t>
        </is>
      </c>
      <c r="E1346" t="inlineStr">
        <is>
          <t>OVANÅKER</t>
        </is>
      </c>
      <c r="G1346" t="n">
        <v>1.1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54661-2024</t>
        </is>
      </c>
      <c r="B1347" s="1" t="n">
        <v>45618</v>
      </c>
      <c r="C1347" s="1" t="n">
        <v>45838</v>
      </c>
      <c r="D1347" t="inlineStr">
        <is>
          <t>GÄVLEBORGS LÄN</t>
        </is>
      </c>
      <c r="E1347" t="inlineStr">
        <is>
          <t>OVANÅKER</t>
        </is>
      </c>
      <c r="G1347" t="n">
        <v>2.5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54853-2024</t>
        </is>
      </c>
      <c r="B1348" s="1" t="n">
        <v>45618</v>
      </c>
      <c r="C1348" s="1" t="n">
        <v>45838</v>
      </c>
      <c r="D1348" t="inlineStr">
        <is>
          <t>GÄVLEBORGS LÄN</t>
        </is>
      </c>
      <c r="E1348" t="inlineStr">
        <is>
          <t>OVANÅKER</t>
        </is>
      </c>
      <c r="F1348" t="inlineStr">
        <is>
          <t>Bergvik skog väst AB</t>
        </is>
      </c>
      <c r="G1348" t="n">
        <v>1.6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54667-2024</t>
        </is>
      </c>
      <c r="B1349" s="1" t="n">
        <v>45618</v>
      </c>
      <c r="C1349" s="1" t="n">
        <v>45838</v>
      </c>
      <c r="D1349" t="inlineStr">
        <is>
          <t>GÄVLEBORGS LÄN</t>
        </is>
      </c>
      <c r="E1349" t="inlineStr">
        <is>
          <t>OVANÅKER</t>
        </is>
      </c>
      <c r="G1349" t="n">
        <v>0.7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54663-2024</t>
        </is>
      </c>
      <c r="B1350" s="1" t="n">
        <v>45618</v>
      </c>
      <c r="C1350" s="1" t="n">
        <v>45838</v>
      </c>
      <c r="D1350" t="inlineStr">
        <is>
          <t>GÄVLEBORGS LÄN</t>
        </is>
      </c>
      <c r="E1350" t="inlineStr">
        <is>
          <t>OVANÅKER</t>
        </is>
      </c>
      <c r="G1350" t="n">
        <v>0.9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55426-2024</t>
        </is>
      </c>
      <c r="B1351" s="1" t="n">
        <v>45622</v>
      </c>
      <c r="C1351" s="1" t="n">
        <v>45838</v>
      </c>
      <c r="D1351" t="inlineStr">
        <is>
          <t>GÄVLEBORGS LÄN</t>
        </is>
      </c>
      <c r="E1351" t="inlineStr">
        <is>
          <t>OVANÅKER</t>
        </is>
      </c>
      <c r="G1351" t="n">
        <v>2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55411-2024</t>
        </is>
      </c>
      <c r="B1352" s="1" t="n">
        <v>45622</v>
      </c>
      <c r="C1352" s="1" t="n">
        <v>45838</v>
      </c>
      <c r="D1352" t="inlineStr">
        <is>
          <t>GÄVLEBORGS LÄN</t>
        </is>
      </c>
      <c r="E1352" t="inlineStr">
        <is>
          <t>OVANÅKER</t>
        </is>
      </c>
      <c r="G1352" t="n">
        <v>2.9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55425-2024</t>
        </is>
      </c>
      <c r="B1353" s="1" t="n">
        <v>45622</v>
      </c>
      <c r="C1353" s="1" t="n">
        <v>45838</v>
      </c>
      <c r="D1353" t="inlineStr">
        <is>
          <t>GÄVLEBORGS LÄN</t>
        </is>
      </c>
      <c r="E1353" t="inlineStr">
        <is>
          <t>OVANÅKER</t>
        </is>
      </c>
      <c r="G1353" t="n">
        <v>4.7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55642-2024</t>
        </is>
      </c>
      <c r="B1354" s="1" t="n">
        <v>45622</v>
      </c>
      <c r="C1354" s="1" t="n">
        <v>45838</v>
      </c>
      <c r="D1354" t="inlineStr">
        <is>
          <t>GÄVLEBORGS LÄN</t>
        </is>
      </c>
      <c r="E1354" t="inlineStr">
        <is>
          <t>OVANÅKER</t>
        </is>
      </c>
      <c r="G1354" t="n">
        <v>4.7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55427-2024</t>
        </is>
      </c>
      <c r="B1355" s="1" t="n">
        <v>45622</v>
      </c>
      <c r="C1355" s="1" t="n">
        <v>45838</v>
      </c>
      <c r="D1355" t="inlineStr">
        <is>
          <t>GÄVLEBORGS LÄN</t>
        </is>
      </c>
      <c r="E1355" t="inlineStr">
        <is>
          <t>OVANÅKER</t>
        </is>
      </c>
      <c r="G1355" t="n">
        <v>2.4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55672-2024</t>
        </is>
      </c>
      <c r="B1356" s="1" t="n">
        <v>45622</v>
      </c>
      <c r="C1356" s="1" t="n">
        <v>45838</v>
      </c>
      <c r="D1356" t="inlineStr">
        <is>
          <t>GÄVLEBORGS LÄN</t>
        </is>
      </c>
      <c r="E1356" t="inlineStr">
        <is>
          <t>OVANÅKER</t>
        </is>
      </c>
      <c r="G1356" t="n">
        <v>4.9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55910-2024</t>
        </is>
      </c>
      <c r="B1357" s="1" t="n">
        <v>45623</v>
      </c>
      <c r="C1357" s="1" t="n">
        <v>45838</v>
      </c>
      <c r="D1357" t="inlineStr">
        <is>
          <t>GÄVLEBORGS LÄN</t>
        </is>
      </c>
      <c r="E1357" t="inlineStr">
        <is>
          <t>OVANÅKER</t>
        </is>
      </c>
      <c r="G1357" t="n">
        <v>1.9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56087-2024</t>
        </is>
      </c>
      <c r="B1358" s="1" t="n">
        <v>45624</v>
      </c>
      <c r="C1358" s="1" t="n">
        <v>45838</v>
      </c>
      <c r="D1358" t="inlineStr">
        <is>
          <t>GÄVLEBORGS LÄN</t>
        </is>
      </c>
      <c r="E1358" t="inlineStr">
        <is>
          <t>OVANÅKER</t>
        </is>
      </c>
      <c r="G1358" t="n">
        <v>5.4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57100-2024</t>
        </is>
      </c>
      <c r="B1359" s="1" t="n">
        <v>45629</v>
      </c>
      <c r="C1359" s="1" t="n">
        <v>45838</v>
      </c>
      <c r="D1359" t="inlineStr">
        <is>
          <t>GÄVLEBORGS LÄN</t>
        </is>
      </c>
      <c r="E1359" t="inlineStr">
        <is>
          <t>OVANÅKER</t>
        </is>
      </c>
      <c r="F1359" t="inlineStr">
        <is>
          <t>Bergvik skog väst AB</t>
        </is>
      </c>
      <c r="G1359" t="n">
        <v>0.4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57478-2024</t>
        </is>
      </c>
      <c r="B1360" s="1" t="n">
        <v>45630</v>
      </c>
      <c r="C1360" s="1" t="n">
        <v>45838</v>
      </c>
      <c r="D1360" t="inlineStr">
        <is>
          <t>GÄVLEBORGS LÄN</t>
        </is>
      </c>
      <c r="E1360" t="inlineStr">
        <is>
          <t>OVANÅKER</t>
        </is>
      </c>
      <c r="G1360" t="n">
        <v>0.6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57612-2024</t>
        </is>
      </c>
      <c r="B1361" s="1" t="n">
        <v>45630</v>
      </c>
      <c r="C1361" s="1" t="n">
        <v>45838</v>
      </c>
      <c r="D1361" t="inlineStr">
        <is>
          <t>GÄVLEBORGS LÄN</t>
        </is>
      </c>
      <c r="E1361" t="inlineStr">
        <is>
          <t>OVANÅKER</t>
        </is>
      </c>
      <c r="G1361" t="n">
        <v>1.3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58280-2024</t>
        </is>
      </c>
      <c r="B1362" s="1" t="n">
        <v>45632</v>
      </c>
      <c r="C1362" s="1" t="n">
        <v>45838</v>
      </c>
      <c r="D1362" t="inlineStr">
        <is>
          <t>GÄVLEBORGS LÄN</t>
        </is>
      </c>
      <c r="E1362" t="inlineStr">
        <is>
          <t>OVANÅKER</t>
        </is>
      </c>
      <c r="G1362" t="n">
        <v>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58645-2024</t>
        </is>
      </c>
      <c r="B1363" s="1" t="n">
        <v>45632</v>
      </c>
      <c r="C1363" s="1" t="n">
        <v>45838</v>
      </c>
      <c r="D1363" t="inlineStr">
        <is>
          <t>GÄVLEBORGS LÄN</t>
        </is>
      </c>
      <c r="E1363" t="inlineStr">
        <is>
          <t>OVANÅKER</t>
        </is>
      </c>
      <c r="G1363" t="n">
        <v>2.3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59118-2024</t>
        </is>
      </c>
      <c r="B1364" s="1" t="n">
        <v>45637</v>
      </c>
      <c r="C1364" s="1" t="n">
        <v>45838</v>
      </c>
      <c r="D1364" t="inlineStr">
        <is>
          <t>GÄVLEBORGS LÄN</t>
        </is>
      </c>
      <c r="E1364" t="inlineStr">
        <is>
          <t>OVANÅKER</t>
        </is>
      </c>
      <c r="G1364" t="n">
        <v>0.9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59119-2024</t>
        </is>
      </c>
      <c r="B1365" s="1" t="n">
        <v>45637</v>
      </c>
      <c r="C1365" s="1" t="n">
        <v>45838</v>
      </c>
      <c r="D1365" t="inlineStr">
        <is>
          <t>GÄVLEBORGS LÄN</t>
        </is>
      </c>
      <c r="E1365" t="inlineStr">
        <is>
          <t>OVANÅKER</t>
        </is>
      </c>
      <c r="G1365" t="n">
        <v>0.6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59354-2024</t>
        </is>
      </c>
      <c r="B1366" s="1" t="n">
        <v>45638</v>
      </c>
      <c r="C1366" s="1" t="n">
        <v>45838</v>
      </c>
      <c r="D1366" t="inlineStr">
        <is>
          <t>GÄVLEBORGS LÄN</t>
        </is>
      </c>
      <c r="E1366" t="inlineStr">
        <is>
          <t>OVANÅKER</t>
        </is>
      </c>
      <c r="G1366" t="n">
        <v>0.5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59353-2024</t>
        </is>
      </c>
      <c r="B1367" s="1" t="n">
        <v>45638</v>
      </c>
      <c r="C1367" s="1" t="n">
        <v>45838</v>
      </c>
      <c r="D1367" t="inlineStr">
        <is>
          <t>GÄVLEBORGS LÄN</t>
        </is>
      </c>
      <c r="E1367" t="inlineStr">
        <is>
          <t>OVANÅKER</t>
        </is>
      </c>
      <c r="G1367" t="n">
        <v>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59750-2024</t>
        </is>
      </c>
      <c r="B1368" s="1" t="n">
        <v>45639</v>
      </c>
      <c r="C1368" s="1" t="n">
        <v>45838</v>
      </c>
      <c r="D1368" t="inlineStr">
        <is>
          <t>GÄVLEBORGS LÄN</t>
        </is>
      </c>
      <c r="E1368" t="inlineStr">
        <is>
          <t>OVANÅKER</t>
        </is>
      </c>
      <c r="G1368" t="n">
        <v>0.9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60203-2024</t>
        </is>
      </c>
      <c r="B1369" s="1" t="n">
        <v>45642</v>
      </c>
      <c r="C1369" s="1" t="n">
        <v>45838</v>
      </c>
      <c r="D1369" t="inlineStr">
        <is>
          <t>GÄVLEBORGS LÄN</t>
        </is>
      </c>
      <c r="E1369" t="inlineStr">
        <is>
          <t>OVANÅKER</t>
        </is>
      </c>
      <c r="G1369" t="n">
        <v>2.3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59929-2024</t>
        </is>
      </c>
      <c r="B1370" s="1" t="n">
        <v>45642</v>
      </c>
      <c r="C1370" s="1" t="n">
        <v>45838</v>
      </c>
      <c r="D1370" t="inlineStr">
        <is>
          <t>GÄVLEBORGS LÄN</t>
        </is>
      </c>
      <c r="E1370" t="inlineStr">
        <is>
          <t>OVANÅKER</t>
        </is>
      </c>
      <c r="G1370" t="n">
        <v>1.8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59974-2024</t>
        </is>
      </c>
      <c r="B1371" s="1" t="n">
        <v>45642</v>
      </c>
      <c r="C1371" s="1" t="n">
        <v>45838</v>
      </c>
      <c r="D1371" t="inlineStr">
        <is>
          <t>GÄVLEBORGS LÄN</t>
        </is>
      </c>
      <c r="E1371" t="inlineStr">
        <is>
          <t>OVANÅKER</t>
        </is>
      </c>
      <c r="G1371" t="n">
        <v>4.6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60403-2024</t>
        </is>
      </c>
      <c r="B1372" s="1" t="n">
        <v>45643</v>
      </c>
      <c r="C1372" s="1" t="n">
        <v>45838</v>
      </c>
      <c r="D1372" t="inlineStr">
        <is>
          <t>GÄVLEBORGS LÄN</t>
        </is>
      </c>
      <c r="E1372" t="inlineStr">
        <is>
          <t>OVANÅKER</t>
        </is>
      </c>
      <c r="G1372" t="n">
        <v>0.8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60563-2024</t>
        </is>
      </c>
      <c r="B1373" s="1" t="n">
        <v>45644</v>
      </c>
      <c r="C1373" s="1" t="n">
        <v>45838</v>
      </c>
      <c r="D1373" t="inlineStr">
        <is>
          <t>GÄVLEBORGS LÄN</t>
        </is>
      </c>
      <c r="E1373" t="inlineStr">
        <is>
          <t>OVANÅKER</t>
        </is>
      </c>
      <c r="G1373" t="n">
        <v>2.5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60927-2024</t>
        </is>
      </c>
      <c r="B1374" s="1" t="n">
        <v>45645</v>
      </c>
      <c r="C1374" s="1" t="n">
        <v>45838</v>
      </c>
      <c r="D1374" t="inlineStr">
        <is>
          <t>GÄVLEBORGS LÄN</t>
        </is>
      </c>
      <c r="E1374" t="inlineStr">
        <is>
          <t>OVANÅKER</t>
        </is>
      </c>
      <c r="G1374" t="n">
        <v>5.3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61487-2024</t>
        </is>
      </c>
      <c r="B1375" s="1" t="n">
        <v>45646</v>
      </c>
      <c r="C1375" s="1" t="n">
        <v>45838</v>
      </c>
      <c r="D1375" t="inlineStr">
        <is>
          <t>GÄVLEBORGS LÄN</t>
        </is>
      </c>
      <c r="E1375" t="inlineStr">
        <is>
          <t>OVANÅKER</t>
        </is>
      </c>
      <c r="G1375" t="n">
        <v>0.2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61508-2024</t>
        </is>
      </c>
      <c r="B1376" s="1" t="n">
        <v>45646</v>
      </c>
      <c r="C1376" s="1" t="n">
        <v>45838</v>
      </c>
      <c r="D1376" t="inlineStr">
        <is>
          <t>GÄVLEBORGS LÄN</t>
        </is>
      </c>
      <c r="E1376" t="inlineStr">
        <is>
          <t>OVANÅKER</t>
        </is>
      </c>
      <c r="G1376" t="n">
        <v>2.1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62152-2024</t>
        </is>
      </c>
      <c r="B1377" s="1" t="n">
        <v>45656</v>
      </c>
      <c r="C1377" s="1" t="n">
        <v>45838</v>
      </c>
      <c r="D1377" t="inlineStr">
        <is>
          <t>GÄVLEBORGS LÄN</t>
        </is>
      </c>
      <c r="E1377" t="inlineStr">
        <is>
          <t>OVANÅKER</t>
        </is>
      </c>
      <c r="G1377" t="n">
        <v>0.5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449-2025</t>
        </is>
      </c>
      <c r="B1378" s="1" t="n">
        <v>45664</v>
      </c>
      <c r="C1378" s="1" t="n">
        <v>45838</v>
      </c>
      <c r="D1378" t="inlineStr">
        <is>
          <t>GÄVLEBORGS LÄN</t>
        </is>
      </c>
      <c r="E1378" t="inlineStr">
        <is>
          <t>OVANÅKER</t>
        </is>
      </c>
      <c r="G1378" t="n">
        <v>2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628-2025</t>
        </is>
      </c>
      <c r="B1379" s="1" t="n">
        <v>45664</v>
      </c>
      <c r="C1379" s="1" t="n">
        <v>45838</v>
      </c>
      <c r="D1379" t="inlineStr">
        <is>
          <t>GÄVLEBORGS LÄN</t>
        </is>
      </c>
      <c r="E1379" t="inlineStr">
        <is>
          <t>OVANÅKER</t>
        </is>
      </c>
      <c r="G1379" t="n">
        <v>1.7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438-2025</t>
        </is>
      </c>
      <c r="B1380" s="1" t="n">
        <v>45664</v>
      </c>
      <c r="C1380" s="1" t="n">
        <v>45838</v>
      </c>
      <c r="D1380" t="inlineStr">
        <is>
          <t>GÄVLEBORGS LÄN</t>
        </is>
      </c>
      <c r="E1380" t="inlineStr">
        <is>
          <t>OVANÅKER</t>
        </is>
      </c>
      <c r="G1380" t="n">
        <v>5.1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711-2025</t>
        </is>
      </c>
      <c r="B1381" s="1" t="n">
        <v>45665</v>
      </c>
      <c r="C1381" s="1" t="n">
        <v>45838</v>
      </c>
      <c r="D1381" t="inlineStr">
        <is>
          <t>GÄVLEBORGS LÄN</t>
        </is>
      </c>
      <c r="E1381" t="inlineStr">
        <is>
          <t>OVANÅKER</t>
        </is>
      </c>
      <c r="G1381" t="n">
        <v>3.4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685-2025</t>
        </is>
      </c>
      <c r="B1382" s="1" t="n">
        <v>45665</v>
      </c>
      <c r="C1382" s="1" t="n">
        <v>45838</v>
      </c>
      <c r="D1382" t="inlineStr">
        <is>
          <t>GÄVLEBORGS LÄN</t>
        </is>
      </c>
      <c r="E1382" t="inlineStr">
        <is>
          <t>OVANÅKER</t>
        </is>
      </c>
      <c r="G1382" t="n">
        <v>0.7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1072-2025</t>
        </is>
      </c>
      <c r="B1383" s="1" t="n">
        <v>45666</v>
      </c>
      <c r="C1383" s="1" t="n">
        <v>45838</v>
      </c>
      <c r="D1383" t="inlineStr">
        <is>
          <t>GÄVLEBORGS LÄN</t>
        </is>
      </c>
      <c r="E1383" t="inlineStr">
        <is>
          <t>OVANÅKER</t>
        </is>
      </c>
      <c r="G1383" t="n">
        <v>0.5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991-2025</t>
        </is>
      </c>
      <c r="B1384" s="1" t="n">
        <v>45666</v>
      </c>
      <c r="C1384" s="1" t="n">
        <v>45838</v>
      </c>
      <c r="D1384" t="inlineStr">
        <is>
          <t>GÄVLEBORGS LÄN</t>
        </is>
      </c>
      <c r="E1384" t="inlineStr">
        <is>
          <t>OVANÅKER</t>
        </is>
      </c>
      <c r="F1384" t="inlineStr">
        <is>
          <t>Bergvik skog väst AB</t>
        </is>
      </c>
      <c r="G1384" t="n">
        <v>2.7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1173-2025</t>
        </is>
      </c>
      <c r="B1385" s="1" t="n">
        <v>45667</v>
      </c>
      <c r="C1385" s="1" t="n">
        <v>45838</v>
      </c>
      <c r="D1385" t="inlineStr">
        <is>
          <t>GÄVLEBORGS LÄN</t>
        </is>
      </c>
      <c r="E1385" t="inlineStr">
        <is>
          <t>OVANÅKER</t>
        </is>
      </c>
      <c r="F1385" t="inlineStr">
        <is>
          <t>Bergvik skog väst AB</t>
        </is>
      </c>
      <c r="G1385" t="n">
        <v>10.5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1190-2025</t>
        </is>
      </c>
      <c r="B1386" s="1" t="n">
        <v>45667</v>
      </c>
      <c r="C1386" s="1" t="n">
        <v>45838</v>
      </c>
      <c r="D1386" t="inlineStr">
        <is>
          <t>GÄVLEBORGS LÄN</t>
        </is>
      </c>
      <c r="E1386" t="inlineStr">
        <is>
          <t>OVANÅKER</t>
        </is>
      </c>
      <c r="F1386" t="inlineStr">
        <is>
          <t>Bergvik skog väst AB</t>
        </is>
      </c>
      <c r="G1386" t="n">
        <v>28.8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  <c r="U1386">
        <f>HYPERLINK("https://klasma.github.io/Logging_2121/knärot/A 1190-2025 karta knärot.png", "A 1190-2025")</f>
        <v/>
      </c>
      <c r="V1386">
        <f>HYPERLINK("https://klasma.github.io/Logging_2121/klagomål/A 1190-2025 FSC-klagomål.docx", "A 1190-2025")</f>
        <v/>
      </c>
      <c r="W1386">
        <f>HYPERLINK("https://klasma.github.io/Logging_2121/klagomålsmail/A 1190-2025 FSC-klagomål mail.docx", "A 1190-2025")</f>
        <v/>
      </c>
      <c r="X1386">
        <f>HYPERLINK("https://klasma.github.io/Logging_2121/tillsyn/A 1190-2025 tillsynsbegäran.docx", "A 1190-2025")</f>
        <v/>
      </c>
      <c r="Y1386">
        <f>HYPERLINK("https://klasma.github.io/Logging_2121/tillsynsmail/A 1190-2025 tillsynsbegäran mail.docx", "A 1190-2025")</f>
        <v/>
      </c>
    </row>
    <row r="1387" ht="15" customHeight="1">
      <c r="A1387" t="inlineStr">
        <is>
          <t>A 1193-2025</t>
        </is>
      </c>
      <c r="B1387" s="1" t="n">
        <v>45667</v>
      </c>
      <c r="C1387" s="1" t="n">
        <v>45838</v>
      </c>
      <c r="D1387" t="inlineStr">
        <is>
          <t>GÄVLEBORGS LÄN</t>
        </is>
      </c>
      <c r="E1387" t="inlineStr">
        <is>
          <t>OVANÅKER</t>
        </is>
      </c>
      <c r="F1387" t="inlineStr">
        <is>
          <t>Bergvik skog väst AB</t>
        </is>
      </c>
      <c r="G1387" t="n">
        <v>1.5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1256-2025</t>
        </is>
      </c>
      <c r="B1388" s="1" t="n">
        <v>45667</v>
      </c>
      <c r="C1388" s="1" t="n">
        <v>45838</v>
      </c>
      <c r="D1388" t="inlineStr">
        <is>
          <t>GÄVLEBORGS LÄN</t>
        </is>
      </c>
      <c r="E1388" t="inlineStr">
        <is>
          <t>OVANÅKER</t>
        </is>
      </c>
      <c r="F1388" t="inlineStr">
        <is>
          <t>Bergvik skog väst AB</t>
        </is>
      </c>
      <c r="G1388" t="n">
        <v>2.9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1341-2025</t>
        </is>
      </c>
      <c r="B1389" s="1" t="n">
        <v>45667</v>
      </c>
      <c r="C1389" s="1" t="n">
        <v>45838</v>
      </c>
      <c r="D1389" t="inlineStr">
        <is>
          <t>GÄVLEBORGS LÄN</t>
        </is>
      </c>
      <c r="E1389" t="inlineStr">
        <is>
          <t>OVANÅKER</t>
        </is>
      </c>
      <c r="G1389" t="n">
        <v>0.6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1509-2025</t>
        </is>
      </c>
      <c r="B1390" s="1" t="n">
        <v>45670</v>
      </c>
      <c r="C1390" s="1" t="n">
        <v>45838</v>
      </c>
      <c r="D1390" t="inlineStr">
        <is>
          <t>GÄVLEBORGS LÄN</t>
        </is>
      </c>
      <c r="E1390" t="inlineStr">
        <is>
          <t>OVANÅKER</t>
        </is>
      </c>
      <c r="F1390" t="inlineStr">
        <is>
          <t>Bergvik skog väst AB</t>
        </is>
      </c>
      <c r="G1390" t="n">
        <v>4.9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1850-2025</t>
        </is>
      </c>
      <c r="B1391" s="1" t="n">
        <v>45671</v>
      </c>
      <c r="C1391" s="1" t="n">
        <v>45838</v>
      </c>
      <c r="D1391" t="inlineStr">
        <is>
          <t>GÄVLEBORGS LÄN</t>
        </is>
      </c>
      <c r="E1391" t="inlineStr">
        <is>
          <t>OVANÅKER</t>
        </is>
      </c>
      <c r="F1391" t="inlineStr">
        <is>
          <t>Bergvik skog väst AB</t>
        </is>
      </c>
      <c r="G1391" t="n">
        <v>0.9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1835-2025</t>
        </is>
      </c>
      <c r="B1392" s="1" t="n">
        <v>45671</v>
      </c>
      <c r="C1392" s="1" t="n">
        <v>45838</v>
      </c>
      <c r="D1392" t="inlineStr">
        <is>
          <t>GÄVLEBORGS LÄN</t>
        </is>
      </c>
      <c r="E1392" t="inlineStr">
        <is>
          <t>OVANÅKER</t>
        </is>
      </c>
      <c r="F1392" t="inlineStr">
        <is>
          <t>Bergvik skog väst AB</t>
        </is>
      </c>
      <c r="G1392" t="n">
        <v>4.4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1856-2025</t>
        </is>
      </c>
      <c r="B1393" s="1" t="n">
        <v>45671</v>
      </c>
      <c r="C1393" s="1" t="n">
        <v>45838</v>
      </c>
      <c r="D1393" t="inlineStr">
        <is>
          <t>GÄVLEBORGS LÄN</t>
        </is>
      </c>
      <c r="E1393" t="inlineStr">
        <is>
          <t>OVANÅKER</t>
        </is>
      </c>
      <c r="F1393" t="inlineStr">
        <is>
          <t>Bergvik skog väst AB</t>
        </is>
      </c>
      <c r="G1393" t="n">
        <v>2.2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2139-2025</t>
        </is>
      </c>
      <c r="B1394" s="1" t="n">
        <v>45672</v>
      </c>
      <c r="C1394" s="1" t="n">
        <v>45838</v>
      </c>
      <c r="D1394" t="inlineStr">
        <is>
          <t>GÄVLEBORGS LÄN</t>
        </is>
      </c>
      <c r="E1394" t="inlineStr">
        <is>
          <t>OVANÅKER</t>
        </is>
      </c>
      <c r="G1394" t="n">
        <v>23.3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2176-2025</t>
        </is>
      </c>
      <c r="B1395" s="1" t="n">
        <v>45673</v>
      </c>
      <c r="C1395" s="1" t="n">
        <v>45838</v>
      </c>
      <c r="D1395" t="inlineStr">
        <is>
          <t>GÄVLEBORGS LÄN</t>
        </is>
      </c>
      <c r="E1395" t="inlineStr">
        <is>
          <t>OVANÅKER</t>
        </is>
      </c>
      <c r="G1395" t="n">
        <v>2.7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2377-2025</t>
        </is>
      </c>
      <c r="B1396" s="1" t="n">
        <v>45673</v>
      </c>
      <c r="C1396" s="1" t="n">
        <v>45838</v>
      </c>
      <c r="D1396" t="inlineStr">
        <is>
          <t>GÄVLEBORGS LÄN</t>
        </is>
      </c>
      <c r="E1396" t="inlineStr">
        <is>
          <t>OVANÅKER</t>
        </is>
      </c>
      <c r="G1396" t="n">
        <v>0.8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3115-2025</t>
        </is>
      </c>
      <c r="B1397" s="1" t="n">
        <v>45678</v>
      </c>
      <c r="C1397" s="1" t="n">
        <v>45838</v>
      </c>
      <c r="D1397" t="inlineStr">
        <is>
          <t>GÄVLEBORGS LÄN</t>
        </is>
      </c>
      <c r="E1397" t="inlineStr">
        <is>
          <t>OVANÅKER</t>
        </is>
      </c>
      <c r="G1397" t="n">
        <v>6.2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3586-2025</t>
        </is>
      </c>
      <c r="B1398" s="1" t="n">
        <v>45680</v>
      </c>
      <c r="C1398" s="1" t="n">
        <v>45838</v>
      </c>
      <c r="D1398" t="inlineStr">
        <is>
          <t>GÄVLEBORGS LÄN</t>
        </is>
      </c>
      <c r="E1398" t="inlineStr">
        <is>
          <t>OVANÅKER</t>
        </is>
      </c>
      <c r="G1398" t="n">
        <v>4.5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3587-2025</t>
        </is>
      </c>
      <c r="B1399" s="1" t="n">
        <v>45680</v>
      </c>
      <c r="C1399" s="1" t="n">
        <v>45838</v>
      </c>
      <c r="D1399" t="inlineStr">
        <is>
          <t>GÄVLEBORGS LÄN</t>
        </is>
      </c>
      <c r="E1399" t="inlineStr">
        <is>
          <t>OVANÅKER</t>
        </is>
      </c>
      <c r="G1399" t="n">
        <v>11.4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3989-2025</t>
        </is>
      </c>
      <c r="B1400" s="1" t="n">
        <v>45684</v>
      </c>
      <c r="C1400" s="1" t="n">
        <v>45838</v>
      </c>
      <c r="D1400" t="inlineStr">
        <is>
          <t>GÄVLEBORGS LÄN</t>
        </is>
      </c>
      <c r="E1400" t="inlineStr">
        <is>
          <t>OVANÅKER</t>
        </is>
      </c>
      <c r="G1400" t="n">
        <v>2.3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4475-2025</t>
        </is>
      </c>
      <c r="B1401" s="1" t="n">
        <v>45686</v>
      </c>
      <c r="C1401" s="1" t="n">
        <v>45838</v>
      </c>
      <c r="D1401" t="inlineStr">
        <is>
          <t>GÄVLEBORGS LÄN</t>
        </is>
      </c>
      <c r="E1401" t="inlineStr">
        <is>
          <t>OVANÅKER</t>
        </is>
      </c>
      <c r="G1401" t="n">
        <v>1.4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4697-2025</t>
        </is>
      </c>
      <c r="B1402" s="1" t="n">
        <v>45688</v>
      </c>
      <c r="C1402" s="1" t="n">
        <v>45838</v>
      </c>
      <c r="D1402" t="inlineStr">
        <is>
          <t>GÄVLEBORGS LÄN</t>
        </is>
      </c>
      <c r="E1402" t="inlineStr">
        <is>
          <t>OVANÅKER</t>
        </is>
      </c>
      <c r="G1402" t="n">
        <v>1.8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4689-2025</t>
        </is>
      </c>
      <c r="B1403" s="1" t="n">
        <v>45688</v>
      </c>
      <c r="C1403" s="1" t="n">
        <v>45838</v>
      </c>
      <c r="D1403" t="inlineStr">
        <is>
          <t>GÄVLEBORGS LÄN</t>
        </is>
      </c>
      <c r="E1403" t="inlineStr">
        <is>
          <t>OVANÅKER</t>
        </is>
      </c>
      <c r="G1403" t="n">
        <v>2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4712-2025</t>
        </is>
      </c>
      <c r="B1404" s="1" t="n">
        <v>45688</v>
      </c>
      <c r="C1404" s="1" t="n">
        <v>45838</v>
      </c>
      <c r="D1404" t="inlineStr">
        <is>
          <t>GÄVLEBORGS LÄN</t>
        </is>
      </c>
      <c r="E1404" t="inlineStr">
        <is>
          <t>OVANÅKER</t>
        </is>
      </c>
      <c r="G1404" t="n">
        <v>7.1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4704-2025</t>
        </is>
      </c>
      <c r="B1405" s="1" t="n">
        <v>45688</v>
      </c>
      <c r="C1405" s="1" t="n">
        <v>45838</v>
      </c>
      <c r="D1405" t="inlineStr">
        <is>
          <t>GÄVLEBORGS LÄN</t>
        </is>
      </c>
      <c r="E1405" t="inlineStr">
        <is>
          <t>OVANÅKER</t>
        </is>
      </c>
      <c r="G1405" t="n">
        <v>5.6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4751-2025</t>
        </is>
      </c>
      <c r="B1406" s="1" t="n">
        <v>45688</v>
      </c>
      <c r="C1406" s="1" t="n">
        <v>45838</v>
      </c>
      <c r="D1406" t="inlineStr">
        <is>
          <t>GÄVLEBORGS LÄN</t>
        </is>
      </c>
      <c r="E1406" t="inlineStr">
        <is>
          <t>OVANÅKER</t>
        </is>
      </c>
      <c r="G1406" t="n">
        <v>4.4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5057-2025</t>
        </is>
      </c>
      <c r="B1407" s="1" t="n">
        <v>45691</v>
      </c>
      <c r="C1407" s="1" t="n">
        <v>45838</v>
      </c>
      <c r="D1407" t="inlineStr">
        <is>
          <t>GÄVLEBORGS LÄN</t>
        </is>
      </c>
      <c r="E1407" t="inlineStr">
        <is>
          <t>OVANÅKER</t>
        </is>
      </c>
      <c r="G1407" t="n">
        <v>2.8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4980-2025</t>
        </is>
      </c>
      <c r="B1408" s="1" t="n">
        <v>45691</v>
      </c>
      <c r="C1408" s="1" t="n">
        <v>45838</v>
      </c>
      <c r="D1408" t="inlineStr">
        <is>
          <t>GÄVLEBORGS LÄN</t>
        </is>
      </c>
      <c r="E1408" t="inlineStr">
        <is>
          <t>OVANÅKER</t>
        </is>
      </c>
      <c r="G1408" t="n">
        <v>2.3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5331-2025</t>
        </is>
      </c>
      <c r="B1409" s="1" t="n">
        <v>45692</v>
      </c>
      <c r="C1409" s="1" t="n">
        <v>45838</v>
      </c>
      <c r="D1409" t="inlineStr">
        <is>
          <t>GÄVLEBORGS LÄN</t>
        </is>
      </c>
      <c r="E1409" t="inlineStr">
        <is>
          <t>OVANÅKER</t>
        </is>
      </c>
      <c r="G1409" t="n">
        <v>1.8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5299-2025</t>
        </is>
      </c>
      <c r="B1410" s="1" t="n">
        <v>45692</v>
      </c>
      <c r="C1410" s="1" t="n">
        <v>45838</v>
      </c>
      <c r="D1410" t="inlineStr">
        <is>
          <t>GÄVLEBORGS LÄN</t>
        </is>
      </c>
      <c r="E1410" t="inlineStr">
        <is>
          <t>OVANÅKER</t>
        </is>
      </c>
      <c r="G1410" t="n">
        <v>1.7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5301-2025</t>
        </is>
      </c>
      <c r="B1411" s="1" t="n">
        <v>45692</v>
      </c>
      <c r="C1411" s="1" t="n">
        <v>45838</v>
      </c>
      <c r="D1411" t="inlineStr">
        <is>
          <t>GÄVLEBORGS LÄN</t>
        </is>
      </c>
      <c r="E1411" t="inlineStr">
        <is>
          <t>OVANÅKER</t>
        </is>
      </c>
      <c r="G1411" t="n">
        <v>1.6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5629-2025</t>
        </is>
      </c>
      <c r="B1412" s="1" t="n">
        <v>45693</v>
      </c>
      <c r="C1412" s="1" t="n">
        <v>45838</v>
      </c>
      <c r="D1412" t="inlineStr">
        <is>
          <t>GÄVLEBORGS LÄN</t>
        </is>
      </c>
      <c r="E1412" t="inlineStr">
        <is>
          <t>OVANÅKER</t>
        </is>
      </c>
      <c r="G1412" t="n">
        <v>2.6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5939-2025</t>
        </is>
      </c>
      <c r="B1413" s="1" t="n">
        <v>45695</v>
      </c>
      <c r="C1413" s="1" t="n">
        <v>45838</v>
      </c>
      <c r="D1413" t="inlineStr">
        <is>
          <t>GÄVLEBORGS LÄN</t>
        </is>
      </c>
      <c r="E1413" t="inlineStr">
        <is>
          <t>OVANÅKER</t>
        </is>
      </c>
      <c r="G1413" t="n">
        <v>5.3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5979-2025</t>
        </is>
      </c>
      <c r="B1414" s="1" t="n">
        <v>45695</v>
      </c>
      <c r="C1414" s="1" t="n">
        <v>45838</v>
      </c>
      <c r="D1414" t="inlineStr">
        <is>
          <t>GÄVLEBORGS LÄN</t>
        </is>
      </c>
      <c r="E1414" t="inlineStr">
        <is>
          <t>OVANÅKER</t>
        </is>
      </c>
      <c r="G1414" t="n">
        <v>8.4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8487-2025</t>
        </is>
      </c>
      <c r="B1415" s="1" t="n">
        <v>45709</v>
      </c>
      <c r="C1415" s="1" t="n">
        <v>45838</v>
      </c>
      <c r="D1415" t="inlineStr">
        <is>
          <t>GÄVLEBORGS LÄN</t>
        </is>
      </c>
      <c r="E1415" t="inlineStr">
        <is>
          <t>OVANÅKER</t>
        </is>
      </c>
      <c r="G1415" t="n">
        <v>1.6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10101-2025</t>
        </is>
      </c>
      <c r="B1416" s="1" t="n">
        <v>45719</v>
      </c>
      <c r="C1416" s="1" t="n">
        <v>45838</v>
      </c>
      <c r="D1416" t="inlineStr">
        <is>
          <t>GÄVLEBORGS LÄN</t>
        </is>
      </c>
      <c r="E1416" t="inlineStr">
        <is>
          <t>OVANÅKER</t>
        </is>
      </c>
      <c r="G1416" t="n">
        <v>5.3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10107-2025</t>
        </is>
      </c>
      <c r="B1417" s="1" t="n">
        <v>45719</v>
      </c>
      <c r="C1417" s="1" t="n">
        <v>45838</v>
      </c>
      <c r="D1417" t="inlineStr">
        <is>
          <t>GÄVLEBORGS LÄN</t>
        </is>
      </c>
      <c r="E1417" t="inlineStr">
        <is>
          <t>OVANÅKER</t>
        </is>
      </c>
      <c r="F1417" t="inlineStr">
        <is>
          <t>Bergvik skog väst AB</t>
        </is>
      </c>
      <c r="G1417" t="n">
        <v>1.7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10111-2025</t>
        </is>
      </c>
      <c r="B1418" s="1" t="n">
        <v>45719</v>
      </c>
      <c r="C1418" s="1" t="n">
        <v>45838</v>
      </c>
      <c r="D1418" t="inlineStr">
        <is>
          <t>GÄVLEBORGS LÄN</t>
        </is>
      </c>
      <c r="E1418" t="inlineStr">
        <is>
          <t>OVANÅKER</t>
        </is>
      </c>
      <c r="F1418" t="inlineStr">
        <is>
          <t>Bergvik skog väst AB</t>
        </is>
      </c>
      <c r="G1418" t="n">
        <v>1.2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10114-2025</t>
        </is>
      </c>
      <c r="B1419" s="1" t="n">
        <v>45719</v>
      </c>
      <c r="C1419" s="1" t="n">
        <v>45838</v>
      </c>
      <c r="D1419" t="inlineStr">
        <is>
          <t>GÄVLEBORGS LÄN</t>
        </is>
      </c>
      <c r="E1419" t="inlineStr">
        <is>
          <t>OVANÅKER</t>
        </is>
      </c>
      <c r="F1419" t="inlineStr">
        <is>
          <t>Bergvik skog väst AB</t>
        </is>
      </c>
      <c r="G1419" t="n">
        <v>18.1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10119-2025</t>
        </is>
      </c>
      <c r="B1420" s="1" t="n">
        <v>45719</v>
      </c>
      <c r="C1420" s="1" t="n">
        <v>45838</v>
      </c>
      <c r="D1420" t="inlineStr">
        <is>
          <t>GÄVLEBORGS LÄN</t>
        </is>
      </c>
      <c r="E1420" t="inlineStr">
        <is>
          <t>OVANÅKER</t>
        </is>
      </c>
      <c r="G1420" t="n">
        <v>2.8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10434-2025</t>
        </is>
      </c>
      <c r="B1421" s="1" t="n">
        <v>45720</v>
      </c>
      <c r="C1421" s="1" t="n">
        <v>45838</v>
      </c>
      <c r="D1421" t="inlineStr">
        <is>
          <t>GÄVLEBORGS LÄN</t>
        </is>
      </c>
      <c r="E1421" t="inlineStr">
        <is>
          <t>OVANÅKER</t>
        </is>
      </c>
      <c r="G1421" t="n">
        <v>1.3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10542-2025</t>
        </is>
      </c>
      <c r="B1422" s="1" t="n">
        <v>45721</v>
      </c>
      <c r="C1422" s="1" t="n">
        <v>45838</v>
      </c>
      <c r="D1422" t="inlineStr">
        <is>
          <t>GÄVLEBORGS LÄN</t>
        </is>
      </c>
      <c r="E1422" t="inlineStr">
        <is>
          <t>OVANÅKER</t>
        </is>
      </c>
      <c r="G1422" t="n">
        <v>2.2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10556-2025</t>
        </is>
      </c>
      <c r="B1423" s="1" t="n">
        <v>45721</v>
      </c>
      <c r="C1423" s="1" t="n">
        <v>45838</v>
      </c>
      <c r="D1423" t="inlineStr">
        <is>
          <t>GÄVLEBORGS LÄN</t>
        </is>
      </c>
      <c r="E1423" t="inlineStr">
        <is>
          <t>OVANÅKER</t>
        </is>
      </c>
      <c r="G1423" t="n">
        <v>10.1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10593-2025</t>
        </is>
      </c>
      <c r="B1424" s="1" t="n">
        <v>45721</v>
      </c>
      <c r="C1424" s="1" t="n">
        <v>45838</v>
      </c>
      <c r="D1424" t="inlineStr">
        <is>
          <t>GÄVLEBORGS LÄN</t>
        </is>
      </c>
      <c r="E1424" t="inlineStr">
        <is>
          <t>OVANÅKER</t>
        </is>
      </c>
      <c r="F1424" t="inlineStr">
        <is>
          <t>Bergvik skog öst AB</t>
        </is>
      </c>
      <c r="G1424" t="n">
        <v>2.9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10863-2025</t>
        </is>
      </c>
      <c r="B1425" s="1" t="n">
        <v>45722</v>
      </c>
      <c r="C1425" s="1" t="n">
        <v>45838</v>
      </c>
      <c r="D1425" t="inlineStr">
        <is>
          <t>GÄVLEBORGS LÄN</t>
        </is>
      </c>
      <c r="E1425" t="inlineStr">
        <is>
          <t>OVANÅKER</t>
        </is>
      </c>
      <c r="F1425" t="inlineStr">
        <is>
          <t>Bergvik skog väst AB</t>
        </is>
      </c>
      <c r="G1425" t="n">
        <v>6.8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10741-2025</t>
        </is>
      </c>
      <c r="B1426" s="1" t="n">
        <v>45722</v>
      </c>
      <c r="C1426" s="1" t="n">
        <v>45838</v>
      </c>
      <c r="D1426" t="inlineStr">
        <is>
          <t>GÄVLEBORGS LÄN</t>
        </is>
      </c>
      <c r="E1426" t="inlineStr">
        <is>
          <t>OVANÅKER</t>
        </is>
      </c>
      <c r="G1426" t="n">
        <v>1.6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10722-2025</t>
        </is>
      </c>
      <c r="B1427" s="1" t="n">
        <v>45722</v>
      </c>
      <c r="C1427" s="1" t="n">
        <v>45838</v>
      </c>
      <c r="D1427" t="inlineStr">
        <is>
          <t>GÄVLEBORGS LÄN</t>
        </is>
      </c>
      <c r="E1427" t="inlineStr">
        <is>
          <t>OVANÅKER</t>
        </is>
      </c>
      <c r="G1427" t="n">
        <v>5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10689-2025</t>
        </is>
      </c>
      <c r="B1428" s="1" t="n">
        <v>45722</v>
      </c>
      <c r="C1428" s="1" t="n">
        <v>45838</v>
      </c>
      <c r="D1428" t="inlineStr">
        <is>
          <t>GÄVLEBORGS LÄN</t>
        </is>
      </c>
      <c r="E1428" t="inlineStr">
        <is>
          <t>OVANÅKER</t>
        </is>
      </c>
      <c r="F1428" t="inlineStr">
        <is>
          <t>Bergvik skog öst AB</t>
        </is>
      </c>
      <c r="G1428" t="n">
        <v>4.2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10762-2025</t>
        </is>
      </c>
      <c r="B1429" s="1" t="n">
        <v>45722</v>
      </c>
      <c r="C1429" s="1" t="n">
        <v>45838</v>
      </c>
      <c r="D1429" t="inlineStr">
        <is>
          <t>GÄVLEBORGS LÄN</t>
        </is>
      </c>
      <c r="E1429" t="inlineStr">
        <is>
          <t>OVANÅKER</t>
        </is>
      </c>
      <c r="G1429" t="n">
        <v>0.4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10888-2025</t>
        </is>
      </c>
      <c r="B1430" s="1" t="n">
        <v>45722</v>
      </c>
      <c r="C1430" s="1" t="n">
        <v>45838</v>
      </c>
      <c r="D1430" t="inlineStr">
        <is>
          <t>GÄVLEBORGS LÄN</t>
        </is>
      </c>
      <c r="E1430" t="inlineStr">
        <is>
          <t>OVANÅKER</t>
        </is>
      </c>
      <c r="F1430" t="inlineStr">
        <is>
          <t>Bergvik skog öst AB</t>
        </is>
      </c>
      <c r="G1430" t="n">
        <v>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10891-2025</t>
        </is>
      </c>
      <c r="B1431" s="1" t="n">
        <v>45722</v>
      </c>
      <c r="C1431" s="1" t="n">
        <v>45838</v>
      </c>
      <c r="D1431" t="inlineStr">
        <is>
          <t>GÄVLEBORGS LÄN</t>
        </is>
      </c>
      <c r="E1431" t="inlineStr">
        <is>
          <t>OVANÅKER</t>
        </is>
      </c>
      <c r="G1431" t="n">
        <v>10.3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11098-2025</t>
        </is>
      </c>
      <c r="B1432" s="1" t="n">
        <v>45723</v>
      </c>
      <c r="C1432" s="1" t="n">
        <v>45838</v>
      </c>
      <c r="D1432" t="inlineStr">
        <is>
          <t>GÄVLEBORGS LÄN</t>
        </is>
      </c>
      <c r="E1432" t="inlineStr">
        <is>
          <t>OVANÅKER</t>
        </is>
      </c>
      <c r="G1432" t="n">
        <v>2.3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11476-2025</t>
        </is>
      </c>
      <c r="B1433" s="1" t="n">
        <v>45726</v>
      </c>
      <c r="C1433" s="1" t="n">
        <v>45838</v>
      </c>
      <c r="D1433" t="inlineStr">
        <is>
          <t>GÄVLEBORGS LÄN</t>
        </is>
      </c>
      <c r="E1433" t="inlineStr">
        <is>
          <t>OVANÅKER</t>
        </is>
      </c>
      <c r="G1433" t="n">
        <v>2.3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11307-2025</t>
        </is>
      </c>
      <c r="B1434" s="1" t="n">
        <v>45726</v>
      </c>
      <c r="C1434" s="1" t="n">
        <v>45838</v>
      </c>
      <c r="D1434" t="inlineStr">
        <is>
          <t>GÄVLEBORGS LÄN</t>
        </is>
      </c>
      <c r="E1434" t="inlineStr">
        <is>
          <t>OVANÅKER</t>
        </is>
      </c>
      <c r="G1434" t="n">
        <v>2.9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11229-2025</t>
        </is>
      </c>
      <c r="B1435" s="1" t="n">
        <v>45726</v>
      </c>
      <c r="C1435" s="1" t="n">
        <v>45838</v>
      </c>
      <c r="D1435" t="inlineStr">
        <is>
          <t>GÄVLEBORGS LÄN</t>
        </is>
      </c>
      <c r="E1435" t="inlineStr">
        <is>
          <t>OVANÅKER</t>
        </is>
      </c>
      <c r="G1435" t="n">
        <v>3.6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11301-2025</t>
        </is>
      </c>
      <c r="B1436" s="1" t="n">
        <v>45726</v>
      </c>
      <c r="C1436" s="1" t="n">
        <v>45838</v>
      </c>
      <c r="D1436" t="inlineStr">
        <is>
          <t>GÄVLEBORGS LÄN</t>
        </is>
      </c>
      <c r="E1436" t="inlineStr">
        <is>
          <t>OVANÅKER</t>
        </is>
      </c>
      <c r="G1436" t="n">
        <v>0.9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11297-2025</t>
        </is>
      </c>
      <c r="B1437" s="1" t="n">
        <v>45726</v>
      </c>
      <c r="C1437" s="1" t="n">
        <v>45838</v>
      </c>
      <c r="D1437" t="inlineStr">
        <is>
          <t>GÄVLEBORGS LÄN</t>
        </is>
      </c>
      <c r="E1437" t="inlineStr">
        <is>
          <t>OVANÅKER</t>
        </is>
      </c>
      <c r="G1437" t="n">
        <v>2.7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11240-2025</t>
        </is>
      </c>
      <c r="B1438" s="1" t="n">
        <v>45726</v>
      </c>
      <c r="C1438" s="1" t="n">
        <v>45838</v>
      </c>
      <c r="D1438" t="inlineStr">
        <is>
          <t>GÄVLEBORGS LÄN</t>
        </is>
      </c>
      <c r="E1438" t="inlineStr">
        <is>
          <t>OVANÅKER</t>
        </is>
      </c>
      <c r="G1438" t="n">
        <v>2.1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11482-2025</t>
        </is>
      </c>
      <c r="B1439" s="1" t="n">
        <v>45726</v>
      </c>
      <c r="C1439" s="1" t="n">
        <v>45838</v>
      </c>
      <c r="D1439" t="inlineStr">
        <is>
          <t>GÄVLEBORGS LÄN</t>
        </is>
      </c>
      <c r="E1439" t="inlineStr">
        <is>
          <t>OVANÅKER</t>
        </is>
      </c>
      <c r="G1439" t="n">
        <v>1.5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11745-2025</t>
        </is>
      </c>
      <c r="B1440" s="1" t="n">
        <v>45727</v>
      </c>
      <c r="C1440" s="1" t="n">
        <v>45838</v>
      </c>
      <c r="D1440" t="inlineStr">
        <is>
          <t>GÄVLEBORGS LÄN</t>
        </is>
      </c>
      <c r="E1440" t="inlineStr">
        <is>
          <t>OVANÅKER</t>
        </is>
      </c>
      <c r="G1440" t="n">
        <v>1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11750-2025</t>
        </is>
      </c>
      <c r="B1441" s="1" t="n">
        <v>45727</v>
      </c>
      <c r="C1441" s="1" t="n">
        <v>45838</v>
      </c>
      <c r="D1441" t="inlineStr">
        <is>
          <t>GÄVLEBORGS LÄN</t>
        </is>
      </c>
      <c r="E1441" t="inlineStr">
        <is>
          <t>OVANÅKER</t>
        </is>
      </c>
      <c r="G1441" t="n">
        <v>1.2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11754-2025</t>
        </is>
      </c>
      <c r="B1442" s="1" t="n">
        <v>45727</v>
      </c>
      <c r="C1442" s="1" t="n">
        <v>45838</v>
      </c>
      <c r="D1442" t="inlineStr">
        <is>
          <t>GÄVLEBORGS LÄN</t>
        </is>
      </c>
      <c r="E1442" t="inlineStr">
        <is>
          <t>OVANÅKER</t>
        </is>
      </c>
      <c r="G1442" t="n">
        <v>1.3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11964-2025</t>
        </is>
      </c>
      <c r="B1443" s="1" t="n">
        <v>45728</v>
      </c>
      <c r="C1443" s="1" t="n">
        <v>45838</v>
      </c>
      <c r="D1443" t="inlineStr">
        <is>
          <t>GÄVLEBORGS LÄN</t>
        </is>
      </c>
      <c r="E1443" t="inlineStr">
        <is>
          <t>OVANÅKER</t>
        </is>
      </c>
      <c r="G1443" t="n">
        <v>0.8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11947-2025</t>
        </is>
      </c>
      <c r="B1444" s="1" t="n">
        <v>45728</v>
      </c>
      <c r="C1444" s="1" t="n">
        <v>45838</v>
      </c>
      <c r="D1444" t="inlineStr">
        <is>
          <t>GÄVLEBORGS LÄN</t>
        </is>
      </c>
      <c r="E1444" t="inlineStr">
        <is>
          <t>OVANÅKER</t>
        </is>
      </c>
      <c r="G1444" t="n">
        <v>5.5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11940-2025</t>
        </is>
      </c>
      <c r="B1445" s="1" t="n">
        <v>45728</v>
      </c>
      <c r="C1445" s="1" t="n">
        <v>45838</v>
      </c>
      <c r="D1445" t="inlineStr">
        <is>
          <t>GÄVLEBORGS LÄN</t>
        </is>
      </c>
      <c r="E1445" t="inlineStr">
        <is>
          <t>OVANÅKER</t>
        </is>
      </c>
      <c r="G1445" t="n">
        <v>4.7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11932-2025</t>
        </is>
      </c>
      <c r="B1446" s="1" t="n">
        <v>45728</v>
      </c>
      <c r="C1446" s="1" t="n">
        <v>45838</v>
      </c>
      <c r="D1446" t="inlineStr">
        <is>
          <t>GÄVLEBORGS LÄN</t>
        </is>
      </c>
      <c r="E1446" t="inlineStr">
        <is>
          <t>OVANÅKER</t>
        </is>
      </c>
      <c r="G1446" t="n">
        <v>3.1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12326-2025</t>
        </is>
      </c>
      <c r="B1447" s="1" t="n">
        <v>45730</v>
      </c>
      <c r="C1447" s="1" t="n">
        <v>45838</v>
      </c>
      <c r="D1447" t="inlineStr">
        <is>
          <t>GÄVLEBORGS LÄN</t>
        </is>
      </c>
      <c r="E1447" t="inlineStr">
        <is>
          <t>OVANÅKER</t>
        </is>
      </c>
      <c r="G1447" t="n">
        <v>0.5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12325-2025</t>
        </is>
      </c>
      <c r="B1448" s="1" t="n">
        <v>45730</v>
      </c>
      <c r="C1448" s="1" t="n">
        <v>45838</v>
      </c>
      <c r="D1448" t="inlineStr">
        <is>
          <t>GÄVLEBORGS LÄN</t>
        </is>
      </c>
      <c r="E1448" t="inlineStr">
        <is>
          <t>OVANÅKER</t>
        </is>
      </c>
      <c r="G1448" t="n">
        <v>4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12550-2025</t>
        </is>
      </c>
      <c r="B1449" s="1" t="n">
        <v>45731</v>
      </c>
      <c r="C1449" s="1" t="n">
        <v>45838</v>
      </c>
      <c r="D1449" t="inlineStr">
        <is>
          <t>GÄVLEBORGS LÄN</t>
        </is>
      </c>
      <c r="E1449" t="inlineStr">
        <is>
          <t>OVANÅKER</t>
        </is>
      </c>
      <c r="G1449" t="n">
        <v>0.6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12549-2025</t>
        </is>
      </c>
      <c r="B1450" s="1" t="n">
        <v>45731</v>
      </c>
      <c r="C1450" s="1" t="n">
        <v>45838</v>
      </c>
      <c r="D1450" t="inlineStr">
        <is>
          <t>GÄVLEBORGS LÄN</t>
        </is>
      </c>
      <c r="E1450" t="inlineStr">
        <is>
          <t>OVANÅKER</t>
        </is>
      </c>
      <c r="G1450" t="n">
        <v>1.1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12759-2025</t>
        </is>
      </c>
      <c r="B1451" s="1" t="n">
        <v>45733</v>
      </c>
      <c r="C1451" s="1" t="n">
        <v>45838</v>
      </c>
      <c r="D1451" t="inlineStr">
        <is>
          <t>GÄVLEBORGS LÄN</t>
        </is>
      </c>
      <c r="E1451" t="inlineStr">
        <is>
          <t>OVANÅKER</t>
        </is>
      </c>
      <c r="G1451" t="n">
        <v>1.5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14555-2025</t>
        </is>
      </c>
      <c r="B1452" s="1" t="n">
        <v>45741</v>
      </c>
      <c r="C1452" s="1" t="n">
        <v>45838</v>
      </c>
      <c r="D1452" t="inlineStr">
        <is>
          <t>GÄVLEBORGS LÄN</t>
        </is>
      </c>
      <c r="E1452" t="inlineStr">
        <is>
          <t>OVANÅKER</t>
        </is>
      </c>
      <c r="G1452" t="n">
        <v>3.7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14693-2025</t>
        </is>
      </c>
      <c r="B1453" s="1" t="n">
        <v>45742</v>
      </c>
      <c r="C1453" s="1" t="n">
        <v>45838</v>
      </c>
      <c r="D1453" t="inlineStr">
        <is>
          <t>GÄVLEBORGS LÄN</t>
        </is>
      </c>
      <c r="E1453" t="inlineStr">
        <is>
          <t>OVANÅKER</t>
        </is>
      </c>
      <c r="G1453" t="n">
        <v>3.5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14767-2025</t>
        </is>
      </c>
      <c r="B1454" s="1" t="n">
        <v>45742</v>
      </c>
      <c r="C1454" s="1" t="n">
        <v>45838</v>
      </c>
      <c r="D1454" t="inlineStr">
        <is>
          <t>GÄVLEBORGS LÄN</t>
        </is>
      </c>
      <c r="E1454" t="inlineStr">
        <is>
          <t>OVANÅKER</t>
        </is>
      </c>
      <c r="G1454" t="n">
        <v>0.7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15240-2025</t>
        </is>
      </c>
      <c r="B1455" s="1" t="n">
        <v>45744</v>
      </c>
      <c r="C1455" s="1" t="n">
        <v>45838</v>
      </c>
      <c r="D1455" t="inlineStr">
        <is>
          <t>GÄVLEBORGS LÄN</t>
        </is>
      </c>
      <c r="E1455" t="inlineStr">
        <is>
          <t>OVANÅKER</t>
        </is>
      </c>
      <c r="F1455" t="inlineStr">
        <is>
          <t>Bergvik skog väst AB</t>
        </is>
      </c>
      <c r="G1455" t="n">
        <v>2.7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15233-2025</t>
        </is>
      </c>
      <c r="B1456" s="1" t="n">
        <v>45744</v>
      </c>
      <c r="C1456" s="1" t="n">
        <v>45838</v>
      </c>
      <c r="D1456" t="inlineStr">
        <is>
          <t>GÄVLEBORGS LÄN</t>
        </is>
      </c>
      <c r="E1456" t="inlineStr">
        <is>
          <t>OVANÅKER</t>
        </is>
      </c>
      <c r="F1456" t="inlineStr">
        <is>
          <t>Bergvik skog väst AB</t>
        </is>
      </c>
      <c r="G1456" t="n">
        <v>1.2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15235-2025</t>
        </is>
      </c>
      <c r="B1457" s="1" t="n">
        <v>45744</v>
      </c>
      <c r="C1457" s="1" t="n">
        <v>45838</v>
      </c>
      <c r="D1457" t="inlineStr">
        <is>
          <t>GÄVLEBORGS LÄN</t>
        </is>
      </c>
      <c r="E1457" t="inlineStr">
        <is>
          <t>OVANÅKER</t>
        </is>
      </c>
      <c r="F1457" t="inlineStr">
        <is>
          <t>Bergvik skog väst AB</t>
        </is>
      </c>
      <c r="G1457" t="n">
        <v>1.5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15304-2025</t>
        </is>
      </c>
      <c r="B1458" s="1" t="n">
        <v>45746</v>
      </c>
      <c r="C1458" s="1" t="n">
        <v>45838</v>
      </c>
      <c r="D1458" t="inlineStr">
        <is>
          <t>GÄVLEBORGS LÄN</t>
        </is>
      </c>
      <c r="E1458" t="inlineStr">
        <is>
          <t>OVANÅKER</t>
        </is>
      </c>
      <c r="G1458" t="n">
        <v>7.1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16182-2025</t>
        </is>
      </c>
      <c r="B1459" s="1" t="n">
        <v>45750</v>
      </c>
      <c r="C1459" s="1" t="n">
        <v>45838</v>
      </c>
      <c r="D1459" t="inlineStr">
        <is>
          <t>GÄVLEBORGS LÄN</t>
        </is>
      </c>
      <c r="E1459" t="inlineStr">
        <is>
          <t>OVANÅKER</t>
        </is>
      </c>
      <c r="F1459" t="inlineStr">
        <is>
          <t>Bergvik skog öst AB</t>
        </is>
      </c>
      <c r="G1459" t="n">
        <v>10.8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16126-2025</t>
        </is>
      </c>
      <c r="B1460" s="1" t="n">
        <v>45750</v>
      </c>
      <c r="C1460" s="1" t="n">
        <v>45838</v>
      </c>
      <c r="D1460" t="inlineStr">
        <is>
          <t>GÄVLEBORGS LÄN</t>
        </is>
      </c>
      <c r="E1460" t="inlineStr">
        <is>
          <t>OVANÅKER</t>
        </is>
      </c>
      <c r="F1460" t="inlineStr">
        <is>
          <t>Bergvik skog öst AB</t>
        </is>
      </c>
      <c r="G1460" t="n">
        <v>2.2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16143-2025</t>
        </is>
      </c>
      <c r="B1461" s="1" t="n">
        <v>45750</v>
      </c>
      <c r="C1461" s="1" t="n">
        <v>45838</v>
      </c>
      <c r="D1461" t="inlineStr">
        <is>
          <t>GÄVLEBORGS LÄN</t>
        </is>
      </c>
      <c r="E1461" t="inlineStr">
        <is>
          <t>OVANÅKER</t>
        </is>
      </c>
      <c r="F1461" t="inlineStr">
        <is>
          <t>Bergvik skog öst AB</t>
        </is>
      </c>
      <c r="G1461" t="n">
        <v>0.8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16134-2025</t>
        </is>
      </c>
      <c r="B1462" s="1" t="n">
        <v>45750</v>
      </c>
      <c r="C1462" s="1" t="n">
        <v>45838</v>
      </c>
      <c r="D1462" t="inlineStr">
        <is>
          <t>GÄVLEBORGS LÄN</t>
        </is>
      </c>
      <c r="E1462" t="inlineStr">
        <is>
          <t>OVANÅKER</t>
        </is>
      </c>
      <c r="G1462" t="n">
        <v>2.7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16120-2025</t>
        </is>
      </c>
      <c r="B1463" s="1" t="n">
        <v>45750</v>
      </c>
      <c r="C1463" s="1" t="n">
        <v>45838</v>
      </c>
      <c r="D1463" t="inlineStr">
        <is>
          <t>GÄVLEBORGS LÄN</t>
        </is>
      </c>
      <c r="E1463" t="inlineStr">
        <is>
          <t>OVANÅKER</t>
        </is>
      </c>
      <c r="F1463" t="inlineStr">
        <is>
          <t>Bergvik skog öst AB</t>
        </is>
      </c>
      <c r="G1463" t="n">
        <v>1.2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16204-2025</t>
        </is>
      </c>
      <c r="B1464" s="1" t="n">
        <v>45750</v>
      </c>
      <c r="C1464" s="1" t="n">
        <v>45838</v>
      </c>
      <c r="D1464" t="inlineStr">
        <is>
          <t>GÄVLEBORGS LÄN</t>
        </is>
      </c>
      <c r="E1464" t="inlineStr">
        <is>
          <t>OVANÅKER</t>
        </is>
      </c>
      <c r="G1464" t="n">
        <v>16.7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16464-2025</t>
        </is>
      </c>
      <c r="B1465" s="1" t="n">
        <v>45751</v>
      </c>
      <c r="C1465" s="1" t="n">
        <v>45838</v>
      </c>
      <c r="D1465" t="inlineStr">
        <is>
          <t>GÄVLEBORGS LÄN</t>
        </is>
      </c>
      <c r="E1465" t="inlineStr">
        <is>
          <t>OVANÅKER</t>
        </is>
      </c>
      <c r="G1465" t="n">
        <v>2.4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16462-2025</t>
        </is>
      </c>
      <c r="B1466" s="1" t="n">
        <v>45751</v>
      </c>
      <c r="C1466" s="1" t="n">
        <v>45838</v>
      </c>
      <c r="D1466" t="inlineStr">
        <is>
          <t>GÄVLEBORGS LÄN</t>
        </is>
      </c>
      <c r="E1466" t="inlineStr">
        <is>
          <t>OVANÅKER</t>
        </is>
      </c>
      <c r="G1466" t="n">
        <v>2.1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16424-2025</t>
        </is>
      </c>
      <c r="B1467" s="1" t="n">
        <v>45751</v>
      </c>
      <c r="C1467" s="1" t="n">
        <v>45838</v>
      </c>
      <c r="D1467" t="inlineStr">
        <is>
          <t>GÄVLEBORGS LÄN</t>
        </is>
      </c>
      <c r="E1467" t="inlineStr">
        <is>
          <t>OVANÅKER</t>
        </is>
      </c>
      <c r="F1467" t="inlineStr">
        <is>
          <t>Bergvik skog öst AB</t>
        </is>
      </c>
      <c r="G1467" t="n">
        <v>2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16426-2025</t>
        </is>
      </c>
      <c r="B1468" s="1" t="n">
        <v>45751</v>
      </c>
      <c r="C1468" s="1" t="n">
        <v>45838</v>
      </c>
      <c r="D1468" t="inlineStr">
        <is>
          <t>GÄVLEBORGS LÄN</t>
        </is>
      </c>
      <c r="E1468" t="inlineStr">
        <is>
          <t>OVANÅKER</t>
        </is>
      </c>
      <c r="F1468" t="inlineStr">
        <is>
          <t>Bergvik skog öst AB</t>
        </is>
      </c>
      <c r="G1468" t="n">
        <v>0.4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16431-2025</t>
        </is>
      </c>
      <c r="B1469" s="1" t="n">
        <v>45751</v>
      </c>
      <c r="C1469" s="1" t="n">
        <v>45838</v>
      </c>
      <c r="D1469" t="inlineStr">
        <is>
          <t>GÄVLEBORGS LÄN</t>
        </is>
      </c>
      <c r="E1469" t="inlineStr">
        <is>
          <t>OVANÅKER</t>
        </is>
      </c>
      <c r="F1469" t="inlineStr">
        <is>
          <t>Bergvik skog öst AB</t>
        </is>
      </c>
      <c r="G1469" t="n">
        <v>2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16393-2025</t>
        </is>
      </c>
      <c r="B1470" s="1" t="n">
        <v>45751</v>
      </c>
      <c r="C1470" s="1" t="n">
        <v>45838</v>
      </c>
      <c r="D1470" t="inlineStr">
        <is>
          <t>GÄVLEBORGS LÄN</t>
        </is>
      </c>
      <c r="E1470" t="inlineStr">
        <is>
          <t>OVANÅKER</t>
        </is>
      </c>
      <c r="F1470" t="inlineStr">
        <is>
          <t>Bergvik skog öst AB</t>
        </is>
      </c>
      <c r="G1470" t="n">
        <v>1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16360-2025</t>
        </is>
      </c>
      <c r="B1471" s="1" t="n">
        <v>45751</v>
      </c>
      <c r="C1471" s="1" t="n">
        <v>45838</v>
      </c>
      <c r="D1471" t="inlineStr">
        <is>
          <t>GÄVLEBORGS LÄN</t>
        </is>
      </c>
      <c r="E1471" t="inlineStr">
        <is>
          <t>OVANÅKER</t>
        </is>
      </c>
      <c r="F1471" t="inlineStr">
        <is>
          <t>Bergvik skog öst AB</t>
        </is>
      </c>
      <c r="G1471" t="n">
        <v>0.9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16911-2025</t>
        </is>
      </c>
      <c r="B1472" s="1" t="n">
        <v>45755</v>
      </c>
      <c r="C1472" s="1" t="n">
        <v>45838</v>
      </c>
      <c r="D1472" t="inlineStr">
        <is>
          <t>GÄVLEBORGS LÄN</t>
        </is>
      </c>
      <c r="E1472" t="inlineStr">
        <is>
          <t>OVANÅKER</t>
        </is>
      </c>
      <c r="G1472" t="n">
        <v>2.8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17523-2025</t>
        </is>
      </c>
      <c r="B1473" s="1" t="n">
        <v>45757</v>
      </c>
      <c r="C1473" s="1" t="n">
        <v>45838</v>
      </c>
      <c r="D1473" t="inlineStr">
        <is>
          <t>GÄVLEBORGS LÄN</t>
        </is>
      </c>
      <c r="E1473" t="inlineStr">
        <is>
          <t>OVANÅKER</t>
        </is>
      </c>
      <c r="F1473" t="inlineStr">
        <is>
          <t>Bergvik skog öst AB</t>
        </is>
      </c>
      <c r="G1473" t="n">
        <v>3.1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17392-2025</t>
        </is>
      </c>
      <c r="B1474" s="1" t="n">
        <v>45757</v>
      </c>
      <c r="C1474" s="1" t="n">
        <v>45838</v>
      </c>
      <c r="D1474" t="inlineStr">
        <is>
          <t>GÄVLEBORGS LÄN</t>
        </is>
      </c>
      <c r="E1474" t="inlineStr">
        <is>
          <t>OVANÅKER</t>
        </is>
      </c>
      <c r="F1474" t="inlineStr">
        <is>
          <t>Bergvik skog öst AB</t>
        </is>
      </c>
      <c r="G1474" t="n">
        <v>1.2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17617-2025</t>
        </is>
      </c>
      <c r="B1475" s="1" t="n">
        <v>45757</v>
      </c>
      <c r="C1475" s="1" t="n">
        <v>45838</v>
      </c>
      <c r="D1475" t="inlineStr">
        <is>
          <t>GÄVLEBORGS LÄN</t>
        </is>
      </c>
      <c r="E1475" t="inlineStr">
        <is>
          <t>OVANÅKER</t>
        </is>
      </c>
      <c r="F1475" t="inlineStr">
        <is>
          <t>Holmen skog AB</t>
        </is>
      </c>
      <c r="G1475" t="n">
        <v>6.9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17618-2025</t>
        </is>
      </c>
      <c r="B1476" s="1" t="n">
        <v>45757</v>
      </c>
      <c r="C1476" s="1" t="n">
        <v>45838</v>
      </c>
      <c r="D1476" t="inlineStr">
        <is>
          <t>GÄVLEBORGS LÄN</t>
        </is>
      </c>
      <c r="E1476" t="inlineStr">
        <is>
          <t>OVANÅKER</t>
        </is>
      </c>
      <c r="F1476" t="inlineStr">
        <is>
          <t>Holmen skog AB</t>
        </is>
      </c>
      <c r="G1476" t="n">
        <v>5.8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17665-2025</t>
        </is>
      </c>
      <c r="B1477" s="1" t="n">
        <v>45758</v>
      </c>
      <c r="C1477" s="1" t="n">
        <v>45838</v>
      </c>
      <c r="D1477" t="inlineStr">
        <is>
          <t>GÄVLEBORGS LÄN</t>
        </is>
      </c>
      <c r="E1477" t="inlineStr">
        <is>
          <t>OVANÅKER</t>
        </is>
      </c>
      <c r="F1477" t="inlineStr">
        <is>
          <t>Sveaskog</t>
        </is>
      </c>
      <c r="G1477" t="n">
        <v>1.8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17668-2025</t>
        </is>
      </c>
      <c r="B1478" s="1" t="n">
        <v>45758</v>
      </c>
      <c r="C1478" s="1" t="n">
        <v>45838</v>
      </c>
      <c r="D1478" t="inlineStr">
        <is>
          <t>GÄVLEBORGS LÄN</t>
        </is>
      </c>
      <c r="E1478" t="inlineStr">
        <is>
          <t>OVANÅKER</t>
        </is>
      </c>
      <c r="F1478" t="inlineStr">
        <is>
          <t>Sveaskog</t>
        </is>
      </c>
      <c r="G1478" t="n">
        <v>8.199999999999999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17672-2025</t>
        </is>
      </c>
      <c r="B1479" s="1" t="n">
        <v>45758</v>
      </c>
      <c r="C1479" s="1" t="n">
        <v>45838</v>
      </c>
      <c r="D1479" t="inlineStr">
        <is>
          <t>GÄVLEBORGS LÄN</t>
        </is>
      </c>
      <c r="E1479" t="inlineStr">
        <is>
          <t>OVANÅKER</t>
        </is>
      </c>
      <c r="F1479" t="inlineStr">
        <is>
          <t>Sveaskog</t>
        </is>
      </c>
      <c r="G1479" t="n">
        <v>3.2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17677-2025</t>
        </is>
      </c>
      <c r="B1480" s="1" t="n">
        <v>45758</v>
      </c>
      <c r="C1480" s="1" t="n">
        <v>45838</v>
      </c>
      <c r="D1480" t="inlineStr">
        <is>
          <t>GÄVLEBORGS LÄN</t>
        </is>
      </c>
      <c r="E1480" t="inlineStr">
        <is>
          <t>OVANÅKER</t>
        </is>
      </c>
      <c r="F1480" t="inlineStr">
        <is>
          <t>Sveaskog</t>
        </is>
      </c>
      <c r="G1480" t="n">
        <v>4.7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17965-2025</t>
        </is>
      </c>
      <c r="B1481" s="1" t="n">
        <v>45761</v>
      </c>
      <c r="C1481" s="1" t="n">
        <v>45838</v>
      </c>
      <c r="D1481" t="inlineStr">
        <is>
          <t>GÄVLEBORGS LÄN</t>
        </is>
      </c>
      <c r="E1481" t="inlineStr">
        <is>
          <t>OVANÅKER</t>
        </is>
      </c>
      <c r="F1481" t="inlineStr">
        <is>
          <t>Bergvik skog öst AB</t>
        </is>
      </c>
      <c r="G1481" t="n">
        <v>1.7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17990-2025</t>
        </is>
      </c>
      <c r="B1482" s="1" t="n">
        <v>45761</v>
      </c>
      <c r="C1482" s="1" t="n">
        <v>45838</v>
      </c>
      <c r="D1482" t="inlineStr">
        <is>
          <t>GÄVLEBORGS LÄN</t>
        </is>
      </c>
      <c r="E1482" t="inlineStr">
        <is>
          <t>OVANÅKER</t>
        </is>
      </c>
      <c r="G1482" t="n">
        <v>2.9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17962-2025</t>
        </is>
      </c>
      <c r="B1483" s="1" t="n">
        <v>45761</v>
      </c>
      <c r="C1483" s="1" t="n">
        <v>45838</v>
      </c>
      <c r="D1483" t="inlineStr">
        <is>
          <t>GÄVLEBORGS LÄN</t>
        </is>
      </c>
      <c r="E1483" t="inlineStr">
        <is>
          <t>OVANÅKER</t>
        </is>
      </c>
      <c r="F1483" t="inlineStr">
        <is>
          <t>Holmen skog AB</t>
        </is>
      </c>
      <c r="G1483" t="n">
        <v>12.6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18363-2025</t>
        </is>
      </c>
      <c r="B1484" s="1" t="n">
        <v>45762</v>
      </c>
      <c r="C1484" s="1" t="n">
        <v>45838</v>
      </c>
      <c r="D1484" t="inlineStr">
        <is>
          <t>GÄVLEBORGS LÄN</t>
        </is>
      </c>
      <c r="E1484" t="inlineStr">
        <is>
          <t>OVANÅKER</t>
        </is>
      </c>
      <c r="G1484" t="n">
        <v>3.6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18562-2025</t>
        </is>
      </c>
      <c r="B1485" s="1" t="n">
        <v>45763</v>
      </c>
      <c r="C1485" s="1" t="n">
        <v>45838</v>
      </c>
      <c r="D1485" t="inlineStr">
        <is>
          <t>GÄVLEBORGS LÄN</t>
        </is>
      </c>
      <c r="E1485" t="inlineStr">
        <is>
          <t>OVANÅKER</t>
        </is>
      </c>
      <c r="F1485" t="inlineStr">
        <is>
          <t>Holmen skog AB</t>
        </is>
      </c>
      <c r="G1485" t="n">
        <v>2.5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18570-2025</t>
        </is>
      </c>
      <c r="B1486" s="1" t="n">
        <v>45763</v>
      </c>
      <c r="C1486" s="1" t="n">
        <v>45838</v>
      </c>
      <c r="D1486" t="inlineStr">
        <is>
          <t>GÄVLEBORGS LÄN</t>
        </is>
      </c>
      <c r="E1486" t="inlineStr">
        <is>
          <t>OVANÅKER</t>
        </is>
      </c>
      <c r="F1486" t="inlineStr">
        <is>
          <t>Holmen skog AB</t>
        </is>
      </c>
      <c r="G1486" t="n">
        <v>1.1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18591-2025</t>
        </is>
      </c>
      <c r="B1487" s="1" t="n">
        <v>45763</v>
      </c>
      <c r="C1487" s="1" t="n">
        <v>45838</v>
      </c>
      <c r="D1487" t="inlineStr">
        <is>
          <t>GÄVLEBORGS LÄN</t>
        </is>
      </c>
      <c r="E1487" t="inlineStr">
        <is>
          <t>OVANÅKER</t>
        </is>
      </c>
      <c r="G1487" t="n">
        <v>4.7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18505-2025</t>
        </is>
      </c>
      <c r="B1488" s="1" t="n">
        <v>45763</v>
      </c>
      <c r="C1488" s="1" t="n">
        <v>45838</v>
      </c>
      <c r="D1488" t="inlineStr">
        <is>
          <t>GÄVLEBORGS LÄN</t>
        </is>
      </c>
      <c r="E1488" t="inlineStr">
        <is>
          <t>OVANÅKER</t>
        </is>
      </c>
      <c r="F1488" t="inlineStr">
        <is>
          <t>Holmen skog AB</t>
        </is>
      </c>
      <c r="G1488" t="n">
        <v>6.9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18545-2025</t>
        </is>
      </c>
      <c r="B1489" s="1" t="n">
        <v>45763</v>
      </c>
      <c r="C1489" s="1" t="n">
        <v>45838</v>
      </c>
      <c r="D1489" t="inlineStr">
        <is>
          <t>GÄVLEBORGS LÄN</t>
        </is>
      </c>
      <c r="E1489" t="inlineStr">
        <is>
          <t>OVANÅKER</t>
        </is>
      </c>
      <c r="F1489" t="inlineStr">
        <is>
          <t>Holmen skog AB</t>
        </is>
      </c>
      <c r="G1489" t="n">
        <v>2.6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18553-2025</t>
        </is>
      </c>
      <c r="B1490" s="1" t="n">
        <v>45763</v>
      </c>
      <c r="C1490" s="1" t="n">
        <v>45838</v>
      </c>
      <c r="D1490" t="inlineStr">
        <is>
          <t>GÄVLEBORGS LÄN</t>
        </is>
      </c>
      <c r="E1490" t="inlineStr">
        <is>
          <t>OVANÅKER</t>
        </is>
      </c>
      <c r="G1490" t="n">
        <v>3.4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19008-2025</t>
        </is>
      </c>
      <c r="B1491" s="1" t="n">
        <v>45764</v>
      </c>
      <c r="C1491" s="1" t="n">
        <v>45838</v>
      </c>
      <c r="D1491" t="inlineStr">
        <is>
          <t>GÄVLEBORGS LÄN</t>
        </is>
      </c>
      <c r="E1491" t="inlineStr">
        <is>
          <t>OVANÅKER</t>
        </is>
      </c>
      <c r="F1491" t="inlineStr">
        <is>
          <t>Bergvik skog öst AB</t>
        </is>
      </c>
      <c r="G1491" t="n">
        <v>12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19303-2025</t>
        </is>
      </c>
      <c r="B1492" s="1" t="n">
        <v>45769</v>
      </c>
      <c r="C1492" s="1" t="n">
        <v>45838</v>
      </c>
      <c r="D1492" t="inlineStr">
        <is>
          <t>GÄVLEBORGS LÄN</t>
        </is>
      </c>
      <c r="E1492" t="inlineStr">
        <is>
          <t>OVANÅKER</t>
        </is>
      </c>
      <c r="G1492" t="n">
        <v>3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19235-2025</t>
        </is>
      </c>
      <c r="B1493" s="1" t="n">
        <v>45769</v>
      </c>
      <c r="C1493" s="1" t="n">
        <v>45838</v>
      </c>
      <c r="D1493" t="inlineStr">
        <is>
          <t>GÄVLEBORGS LÄN</t>
        </is>
      </c>
      <c r="E1493" t="inlineStr">
        <is>
          <t>OVANÅKER</t>
        </is>
      </c>
      <c r="G1493" t="n">
        <v>0.9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19818-2025</t>
        </is>
      </c>
      <c r="B1494" s="1" t="n">
        <v>45771</v>
      </c>
      <c r="C1494" s="1" t="n">
        <v>45838</v>
      </c>
      <c r="D1494" t="inlineStr">
        <is>
          <t>GÄVLEBORGS LÄN</t>
        </is>
      </c>
      <c r="E1494" t="inlineStr">
        <is>
          <t>OVANÅKER</t>
        </is>
      </c>
      <c r="G1494" t="n">
        <v>3.2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19875-2025</t>
        </is>
      </c>
      <c r="B1495" s="1" t="n">
        <v>45771</v>
      </c>
      <c r="C1495" s="1" t="n">
        <v>45838</v>
      </c>
      <c r="D1495" t="inlineStr">
        <is>
          <t>GÄVLEBORGS LÄN</t>
        </is>
      </c>
      <c r="E1495" t="inlineStr">
        <is>
          <t>OVANÅKER</t>
        </is>
      </c>
      <c r="G1495" t="n">
        <v>0.4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19884-2025</t>
        </is>
      </c>
      <c r="B1496" s="1" t="n">
        <v>45771</v>
      </c>
      <c r="C1496" s="1" t="n">
        <v>45838</v>
      </c>
      <c r="D1496" t="inlineStr">
        <is>
          <t>GÄVLEBORGS LÄN</t>
        </is>
      </c>
      <c r="E1496" t="inlineStr">
        <is>
          <t>OVANÅKER</t>
        </is>
      </c>
      <c r="G1496" t="n">
        <v>2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19903-2025</t>
        </is>
      </c>
      <c r="B1497" s="1" t="n">
        <v>45771</v>
      </c>
      <c r="C1497" s="1" t="n">
        <v>45838</v>
      </c>
      <c r="D1497" t="inlineStr">
        <is>
          <t>GÄVLEBORGS LÄN</t>
        </is>
      </c>
      <c r="E1497" t="inlineStr">
        <is>
          <t>OVANÅKER</t>
        </is>
      </c>
      <c r="G1497" t="n">
        <v>1.2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19910-2025</t>
        </is>
      </c>
      <c r="B1498" s="1" t="n">
        <v>45771</v>
      </c>
      <c r="C1498" s="1" t="n">
        <v>45838</v>
      </c>
      <c r="D1498" t="inlineStr">
        <is>
          <t>GÄVLEBORGS LÄN</t>
        </is>
      </c>
      <c r="E1498" t="inlineStr">
        <is>
          <t>OVANÅKER</t>
        </is>
      </c>
      <c r="G1498" t="n">
        <v>1.5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19957-2025</t>
        </is>
      </c>
      <c r="B1499" s="1" t="n">
        <v>45771</v>
      </c>
      <c r="C1499" s="1" t="n">
        <v>45838</v>
      </c>
      <c r="D1499" t="inlineStr">
        <is>
          <t>GÄVLEBORGS LÄN</t>
        </is>
      </c>
      <c r="E1499" t="inlineStr">
        <is>
          <t>OVANÅKER</t>
        </is>
      </c>
      <c r="G1499" t="n">
        <v>2.2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19963-2025</t>
        </is>
      </c>
      <c r="B1500" s="1" t="n">
        <v>45771</v>
      </c>
      <c r="C1500" s="1" t="n">
        <v>45838</v>
      </c>
      <c r="D1500" t="inlineStr">
        <is>
          <t>GÄVLEBORGS LÄN</t>
        </is>
      </c>
      <c r="E1500" t="inlineStr">
        <is>
          <t>OVANÅKER</t>
        </is>
      </c>
      <c r="G1500" t="n">
        <v>0.8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19960-2025</t>
        </is>
      </c>
      <c r="B1501" s="1" t="n">
        <v>45771</v>
      </c>
      <c r="C1501" s="1" t="n">
        <v>45838</v>
      </c>
      <c r="D1501" t="inlineStr">
        <is>
          <t>GÄVLEBORGS LÄN</t>
        </is>
      </c>
      <c r="E1501" t="inlineStr">
        <is>
          <t>OVANÅKER</t>
        </is>
      </c>
      <c r="G1501" t="n">
        <v>3.9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19737-2025</t>
        </is>
      </c>
      <c r="B1502" s="1" t="n">
        <v>45771</v>
      </c>
      <c r="C1502" s="1" t="n">
        <v>45838</v>
      </c>
      <c r="D1502" t="inlineStr">
        <is>
          <t>GÄVLEBORGS LÄN</t>
        </is>
      </c>
      <c r="E1502" t="inlineStr">
        <is>
          <t>OVANÅKER</t>
        </is>
      </c>
      <c r="G1502" t="n">
        <v>1.7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20115-2025</t>
        </is>
      </c>
      <c r="B1503" s="1" t="n">
        <v>45772</v>
      </c>
      <c r="C1503" s="1" t="n">
        <v>45838</v>
      </c>
      <c r="D1503" t="inlineStr">
        <is>
          <t>GÄVLEBORGS LÄN</t>
        </is>
      </c>
      <c r="E1503" t="inlineStr">
        <is>
          <t>OVANÅKER</t>
        </is>
      </c>
      <c r="G1503" t="n">
        <v>1.5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20117-2025</t>
        </is>
      </c>
      <c r="B1504" s="1" t="n">
        <v>45772</v>
      </c>
      <c r="C1504" s="1" t="n">
        <v>45838</v>
      </c>
      <c r="D1504" t="inlineStr">
        <is>
          <t>GÄVLEBORGS LÄN</t>
        </is>
      </c>
      <c r="E1504" t="inlineStr">
        <is>
          <t>OVANÅKER</t>
        </is>
      </c>
      <c r="G1504" t="n">
        <v>2.5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20799-2025</t>
        </is>
      </c>
      <c r="B1505" s="1" t="n">
        <v>45776</v>
      </c>
      <c r="C1505" s="1" t="n">
        <v>45838</v>
      </c>
      <c r="D1505" t="inlineStr">
        <is>
          <t>GÄVLEBORGS LÄN</t>
        </is>
      </c>
      <c r="E1505" t="inlineStr">
        <is>
          <t>OVANÅKER</t>
        </is>
      </c>
      <c r="G1505" t="n">
        <v>1.5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20742-2025</t>
        </is>
      </c>
      <c r="B1506" s="1" t="n">
        <v>45776</v>
      </c>
      <c r="C1506" s="1" t="n">
        <v>45838</v>
      </c>
      <c r="D1506" t="inlineStr">
        <is>
          <t>GÄVLEBORGS LÄN</t>
        </is>
      </c>
      <c r="E1506" t="inlineStr">
        <is>
          <t>OVANÅKER</t>
        </is>
      </c>
      <c r="G1506" t="n">
        <v>9.1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20795-2025</t>
        </is>
      </c>
      <c r="B1507" s="1" t="n">
        <v>45776</v>
      </c>
      <c r="C1507" s="1" t="n">
        <v>45838</v>
      </c>
      <c r="D1507" t="inlineStr">
        <is>
          <t>GÄVLEBORGS LÄN</t>
        </is>
      </c>
      <c r="E1507" t="inlineStr">
        <is>
          <t>OVANÅKER</t>
        </is>
      </c>
      <c r="G1507" t="n">
        <v>1.8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20927-2025</t>
        </is>
      </c>
      <c r="B1508" s="1" t="n">
        <v>45777</v>
      </c>
      <c r="C1508" s="1" t="n">
        <v>45838</v>
      </c>
      <c r="D1508" t="inlineStr">
        <is>
          <t>GÄVLEBORGS LÄN</t>
        </is>
      </c>
      <c r="E1508" t="inlineStr">
        <is>
          <t>OVANÅKER</t>
        </is>
      </c>
      <c r="F1508" t="inlineStr">
        <is>
          <t>Sveaskog</t>
        </is>
      </c>
      <c r="G1508" t="n">
        <v>2.6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20938-2025</t>
        </is>
      </c>
      <c r="B1509" s="1" t="n">
        <v>45777</v>
      </c>
      <c r="C1509" s="1" t="n">
        <v>45838</v>
      </c>
      <c r="D1509" t="inlineStr">
        <is>
          <t>GÄVLEBORGS LÄN</t>
        </is>
      </c>
      <c r="E1509" t="inlineStr">
        <is>
          <t>OVANÅKER</t>
        </is>
      </c>
      <c r="F1509" t="inlineStr">
        <is>
          <t>Sveaskog</t>
        </is>
      </c>
      <c r="G1509" t="n">
        <v>2.8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21394-2025</t>
        </is>
      </c>
      <c r="B1510" s="1" t="n">
        <v>45782</v>
      </c>
      <c r="C1510" s="1" t="n">
        <v>45838</v>
      </c>
      <c r="D1510" t="inlineStr">
        <is>
          <t>GÄVLEBORGS LÄN</t>
        </is>
      </c>
      <c r="E1510" t="inlineStr">
        <is>
          <t>OVANÅKER</t>
        </is>
      </c>
      <c r="F1510" t="inlineStr">
        <is>
          <t>Bergvik skog öst AB</t>
        </is>
      </c>
      <c r="G1510" t="n">
        <v>2.6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21446-2025</t>
        </is>
      </c>
      <c r="B1511" s="1" t="n">
        <v>45782</v>
      </c>
      <c r="C1511" s="1" t="n">
        <v>45838</v>
      </c>
      <c r="D1511" t="inlineStr">
        <is>
          <t>GÄVLEBORGS LÄN</t>
        </is>
      </c>
      <c r="E1511" t="inlineStr">
        <is>
          <t>OVANÅKER</t>
        </is>
      </c>
      <c r="F1511" t="inlineStr">
        <is>
          <t>Bergvik skog öst AB</t>
        </is>
      </c>
      <c r="G1511" t="n">
        <v>5.9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21744-2025</t>
        </is>
      </c>
      <c r="B1512" s="1" t="n">
        <v>45783</v>
      </c>
      <c r="C1512" s="1" t="n">
        <v>45838</v>
      </c>
      <c r="D1512" t="inlineStr">
        <is>
          <t>GÄVLEBORGS LÄN</t>
        </is>
      </c>
      <c r="E1512" t="inlineStr">
        <is>
          <t>OVANÅKER</t>
        </is>
      </c>
      <c r="F1512" t="inlineStr">
        <is>
          <t>Bergvik skog öst AB</t>
        </is>
      </c>
      <c r="G1512" t="n">
        <v>0.9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21734-2025</t>
        </is>
      </c>
      <c r="B1513" s="1" t="n">
        <v>45783</v>
      </c>
      <c r="C1513" s="1" t="n">
        <v>45838</v>
      </c>
      <c r="D1513" t="inlineStr">
        <is>
          <t>GÄVLEBORGS LÄN</t>
        </is>
      </c>
      <c r="E1513" t="inlineStr">
        <is>
          <t>OVANÅKER</t>
        </is>
      </c>
      <c r="F1513" t="inlineStr">
        <is>
          <t>Bergvik skog öst AB</t>
        </is>
      </c>
      <c r="G1513" t="n">
        <v>1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22199-2025</t>
        </is>
      </c>
      <c r="B1514" s="1" t="n">
        <v>45785</v>
      </c>
      <c r="C1514" s="1" t="n">
        <v>45838</v>
      </c>
      <c r="D1514" t="inlineStr">
        <is>
          <t>GÄVLEBORGS LÄN</t>
        </is>
      </c>
      <c r="E1514" t="inlineStr">
        <is>
          <t>OVANÅKER</t>
        </is>
      </c>
      <c r="G1514" t="n">
        <v>2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22312-2025</t>
        </is>
      </c>
      <c r="B1515" s="1" t="n">
        <v>45786</v>
      </c>
      <c r="C1515" s="1" t="n">
        <v>45838</v>
      </c>
      <c r="D1515" t="inlineStr">
        <is>
          <t>GÄVLEBORGS LÄN</t>
        </is>
      </c>
      <c r="E1515" t="inlineStr">
        <is>
          <t>OVANÅKER</t>
        </is>
      </c>
      <c r="G1515" t="n">
        <v>1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22932-2025</t>
        </is>
      </c>
      <c r="B1516" s="1" t="n">
        <v>45790</v>
      </c>
      <c r="C1516" s="1" t="n">
        <v>45838</v>
      </c>
      <c r="D1516" t="inlineStr">
        <is>
          <t>GÄVLEBORGS LÄN</t>
        </is>
      </c>
      <c r="E1516" t="inlineStr">
        <is>
          <t>OVANÅKER</t>
        </is>
      </c>
      <c r="G1516" t="n">
        <v>1.1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22938-2025</t>
        </is>
      </c>
      <c r="B1517" s="1" t="n">
        <v>45790</v>
      </c>
      <c r="C1517" s="1" t="n">
        <v>45838</v>
      </c>
      <c r="D1517" t="inlineStr">
        <is>
          <t>GÄVLEBORGS LÄN</t>
        </is>
      </c>
      <c r="E1517" t="inlineStr">
        <is>
          <t>OVANÅKER</t>
        </is>
      </c>
      <c r="G1517" t="n">
        <v>1.3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23135-2025</t>
        </is>
      </c>
      <c r="B1518" s="1" t="n">
        <v>45791</v>
      </c>
      <c r="C1518" s="1" t="n">
        <v>45838</v>
      </c>
      <c r="D1518" t="inlineStr">
        <is>
          <t>GÄVLEBORGS LÄN</t>
        </is>
      </c>
      <c r="E1518" t="inlineStr">
        <is>
          <t>OVANÅKER</t>
        </is>
      </c>
      <c r="F1518" t="inlineStr">
        <is>
          <t>Bergvik skog väst AB</t>
        </is>
      </c>
      <c r="G1518" t="n">
        <v>2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23175-2025</t>
        </is>
      </c>
      <c r="B1519" s="1" t="n">
        <v>45791</v>
      </c>
      <c r="C1519" s="1" t="n">
        <v>45838</v>
      </c>
      <c r="D1519" t="inlineStr">
        <is>
          <t>GÄVLEBORGS LÄN</t>
        </is>
      </c>
      <c r="E1519" t="inlineStr">
        <is>
          <t>OVANÅKER</t>
        </is>
      </c>
      <c r="F1519" t="inlineStr">
        <is>
          <t>Bergvik skog väst AB</t>
        </is>
      </c>
      <c r="G1519" t="n">
        <v>5.6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23180-2025</t>
        </is>
      </c>
      <c r="B1520" s="1" t="n">
        <v>45791</v>
      </c>
      <c r="C1520" s="1" t="n">
        <v>45838</v>
      </c>
      <c r="D1520" t="inlineStr">
        <is>
          <t>GÄVLEBORGS LÄN</t>
        </is>
      </c>
      <c r="E1520" t="inlineStr">
        <is>
          <t>OVANÅKER</t>
        </is>
      </c>
      <c r="F1520" t="inlineStr">
        <is>
          <t>Bergvik skog väst AB</t>
        </is>
      </c>
      <c r="G1520" t="n">
        <v>12.1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23184-2025</t>
        </is>
      </c>
      <c r="B1521" s="1" t="n">
        <v>45791</v>
      </c>
      <c r="C1521" s="1" t="n">
        <v>45838</v>
      </c>
      <c r="D1521" t="inlineStr">
        <is>
          <t>GÄVLEBORGS LÄN</t>
        </is>
      </c>
      <c r="E1521" t="inlineStr">
        <is>
          <t>OVANÅKER</t>
        </is>
      </c>
      <c r="F1521" t="inlineStr">
        <is>
          <t>Bergvik skog väst AB</t>
        </is>
      </c>
      <c r="G1521" t="n">
        <v>6.9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23220-2025</t>
        </is>
      </c>
      <c r="B1522" s="1" t="n">
        <v>45791</v>
      </c>
      <c r="C1522" s="1" t="n">
        <v>45838</v>
      </c>
      <c r="D1522" t="inlineStr">
        <is>
          <t>GÄVLEBORGS LÄN</t>
        </is>
      </c>
      <c r="E1522" t="inlineStr">
        <is>
          <t>OVANÅKER</t>
        </is>
      </c>
      <c r="F1522" t="inlineStr">
        <is>
          <t>Bergvik skog väst AB</t>
        </is>
      </c>
      <c r="G1522" t="n">
        <v>18.6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23223-2025</t>
        </is>
      </c>
      <c r="B1523" s="1" t="n">
        <v>45791</v>
      </c>
      <c r="C1523" s="1" t="n">
        <v>45838</v>
      </c>
      <c r="D1523" t="inlineStr">
        <is>
          <t>GÄVLEBORGS LÄN</t>
        </is>
      </c>
      <c r="E1523" t="inlineStr">
        <is>
          <t>OVANÅKER</t>
        </is>
      </c>
      <c r="F1523" t="inlineStr">
        <is>
          <t>Bergvik skog väst AB</t>
        </is>
      </c>
      <c r="G1523" t="n">
        <v>11.1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23143-2025</t>
        </is>
      </c>
      <c r="B1524" s="1" t="n">
        <v>45791</v>
      </c>
      <c r="C1524" s="1" t="n">
        <v>45838</v>
      </c>
      <c r="D1524" t="inlineStr">
        <is>
          <t>GÄVLEBORGS LÄN</t>
        </is>
      </c>
      <c r="E1524" t="inlineStr">
        <is>
          <t>OVANÅKER</t>
        </is>
      </c>
      <c r="F1524" t="inlineStr">
        <is>
          <t>Bergvik skog väst AB</t>
        </is>
      </c>
      <c r="G1524" t="n">
        <v>6.1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23167-2025</t>
        </is>
      </c>
      <c r="B1525" s="1" t="n">
        <v>45791</v>
      </c>
      <c r="C1525" s="1" t="n">
        <v>45838</v>
      </c>
      <c r="D1525" t="inlineStr">
        <is>
          <t>GÄVLEBORGS LÄN</t>
        </is>
      </c>
      <c r="E1525" t="inlineStr">
        <is>
          <t>OVANÅKER</t>
        </is>
      </c>
      <c r="F1525" t="inlineStr">
        <is>
          <t>Bergvik skog väst AB</t>
        </is>
      </c>
      <c r="G1525" t="n">
        <v>4.7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23217-2025</t>
        </is>
      </c>
      <c r="B1526" s="1" t="n">
        <v>45791</v>
      </c>
      <c r="C1526" s="1" t="n">
        <v>45838</v>
      </c>
      <c r="D1526" t="inlineStr">
        <is>
          <t>GÄVLEBORGS LÄN</t>
        </is>
      </c>
      <c r="E1526" t="inlineStr">
        <is>
          <t>OVANÅKER</t>
        </is>
      </c>
      <c r="F1526" t="inlineStr">
        <is>
          <t>Bergvik skog väst AB</t>
        </is>
      </c>
      <c r="G1526" t="n">
        <v>1.3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23244-2025</t>
        </is>
      </c>
      <c r="B1527" s="1" t="n">
        <v>45791</v>
      </c>
      <c r="C1527" s="1" t="n">
        <v>45838</v>
      </c>
      <c r="D1527" t="inlineStr">
        <is>
          <t>GÄVLEBORGS LÄN</t>
        </is>
      </c>
      <c r="E1527" t="inlineStr">
        <is>
          <t>OVANÅKER</t>
        </is>
      </c>
      <c r="G1527" t="n">
        <v>0.7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23140-2025</t>
        </is>
      </c>
      <c r="B1528" s="1" t="n">
        <v>45791</v>
      </c>
      <c r="C1528" s="1" t="n">
        <v>45838</v>
      </c>
      <c r="D1528" t="inlineStr">
        <is>
          <t>GÄVLEBORGS LÄN</t>
        </is>
      </c>
      <c r="E1528" t="inlineStr">
        <is>
          <t>OVANÅKER</t>
        </is>
      </c>
      <c r="G1528" t="n">
        <v>1.8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23176-2025</t>
        </is>
      </c>
      <c r="B1529" s="1" t="n">
        <v>45791</v>
      </c>
      <c r="C1529" s="1" t="n">
        <v>45838</v>
      </c>
      <c r="D1529" t="inlineStr">
        <is>
          <t>GÄVLEBORGS LÄN</t>
        </is>
      </c>
      <c r="E1529" t="inlineStr">
        <is>
          <t>OVANÅKER</t>
        </is>
      </c>
      <c r="F1529" t="inlineStr">
        <is>
          <t>Bergvik skog väst AB</t>
        </is>
      </c>
      <c r="G1529" t="n">
        <v>2.7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23178-2025</t>
        </is>
      </c>
      <c r="B1530" s="1" t="n">
        <v>45791</v>
      </c>
      <c r="C1530" s="1" t="n">
        <v>45838</v>
      </c>
      <c r="D1530" t="inlineStr">
        <is>
          <t>GÄVLEBORGS LÄN</t>
        </is>
      </c>
      <c r="E1530" t="inlineStr">
        <is>
          <t>OVANÅKER</t>
        </is>
      </c>
      <c r="F1530" t="inlineStr">
        <is>
          <t>Bergvik skog väst AB</t>
        </is>
      </c>
      <c r="G1530" t="n">
        <v>5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23106-2025</t>
        </is>
      </c>
      <c r="B1531" s="1" t="n">
        <v>45791</v>
      </c>
      <c r="C1531" s="1" t="n">
        <v>45838</v>
      </c>
      <c r="D1531" t="inlineStr">
        <is>
          <t>GÄVLEBORGS LÄN</t>
        </is>
      </c>
      <c r="E1531" t="inlineStr">
        <is>
          <t>OVANÅKER</t>
        </is>
      </c>
      <c r="F1531" t="inlineStr">
        <is>
          <t>Bergvik skog väst AB</t>
        </is>
      </c>
      <c r="G1531" t="n">
        <v>3.8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23098-2025</t>
        </is>
      </c>
      <c r="B1532" s="1" t="n">
        <v>45791</v>
      </c>
      <c r="C1532" s="1" t="n">
        <v>45838</v>
      </c>
      <c r="D1532" t="inlineStr">
        <is>
          <t>GÄVLEBORGS LÄN</t>
        </is>
      </c>
      <c r="E1532" t="inlineStr">
        <is>
          <t>OVANÅKER</t>
        </is>
      </c>
      <c r="F1532" t="inlineStr">
        <is>
          <t>Bergvik skog väst AB</t>
        </is>
      </c>
      <c r="G1532" t="n">
        <v>1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23242-2025</t>
        </is>
      </c>
      <c r="B1533" s="1" t="n">
        <v>45791</v>
      </c>
      <c r="C1533" s="1" t="n">
        <v>45838</v>
      </c>
      <c r="D1533" t="inlineStr">
        <is>
          <t>GÄVLEBORGS LÄN</t>
        </is>
      </c>
      <c r="E1533" t="inlineStr">
        <is>
          <t>OVANÅKER</t>
        </is>
      </c>
      <c r="G1533" t="n">
        <v>0.7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23416-2025</t>
        </is>
      </c>
      <c r="B1534" s="1" t="n">
        <v>45792</v>
      </c>
      <c r="C1534" s="1" t="n">
        <v>45838</v>
      </c>
      <c r="D1534" t="inlineStr">
        <is>
          <t>GÄVLEBORGS LÄN</t>
        </is>
      </c>
      <c r="E1534" t="inlineStr">
        <is>
          <t>OVANÅKER</t>
        </is>
      </c>
      <c r="F1534" t="inlineStr">
        <is>
          <t>Bergvik skog väst AB</t>
        </is>
      </c>
      <c r="G1534" t="n">
        <v>4.4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23434-2025</t>
        </is>
      </c>
      <c r="B1535" s="1" t="n">
        <v>45792</v>
      </c>
      <c r="C1535" s="1" t="n">
        <v>45838</v>
      </c>
      <c r="D1535" t="inlineStr">
        <is>
          <t>GÄVLEBORGS LÄN</t>
        </is>
      </c>
      <c r="E1535" t="inlineStr">
        <is>
          <t>OVANÅKER</t>
        </is>
      </c>
      <c r="F1535" t="inlineStr">
        <is>
          <t>Bergvik skog väst AB</t>
        </is>
      </c>
      <c r="G1535" t="n">
        <v>14.6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23424-2025</t>
        </is>
      </c>
      <c r="B1536" s="1" t="n">
        <v>45792</v>
      </c>
      <c r="C1536" s="1" t="n">
        <v>45838</v>
      </c>
      <c r="D1536" t="inlineStr">
        <is>
          <t>GÄVLEBORGS LÄN</t>
        </is>
      </c>
      <c r="E1536" t="inlineStr">
        <is>
          <t>OVANÅKER</t>
        </is>
      </c>
      <c r="F1536" t="inlineStr">
        <is>
          <t>Bergvik skog väst AB</t>
        </is>
      </c>
      <c r="G1536" t="n">
        <v>0.4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24860-2025</t>
        </is>
      </c>
      <c r="B1537" s="1" t="n">
        <v>45799</v>
      </c>
      <c r="C1537" s="1" t="n">
        <v>45838</v>
      </c>
      <c r="D1537" t="inlineStr">
        <is>
          <t>GÄVLEBORGS LÄN</t>
        </is>
      </c>
      <c r="E1537" t="inlineStr">
        <is>
          <t>OVANÅKER</t>
        </is>
      </c>
      <c r="G1537" t="n">
        <v>2.1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25022-2025</t>
        </is>
      </c>
      <c r="B1538" s="1" t="n">
        <v>45799</v>
      </c>
      <c r="C1538" s="1" t="n">
        <v>45838</v>
      </c>
      <c r="D1538" t="inlineStr">
        <is>
          <t>GÄVLEBORGS LÄN</t>
        </is>
      </c>
      <c r="E1538" t="inlineStr">
        <is>
          <t>OVANÅKER</t>
        </is>
      </c>
      <c r="F1538" t="inlineStr">
        <is>
          <t>Bergvik skog väst AB</t>
        </is>
      </c>
      <c r="G1538" t="n">
        <v>4.2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25082-2025</t>
        </is>
      </c>
      <c r="B1539" s="1" t="n">
        <v>45800</v>
      </c>
      <c r="C1539" s="1" t="n">
        <v>45838</v>
      </c>
      <c r="D1539" t="inlineStr">
        <is>
          <t>GÄVLEBORGS LÄN</t>
        </is>
      </c>
      <c r="E1539" t="inlineStr">
        <is>
          <t>OVANÅKER</t>
        </is>
      </c>
      <c r="F1539" t="inlineStr">
        <is>
          <t>Bergvik skog väst AB</t>
        </is>
      </c>
      <c r="G1539" t="n">
        <v>1.1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25110-2025</t>
        </is>
      </c>
      <c r="B1540" s="1" t="n">
        <v>45800</v>
      </c>
      <c r="C1540" s="1" t="n">
        <v>45838</v>
      </c>
      <c r="D1540" t="inlineStr">
        <is>
          <t>GÄVLEBORGS LÄN</t>
        </is>
      </c>
      <c r="E1540" t="inlineStr">
        <is>
          <t>OVANÅKER</t>
        </is>
      </c>
      <c r="F1540" t="inlineStr">
        <is>
          <t>Bergvik skog väst AB</t>
        </is>
      </c>
      <c r="G1540" t="n">
        <v>10.1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25337-2025</t>
        </is>
      </c>
      <c r="B1541" s="1" t="n">
        <v>45800</v>
      </c>
      <c r="C1541" s="1" t="n">
        <v>45838</v>
      </c>
      <c r="D1541" t="inlineStr">
        <is>
          <t>GÄVLEBORGS LÄN</t>
        </is>
      </c>
      <c r="E1541" t="inlineStr">
        <is>
          <t>OVANÅKER</t>
        </is>
      </c>
      <c r="F1541" t="inlineStr">
        <is>
          <t>Bergvik skog väst AB</t>
        </is>
      </c>
      <c r="G1541" t="n">
        <v>4.5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25346-2025</t>
        </is>
      </c>
      <c r="B1542" s="1" t="n">
        <v>45800</v>
      </c>
      <c r="C1542" s="1" t="n">
        <v>45838</v>
      </c>
      <c r="D1542" t="inlineStr">
        <is>
          <t>GÄVLEBORGS LÄN</t>
        </is>
      </c>
      <c r="E1542" t="inlineStr">
        <is>
          <t>OVANÅKER</t>
        </is>
      </c>
      <c r="F1542" t="inlineStr">
        <is>
          <t>Bergvik skog väst AB</t>
        </is>
      </c>
      <c r="G1542" t="n">
        <v>2.5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25283-2025</t>
        </is>
      </c>
      <c r="B1543" s="1" t="n">
        <v>45800</v>
      </c>
      <c r="C1543" s="1" t="n">
        <v>45838</v>
      </c>
      <c r="D1543" t="inlineStr">
        <is>
          <t>GÄVLEBORGS LÄN</t>
        </is>
      </c>
      <c r="E1543" t="inlineStr">
        <is>
          <t>OVANÅKER</t>
        </is>
      </c>
      <c r="F1543" t="inlineStr">
        <is>
          <t>Bergvik skog öst AB</t>
        </is>
      </c>
      <c r="G1543" t="n">
        <v>2.4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25193-2025</t>
        </is>
      </c>
      <c r="B1544" s="1" t="n">
        <v>45800</v>
      </c>
      <c r="C1544" s="1" t="n">
        <v>45838</v>
      </c>
      <c r="D1544" t="inlineStr">
        <is>
          <t>GÄVLEBORGS LÄN</t>
        </is>
      </c>
      <c r="E1544" t="inlineStr">
        <is>
          <t>OVANÅKER</t>
        </is>
      </c>
      <c r="F1544" t="inlineStr">
        <is>
          <t>Bergvik skog väst AB</t>
        </is>
      </c>
      <c r="G1544" t="n">
        <v>0.8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25278-2025</t>
        </is>
      </c>
      <c r="B1545" s="1" t="n">
        <v>45800</v>
      </c>
      <c r="C1545" s="1" t="n">
        <v>45838</v>
      </c>
      <c r="D1545" t="inlineStr">
        <is>
          <t>GÄVLEBORGS LÄN</t>
        </is>
      </c>
      <c r="E1545" t="inlineStr">
        <is>
          <t>OVANÅKER</t>
        </is>
      </c>
      <c r="F1545" t="inlineStr">
        <is>
          <t>Bergvik skog öst AB</t>
        </is>
      </c>
      <c r="G1545" t="n">
        <v>6.1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25289-2025</t>
        </is>
      </c>
      <c r="B1546" s="1" t="n">
        <v>45800</v>
      </c>
      <c r="C1546" s="1" t="n">
        <v>45838</v>
      </c>
      <c r="D1546" t="inlineStr">
        <is>
          <t>GÄVLEBORGS LÄN</t>
        </is>
      </c>
      <c r="E1546" t="inlineStr">
        <is>
          <t>OVANÅKER</t>
        </is>
      </c>
      <c r="F1546" t="inlineStr">
        <is>
          <t>Bergvik skog öst AB</t>
        </is>
      </c>
      <c r="G1546" t="n">
        <v>0.4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25291-2025</t>
        </is>
      </c>
      <c r="B1547" s="1" t="n">
        <v>45800</v>
      </c>
      <c r="C1547" s="1" t="n">
        <v>45838</v>
      </c>
      <c r="D1547" t="inlineStr">
        <is>
          <t>GÄVLEBORGS LÄN</t>
        </is>
      </c>
      <c r="E1547" t="inlineStr">
        <is>
          <t>OVANÅKER</t>
        </is>
      </c>
      <c r="F1547" t="inlineStr">
        <is>
          <t>Bergvik skog väst AB</t>
        </is>
      </c>
      <c r="G1547" t="n">
        <v>3.9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25408-2025</t>
        </is>
      </c>
      <c r="B1548" s="1" t="n">
        <v>45800</v>
      </c>
      <c r="C1548" s="1" t="n">
        <v>45838</v>
      </c>
      <c r="D1548" t="inlineStr">
        <is>
          <t>GÄVLEBORGS LÄN</t>
        </is>
      </c>
      <c r="E1548" t="inlineStr">
        <is>
          <t>OVANÅKER</t>
        </is>
      </c>
      <c r="F1548" t="inlineStr">
        <is>
          <t>Bergvik skog öst AB</t>
        </is>
      </c>
      <c r="G1548" t="n">
        <v>1.8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25104-2025</t>
        </is>
      </c>
      <c r="B1549" s="1" t="n">
        <v>45800</v>
      </c>
      <c r="C1549" s="1" t="n">
        <v>45838</v>
      </c>
      <c r="D1549" t="inlineStr">
        <is>
          <t>GÄVLEBORGS LÄN</t>
        </is>
      </c>
      <c r="E1549" t="inlineStr">
        <is>
          <t>OVANÅKER</t>
        </is>
      </c>
      <c r="F1549" t="inlineStr">
        <is>
          <t>Bergvik skog väst AB</t>
        </is>
      </c>
      <c r="G1549" t="n">
        <v>4.3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25151-2025</t>
        </is>
      </c>
      <c r="B1550" s="1" t="n">
        <v>45800</v>
      </c>
      <c r="C1550" s="1" t="n">
        <v>45838</v>
      </c>
      <c r="D1550" t="inlineStr">
        <is>
          <t>GÄVLEBORGS LÄN</t>
        </is>
      </c>
      <c r="E1550" t="inlineStr">
        <is>
          <t>OVANÅKER</t>
        </is>
      </c>
      <c r="G1550" t="n">
        <v>1.6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25292-2025</t>
        </is>
      </c>
      <c r="B1551" s="1" t="n">
        <v>45800</v>
      </c>
      <c r="C1551" s="1" t="n">
        <v>45838</v>
      </c>
      <c r="D1551" t="inlineStr">
        <is>
          <t>GÄVLEBORGS LÄN</t>
        </is>
      </c>
      <c r="E1551" t="inlineStr">
        <is>
          <t>OVANÅKER</t>
        </is>
      </c>
      <c r="F1551" t="inlineStr">
        <is>
          <t>Bergvik skog öst AB</t>
        </is>
      </c>
      <c r="G1551" t="n">
        <v>2.2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25130-2025</t>
        </is>
      </c>
      <c r="B1552" s="1" t="n">
        <v>45800</v>
      </c>
      <c r="C1552" s="1" t="n">
        <v>45838</v>
      </c>
      <c r="D1552" t="inlineStr">
        <is>
          <t>GÄVLEBORGS LÄN</t>
        </is>
      </c>
      <c r="E1552" t="inlineStr">
        <is>
          <t>OVANÅKER</t>
        </is>
      </c>
      <c r="F1552" t="inlineStr">
        <is>
          <t>Bergvik skog väst AB</t>
        </is>
      </c>
      <c r="G1552" t="n">
        <v>8.699999999999999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25108-2025</t>
        </is>
      </c>
      <c r="B1553" s="1" t="n">
        <v>45800</v>
      </c>
      <c r="C1553" s="1" t="n">
        <v>45838</v>
      </c>
      <c r="D1553" t="inlineStr">
        <is>
          <t>GÄVLEBORGS LÄN</t>
        </is>
      </c>
      <c r="E1553" t="inlineStr">
        <is>
          <t>OVANÅKER</t>
        </is>
      </c>
      <c r="F1553" t="inlineStr">
        <is>
          <t>Bergvik skog väst AB</t>
        </is>
      </c>
      <c r="G1553" t="n">
        <v>2.1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25281-2025</t>
        </is>
      </c>
      <c r="B1554" s="1" t="n">
        <v>45800</v>
      </c>
      <c r="C1554" s="1" t="n">
        <v>45838</v>
      </c>
      <c r="D1554" t="inlineStr">
        <is>
          <t>GÄVLEBORGS LÄN</t>
        </is>
      </c>
      <c r="E1554" t="inlineStr">
        <is>
          <t>OVANÅKER</t>
        </is>
      </c>
      <c r="F1554" t="inlineStr">
        <is>
          <t>Bergvik skog öst AB</t>
        </is>
      </c>
      <c r="G1554" t="n">
        <v>1.4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25557-2025</t>
        </is>
      </c>
      <c r="B1555" s="1" t="n">
        <v>45803</v>
      </c>
      <c r="C1555" s="1" t="n">
        <v>45838</v>
      </c>
      <c r="D1555" t="inlineStr">
        <is>
          <t>GÄVLEBORGS LÄN</t>
        </is>
      </c>
      <c r="E1555" t="inlineStr">
        <is>
          <t>OVANÅKER</t>
        </is>
      </c>
      <c r="G1555" t="n">
        <v>4.8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25650-2025</t>
        </is>
      </c>
      <c r="B1556" s="1" t="n">
        <v>45803</v>
      </c>
      <c r="C1556" s="1" t="n">
        <v>45838</v>
      </c>
      <c r="D1556" t="inlineStr">
        <is>
          <t>GÄVLEBORGS LÄN</t>
        </is>
      </c>
      <c r="E1556" t="inlineStr">
        <is>
          <t>OVANÅKER</t>
        </is>
      </c>
      <c r="G1556" t="n">
        <v>6.1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25965-2025</t>
        </is>
      </c>
      <c r="B1557" s="1" t="n">
        <v>45804</v>
      </c>
      <c r="C1557" s="1" t="n">
        <v>45838</v>
      </c>
      <c r="D1557" t="inlineStr">
        <is>
          <t>GÄVLEBORGS LÄN</t>
        </is>
      </c>
      <c r="E1557" t="inlineStr">
        <is>
          <t>OVANÅKER</t>
        </is>
      </c>
      <c r="G1557" t="n">
        <v>1.4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26276-2025</t>
        </is>
      </c>
      <c r="B1558" s="1" t="n">
        <v>45805</v>
      </c>
      <c r="C1558" s="1" t="n">
        <v>45838</v>
      </c>
      <c r="D1558" t="inlineStr">
        <is>
          <t>GÄVLEBORGS LÄN</t>
        </is>
      </c>
      <c r="E1558" t="inlineStr">
        <is>
          <t>OVANÅKER</t>
        </is>
      </c>
      <c r="G1558" t="n">
        <v>2.1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26252-2025</t>
        </is>
      </c>
      <c r="B1559" s="1" t="n">
        <v>45805</v>
      </c>
      <c r="C1559" s="1" t="n">
        <v>45838</v>
      </c>
      <c r="D1559" t="inlineStr">
        <is>
          <t>GÄVLEBORGS LÄN</t>
        </is>
      </c>
      <c r="E1559" t="inlineStr">
        <is>
          <t>OVANÅKER</t>
        </is>
      </c>
      <c r="G1559" t="n">
        <v>2.8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26062-2025</t>
        </is>
      </c>
      <c r="B1560" s="1" t="n">
        <v>45805</v>
      </c>
      <c r="C1560" s="1" t="n">
        <v>45838</v>
      </c>
      <c r="D1560" t="inlineStr">
        <is>
          <t>GÄVLEBORGS LÄN</t>
        </is>
      </c>
      <c r="E1560" t="inlineStr">
        <is>
          <t>OVANÅKER</t>
        </is>
      </c>
      <c r="G1560" t="n">
        <v>3.5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26304-2025</t>
        </is>
      </c>
      <c r="B1561" s="1" t="n">
        <v>45805</v>
      </c>
      <c r="C1561" s="1" t="n">
        <v>45838</v>
      </c>
      <c r="D1561" t="inlineStr">
        <is>
          <t>GÄVLEBORGS LÄN</t>
        </is>
      </c>
      <c r="E1561" t="inlineStr">
        <is>
          <t>OVANÅKER</t>
        </is>
      </c>
      <c r="G1561" t="n">
        <v>3.4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26316-2025</t>
        </is>
      </c>
      <c r="B1562" s="1" t="n">
        <v>45805</v>
      </c>
      <c r="C1562" s="1" t="n">
        <v>45838</v>
      </c>
      <c r="D1562" t="inlineStr">
        <is>
          <t>GÄVLEBORGS LÄN</t>
        </is>
      </c>
      <c r="E1562" t="inlineStr">
        <is>
          <t>OVANÅKER</t>
        </is>
      </c>
      <c r="G1562" t="n">
        <v>4.2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26324-2025</t>
        </is>
      </c>
      <c r="B1563" s="1" t="n">
        <v>45805</v>
      </c>
      <c r="C1563" s="1" t="n">
        <v>45838</v>
      </c>
      <c r="D1563" t="inlineStr">
        <is>
          <t>GÄVLEBORGS LÄN</t>
        </is>
      </c>
      <c r="E1563" t="inlineStr">
        <is>
          <t>OVANÅKER</t>
        </is>
      </c>
      <c r="G1563" t="n">
        <v>1.4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26581-2025</t>
        </is>
      </c>
      <c r="B1564" s="1" t="n">
        <v>45807</v>
      </c>
      <c r="C1564" s="1" t="n">
        <v>45838</v>
      </c>
      <c r="D1564" t="inlineStr">
        <is>
          <t>GÄVLEBORGS LÄN</t>
        </is>
      </c>
      <c r="E1564" t="inlineStr">
        <is>
          <t>OVANÅKER</t>
        </is>
      </c>
      <c r="G1564" t="n">
        <v>5.2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26582-2025</t>
        </is>
      </c>
      <c r="B1565" s="1" t="n">
        <v>45807</v>
      </c>
      <c r="C1565" s="1" t="n">
        <v>45838</v>
      </c>
      <c r="D1565" t="inlineStr">
        <is>
          <t>GÄVLEBORGS LÄN</t>
        </is>
      </c>
      <c r="E1565" t="inlineStr">
        <is>
          <t>OVANÅKER</t>
        </is>
      </c>
      <c r="G1565" t="n">
        <v>1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26583-2025</t>
        </is>
      </c>
      <c r="B1566" s="1" t="n">
        <v>45807</v>
      </c>
      <c r="C1566" s="1" t="n">
        <v>45838</v>
      </c>
      <c r="D1566" t="inlineStr">
        <is>
          <t>GÄVLEBORGS LÄN</t>
        </is>
      </c>
      <c r="E1566" t="inlineStr">
        <is>
          <t>OVANÅKER</t>
        </is>
      </c>
      <c r="G1566" t="n">
        <v>1.6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26627-2025</t>
        </is>
      </c>
      <c r="B1567" s="1" t="n">
        <v>45810</v>
      </c>
      <c r="C1567" s="1" t="n">
        <v>45838</v>
      </c>
      <c r="D1567" t="inlineStr">
        <is>
          <t>GÄVLEBORGS LÄN</t>
        </is>
      </c>
      <c r="E1567" t="inlineStr">
        <is>
          <t>OVANÅKER</t>
        </is>
      </c>
      <c r="F1567" t="inlineStr">
        <is>
          <t>Kyrkan</t>
        </is>
      </c>
      <c r="G1567" t="n">
        <v>5.9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26654-2025</t>
        </is>
      </c>
      <c r="B1568" s="1" t="n">
        <v>45810</v>
      </c>
      <c r="C1568" s="1" t="n">
        <v>45838</v>
      </c>
      <c r="D1568" t="inlineStr">
        <is>
          <t>GÄVLEBORGS LÄN</t>
        </is>
      </c>
      <c r="E1568" t="inlineStr">
        <is>
          <t>OVANÅKER</t>
        </is>
      </c>
      <c r="F1568" t="inlineStr">
        <is>
          <t>Kyrkan</t>
        </is>
      </c>
      <c r="G1568" t="n">
        <v>7.1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27155-2025</t>
        </is>
      </c>
      <c r="B1569" s="1" t="n">
        <v>45812</v>
      </c>
      <c r="C1569" s="1" t="n">
        <v>45838</v>
      </c>
      <c r="D1569" t="inlineStr">
        <is>
          <t>GÄVLEBORGS LÄN</t>
        </is>
      </c>
      <c r="E1569" t="inlineStr">
        <is>
          <t>OVANÅKER</t>
        </is>
      </c>
      <c r="G1569" t="n">
        <v>6.3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27178-2025</t>
        </is>
      </c>
      <c r="B1570" s="1" t="n">
        <v>45812</v>
      </c>
      <c r="C1570" s="1" t="n">
        <v>45838</v>
      </c>
      <c r="D1570" t="inlineStr">
        <is>
          <t>GÄVLEBORGS LÄN</t>
        </is>
      </c>
      <c r="E1570" t="inlineStr">
        <is>
          <t>OVANÅKER</t>
        </is>
      </c>
      <c r="G1570" t="n">
        <v>13.1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27628-2025</t>
        </is>
      </c>
      <c r="B1571" s="1" t="n">
        <v>45813</v>
      </c>
      <c r="C1571" s="1" t="n">
        <v>45838</v>
      </c>
      <c r="D1571" t="inlineStr">
        <is>
          <t>GÄVLEBORGS LÄN</t>
        </is>
      </c>
      <c r="E1571" t="inlineStr">
        <is>
          <t>OVANÅKER</t>
        </is>
      </c>
      <c r="F1571" t="inlineStr">
        <is>
          <t>Bergvik skog väst AB</t>
        </is>
      </c>
      <c r="G1571" t="n">
        <v>5.8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27631-2025</t>
        </is>
      </c>
      <c r="B1572" s="1" t="n">
        <v>45813</v>
      </c>
      <c r="C1572" s="1" t="n">
        <v>45838</v>
      </c>
      <c r="D1572" t="inlineStr">
        <is>
          <t>GÄVLEBORGS LÄN</t>
        </is>
      </c>
      <c r="E1572" t="inlineStr">
        <is>
          <t>OVANÅKER</t>
        </is>
      </c>
      <c r="F1572" t="inlineStr">
        <is>
          <t>Bergvik skog väst AB</t>
        </is>
      </c>
      <c r="G1572" t="n">
        <v>5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27499-2025</t>
        </is>
      </c>
      <c r="B1573" s="1" t="n">
        <v>45813</v>
      </c>
      <c r="C1573" s="1" t="n">
        <v>45838</v>
      </c>
      <c r="D1573" t="inlineStr">
        <is>
          <t>GÄVLEBORGS LÄN</t>
        </is>
      </c>
      <c r="E1573" t="inlineStr">
        <is>
          <t>OVANÅKER</t>
        </is>
      </c>
      <c r="G1573" t="n">
        <v>2.2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27623-2025</t>
        </is>
      </c>
      <c r="B1574" s="1" t="n">
        <v>45813</v>
      </c>
      <c r="C1574" s="1" t="n">
        <v>45838</v>
      </c>
      <c r="D1574" t="inlineStr">
        <is>
          <t>GÄVLEBORGS LÄN</t>
        </is>
      </c>
      <c r="E1574" t="inlineStr">
        <is>
          <t>OVANÅKER</t>
        </is>
      </c>
      <c r="F1574" t="inlineStr">
        <is>
          <t>Bergvik skog väst AB</t>
        </is>
      </c>
      <c r="G1574" t="n">
        <v>34.7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27668-2025</t>
        </is>
      </c>
      <c r="B1575" s="1" t="n">
        <v>45813</v>
      </c>
      <c r="C1575" s="1" t="n">
        <v>45838</v>
      </c>
      <c r="D1575" t="inlineStr">
        <is>
          <t>GÄVLEBORGS LÄN</t>
        </is>
      </c>
      <c r="E1575" t="inlineStr">
        <is>
          <t>OVANÅKER</t>
        </is>
      </c>
      <c r="G1575" t="n">
        <v>3.8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27521-2025</t>
        </is>
      </c>
      <c r="B1576" s="1" t="n">
        <v>45813</v>
      </c>
      <c r="C1576" s="1" t="n">
        <v>45838</v>
      </c>
      <c r="D1576" t="inlineStr">
        <is>
          <t>GÄVLEBORGS LÄN</t>
        </is>
      </c>
      <c r="E1576" t="inlineStr">
        <is>
          <t>OVANÅKER</t>
        </is>
      </c>
      <c r="F1576" t="inlineStr">
        <is>
          <t>Bergvik skog väst AB</t>
        </is>
      </c>
      <c r="G1576" t="n">
        <v>11.2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27536-2025</t>
        </is>
      </c>
      <c r="B1577" s="1" t="n">
        <v>45813</v>
      </c>
      <c r="C1577" s="1" t="n">
        <v>45838</v>
      </c>
      <c r="D1577" t="inlineStr">
        <is>
          <t>GÄVLEBORGS LÄN</t>
        </is>
      </c>
      <c r="E1577" t="inlineStr">
        <is>
          <t>OVANÅKER</t>
        </is>
      </c>
      <c r="F1577" t="inlineStr">
        <is>
          <t>Bergvik skog väst AB</t>
        </is>
      </c>
      <c r="G1577" t="n">
        <v>4.8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27911-2025</t>
        </is>
      </c>
      <c r="B1578" s="1" t="n">
        <v>45817</v>
      </c>
      <c r="C1578" s="1" t="n">
        <v>45838</v>
      </c>
      <c r="D1578" t="inlineStr">
        <is>
          <t>GÄVLEBORGS LÄN</t>
        </is>
      </c>
      <c r="E1578" t="inlineStr">
        <is>
          <t>OVANÅKER</t>
        </is>
      </c>
      <c r="F1578" t="inlineStr">
        <is>
          <t>Bergvik skog väst AB</t>
        </is>
      </c>
      <c r="G1578" t="n">
        <v>7.7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27903-2025</t>
        </is>
      </c>
      <c r="B1579" s="1" t="n">
        <v>45817</v>
      </c>
      <c r="C1579" s="1" t="n">
        <v>45838</v>
      </c>
      <c r="D1579" t="inlineStr">
        <is>
          <t>GÄVLEBORGS LÄN</t>
        </is>
      </c>
      <c r="E1579" t="inlineStr">
        <is>
          <t>OVANÅKER</t>
        </is>
      </c>
      <c r="F1579" t="inlineStr">
        <is>
          <t>Bergvik skog väst AB</t>
        </is>
      </c>
      <c r="G1579" t="n">
        <v>13.1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27834-2025</t>
        </is>
      </c>
      <c r="B1580" s="1" t="n">
        <v>45817</v>
      </c>
      <c r="C1580" s="1" t="n">
        <v>45838</v>
      </c>
      <c r="D1580" t="inlineStr">
        <is>
          <t>GÄVLEBORGS LÄN</t>
        </is>
      </c>
      <c r="E1580" t="inlineStr">
        <is>
          <t>OVANÅKER</t>
        </is>
      </c>
      <c r="F1580" t="inlineStr">
        <is>
          <t>Bergvik skog väst AB</t>
        </is>
      </c>
      <c r="G1580" t="n">
        <v>6.7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28057-2025</t>
        </is>
      </c>
      <c r="B1581" s="1" t="n">
        <v>45817</v>
      </c>
      <c r="C1581" s="1" t="n">
        <v>45838</v>
      </c>
      <c r="D1581" t="inlineStr">
        <is>
          <t>GÄVLEBORGS LÄN</t>
        </is>
      </c>
      <c r="E1581" t="inlineStr">
        <is>
          <t>OVANÅKER</t>
        </is>
      </c>
      <c r="F1581" t="inlineStr">
        <is>
          <t>Bergvik skog väst AB</t>
        </is>
      </c>
      <c r="G1581" t="n">
        <v>1.9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27964-2025</t>
        </is>
      </c>
      <c r="B1582" s="1" t="n">
        <v>45817</v>
      </c>
      <c r="C1582" s="1" t="n">
        <v>45838</v>
      </c>
      <c r="D1582" t="inlineStr">
        <is>
          <t>GÄVLEBORGS LÄN</t>
        </is>
      </c>
      <c r="E1582" t="inlineStr">
        <is>
          <t>OVANÅKER</t>
        </is>
      </c>
      <c r="F1582" t="inlineStr">
        <is>
          <t>Bergvik skog väst AB</t>
        </is>
      </c>
      <c r="G1582" t="n">
        <v>14.8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27880-2025</t>
        </is>
      </c>
      <c r="B1583" s="1" t="n">
        <v>45817</v>
      </c>
      <c r="C1583" s="1" t="n">
        <v>45838</v>
      </c>
      <c r="D1583" t="inlineStr">
        <is>
          <t>GÄVLEBORGS LÄN</t>
        </is>
      </c>
      <c r="E1583" t="inlineStr">
        <is>
          <t>OVANÅKER</t>
        </is>
      </c>
      <c r="F1583" t="inlineStr">
        <is>
          <t>Bergvik skog väst AB</t>
        </is>
      </c>
      <c r="G1583" t="n">
        <v>16.9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28048-2025</t>
        </is>
      </c>
      <c r="B1584" s="1" t="n">
        <v>45817</v>
      </c>
      <c r="C1584" s="1" t="n">
        <v>45838</v>
      </c>
      <c r="D1584" t="inlineStr">
        <is>
          <t>GÄVLEBORGS LÄN</t>
        </is>
      </c>
      <c r="E1584" t="inlineStr">
        <is>
          <t>OVANÅKER</t>
        </is>
      </c>
      <c r="F1584" t="inlineStr">
        <is>
          <t>Bergvik skog väst AB</t>
        </is>
      </c>
      <c r="G1584" t="n">
        <v>2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28047-2025</t>
        </is>
      </c>
      <c r="B1585" s="1" t="n">
        <v>45817</v>
      </c>
      <c r="C1585" s="1" t="n">
        <v>45838</v>
      </c>
      <c r="D1585" t="inlineStr">
        <is>
          <t>GÄVLEBORGS LÄN</t>
        </is>
      </c>
      <c r="E1585" t="inlineStr">
        <is>
          <t>OVANÅKER</t>
        </is>
      </c>
      <c r="F1585" t="inlineStr">
        <is>
          <t>Holmen skog AB</t>
        </is>
      </c>
      <c r="G1585" t="n">
        <v>13.5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28622-2025</t>
        </is>
      </c>
      <c r="B1586" s="1" t="n">
        <v>45819</v>
      </c>
      <c r="C1586" s="1" t="n">
        <v>45838</v>
      </c>
      <c r="D1586" t="inlineStr">
        <is>
          <t>GÄVLEBORGS LÄN</t>
        </is>
      </c>
      <c r="E1586" t="inlineStr">
        <is>
          <t>OVANÅKER</t>
        </is>
      </c>
      <c r="G1586" t="n">
        <v>1.7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28593-2025</t>
        </is>
      </c>
      <c r="B1587" s="1" t="n">
        <v>45819</v>
      </c>
      <c r="C1587" s="1" t="n">
        <v>45838</v>
      </c>
      <c r="D1587" t="inlineStr">
        <is>
          <t>GÄVLEBORGS LÄN</t>
        </is>
      </c>
      <c r="E1587" t="inlineStr">
        <is>
          <t>OVANÅKER</t>
        </is>
      </c>
      <c r="F1587" t="inlineStr">
        <is>
          <t>Bergvik skog väst AB</t>
        </is>
      </c>
      <c r="G1587" t="n">
        <v>3.2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28626-2025</t>
        </is>
      </c>
      <c r="B1588" s="1" t="n">
        <v>45819</v>
      </c>
      <c r="C1588" s="1" t="n">
        <v>45838</v>
      </c>
      <c r="D1588" t="inlineStr">
        <is>
          <t>GÄVLEBORGS LÄN</t>
        </is>
      </c>
      <c r="E1588" t="inlineStr">
        <is>
          <t>OVANÅKER</t>
        </is>
      </c>
      <c r="F1588" t="inlineStr">
        <is>
          <t>Bergvik skog väst AB</t>
        </is>
      </c>
      <c r="G1588" t="n">
        <v>4.5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28474-2025</t>
        </is>
      </c>
      <c r="B1589" s="1" t="n">
        <v>45819</v>
      </c>
      <c r="C1589" s="1" t="n">
        <v>45838</v>
      </c>
      <c r="D1589" t="inlineStr">
        <is>
          <t>GÄVLEBORGS LÄN</t>
        </is>
      </c>
      <c r="E1589" t="inlineStr">
        <is>
          <t>OVANÅKER</t>
        </is>
      </c>
      <c r="F1589" t="inlineStr">
        <is>
          <t>Bergvik skog väst AB</t>
        </is>
      </c>
      <c r="G1589" t="n">
        <v>3.3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28532-2025</t>
        </is>
      </c>
      <c r="B1590" s="1" t="n">
        <v>45819</v>
      </c>
      <c r="C1590" s="1" t="n">
        <v>45838</v>
      </c>
      <c r="D1590" t="inlineStr">
        <is>
          <t>GÄVLEBORGS LÄN</t>
        </is>
      </c>
      <c r="E1590" t="inlineStr">
        <is>
          <t>OVANÅKER</t>
        </is>
      </c>
      <c r="F1590" t="inlineStr">
        <is>
          <t>Bergvik skog väst AB</t>
        </is>
      </c>
      <c r="G1590" t="n">
        <v>6.3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28562-2025</t>
        </is>
      </c>
      <c r="B1591" s="1" t="n">
        <v>45819</v>
      </c>
      <c r="C1591" s="1" t="n">
        <v>45838</v>
      </c>
      <c r="D1591" t="inlineStr">
        <is>
          <t>GÄVLEBORGS LÄN</t>
        </is>
      </c>
      <c r="E1591" t="inlineStr">
        <is>
          <t>OVANÅKER</t>
        </is>
      </c>
      <c r="F1591" t="inlineStr">
        <is>
          <t>Bergvik skog väst AB</t>
        </is>
      </c>
      <c r="G1591" t="n">
        <v>2.2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28387-2025</t>
        </is>
      </c>
      <c r="B1592" s="1" t="n">
        <v>45819</v>
      </c>
      <c r="C1592" s="1" t="n">
        <v>45838</v>
      </c>
      <c r="D1592" t="inlineStr">
        <is>
          <t>GÄVLEBORGS LÄN</t>
        </is>
      </c>
      <c r="E1592" t="inlineStr">
        <is>
          <t>OVANÅKER</t>
        </is>
      </c>
      <c r="F1592" t="inlineStr">
        <is>
          <t>Holmen skog AB</t>
        </is>
      </c>
      <c r="G1592" t="n">
        <v>10.6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28600-2025</t>
        </is>
      </c>
      <c r="B1593" s="1" t="n">
        <v>45819</v>
      </c>
      <c r="C1593" s="1" t="n">
        <v>45838</v>
      </c>
      <c r="D1593" t="inlineStr">
        <is>
          <t>GÄVLEBORGS LÄN</t>
        </is>
      </c>
      <c r="E1593" t="inlineStr">
        <is>
          <t>OVANÅKER</t>
        </is>
      </c>
      <c r="F1593" t="inlineStr">
        <is>
          <t>Bergvik skog väst AB</t>
        </is>
      </c>
      <c r="G1593" t="n">
        <v>4.2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28434-2025</t>
        </is>
      </c>
      <c r="B1594" s="1" t="n">
        <v>45819</v>
      </c>
      <c r="C1594" s="1" t="n">
        <v>45838</v>
      </c>
      <c r="D1594" t="inlineStr">
        <is>
          <t>GÄVLEBORGS LÄN</t>
        </is>
      </c>
      <c r="E1594" t="inlineStr">
        <is>
          <t>OVANÅKER</t>
        </is>
      </c>
      <c r="F1594" t="inlineStr">
        <is>
          <t>Bergvik skog väst AB</t>
        </is>
      </c>
      <c r="G1594" t="n">
        <v>3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28496-2025</t>
        </is>
      </c>
      <c r="B1595" s="1" t="n">
        <v>45819</v>
      </c>
      <c r="C1595" s="1" t="n">
        <v>45838</v>
      </c>
      <c r="D1595" t="inlineStr">
        <is>
          <t>GÄVLEBORGS LÄN</t>
        </is>
      </c>
      <c r="E1595" t="inlineStr">
        <is>
          <t>OVANÅKER</t>
        </is>
      </c>
      <c r="F1595" t="inlineStr">
        <is>
          <t>Bergvik skog väst AB</t>
        </is>
      </c>
      <c r="G1595" t="n">
        <v>4.7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28585-2025</t>
        </is>
      </c>
      <c r="B1596" s="1" t="n">
        <v>45819</v>
      </c>
      <c r="C1596" s="1" t="n">
        <v>45838</v>
      </c>
      <c r="D1596" t="inlineStr">
        <is>
          <t>GÄVLEBORGS LÄN</t>
        </is>
      </c>
      <c r="E1596" t="inlineStr">
        <is>
          <t>OVANÅKER</t>
        </is>
      </c>
      <c r="F1596" t="inlineStr">
        <is>
          <t>Bergvik skog väst AB</t>
        </is>
      </c>
      <c r="G1596" t="n">
        <v>4.9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28460-2025</t>
        </is>
      </c>
      <c r="B1597" s="1" t="n">
        <v>45819</v>
      </c>
      <c r="C1597" s="1" t="n">
        <v>45838</v>
      </c>
      <c r="D1597" t="inlineStr">
        <is>
          <t>GÄVLEBORGS LÄN</t>
        </is>
      </c>
      <c r="E1597" t="inlineStr">
        <is>
          <t>OVANÅKER</t>
        </is>
      </c>
      <c r="G1597" t="n">
        <v>3.4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28776-2025</t>
        </is>
      </c>
      <c r="B1598" s="1" t="n">
        <v>45820</v>
      </c>
      <c r="C1598" s="1" t="n">
        <v>45838</v>
      </c>
      <c r="D1598" t="inlineStr">
        <is>
          <t>GÄVLEBORGS LÄN</t>
        </is>
      </c>
      <c r="E1598" t="inlineStr">
        <is>
          <t>OVANÅKER</t>
        </is>
      </c>
      <c r="G1598" t="n">
        <v>4.8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28835-2025</t>
        </is>
      </c>
      <c r="B1599" s="1" t="n">
        <v>45820</v>
      </c>
      <c r="C1599" s="1" t="n">
        <v>45838</v>
      </c>
      <c r="D1599" t="inlineStr">
        <is>
          <t>GÄVLEBORGS LÄN</t>
        </is>
      </c>
      <c r="E1599" t="inlineStr">
        <is>
          <t>OVANÅKER</t>
        </is>
      </c>
      <c r="G1599" t="n">
        <v>1.4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29033-2025</t>
        </is>
      </c>
      <c r="B1600" s="1" t="n">
        <v>45821</v>
      </c>
      <c r="C1600" s="1" t="n">
        <v>45838</v>
      </c>
      <c r="D1600" t="inlineStr">
        <is>
          <t>GÄVLEBORGS LÄN</t>
        </is>
      </c>
      <c r="E1600" t="inlineStr">
        <is>
          <t>OVANÅKER</t>
        </is>
      </c>
      <c r="G1600" t="n">
        <v>21.1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29046-2025</t>
        </is>
      </c>
      <c r="B1601" s="1" t="n">
        <v>45821</v>
      </c>
      <c r="C1601" s="1" t="n">
        <v>45838</v>
      </c>
      <c r="D1601" t="inlineStr">
        <is>
          <t>GÄVLEBORGS LÄN</t>
        </is>
      </c>
      <c r="E1601" t="inlineStr">
        <is>
          <t>OVANÅKER</t>
        </is>
      </c>
      <c r="G1601" t="n">
        <v>1.1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29054-2025</t>
        </is>
      </c>
      <c r="B1602" s="1" t="n">
        <v>45821</v>
      </c>
      <c r="C1602" s="1" t="n">
        <v>45838</v>
      </c>
      <c r="D1602" t="inlineStr">
        <is>
          <t>GÄVLEBORGS LÄN</t>
        </is>
      </c>
      <c r="E1602" t="inlineStr">
        <is>
          <t>OVANÅKER</t>
        </is>
      </c>
      <c r="G1602" t="n">
        <v>0.5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29018-2025</t>
        </is>
      </c>
      <c r="B1603" s="1" t="n">
        <v>45821</v>
      </c>
      <c r="C1603" s="1" t="n">
        <v>45838</v>
      </c>
      <c r="D1603" t="inlineStr">
        <is>
          <t>GÄVLEBORGS LÄN</t>
        </is>
      </c>
      <c r="E1603" t="inlineStr">
        <is>
          <t>OVANÅKER</t>
        </is>
      </c>
      <c r="G1603" t="n">
        <v>1.2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29402-2025</t>
        </is>
      </c>
      <c r="B1604" s="1" t="n">
        <v>45824</v>
      </c>
      <c r="C1604" s="1" t="n">
        <v>45838</v>
      </c>
      <c r="D1604" t="inlineStr">
        <is>
          <t>GÄVLEBORGS LÄN</t>
        </is>
      </c>
      <c r="E1604" t="inlineStr">
        <is>
          <t>OVANÅKER</t>
        </is>
      </c>
      <c r="F1604" t="inlineStr">
        <is>
          <t>Holmen skog AB</t>
        </is>
      </c>
      <c r="G1604" t="n">
        <v>3.9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29423-2025</t>
        </is>
      </c>
      <c r="B1605" s="1" t="n">
        <v>45824</v>
      </c>
      <c r="C1605" s="1" t="n">
        <v>45838</v>
      </c>
      <c r="D1605" t="inlineStr">
        <is>
          <t>GÄVLEBORGS LÄN</t>
        </is>
      </c>
      <c r="E1605" t="inlineStr">
        <is>
          <t>OVANÅKER</t>
        </is>
      </c>
      <c r="G1605" t="n">
        <v>2.2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29249-2025</t>
        </is>
      </c>
      <c r="B1606" s="1" t="n">
        <v>45824</v>
      </c>
      <c r="C1606" s="1" t="n">
        <v>45838</v>
      </c>
      <c r="D1606" t="inlineStr">
        <is>
          <t>GÄVLEBORGS LÄN</t>
        </is>
      </c>
      <c r="E1606" t="inlineStr">
        <is>
          <t>OVANÅKER</t>
        </is>
      </c>
      <c r="F1606" t="inlineStr">
        <is>
          <t>Holmen skog AB</t>
        </is>
      </c>
      <c r="G1606" t="n">
        <v>20.7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29614-2025</t>
        </is>
      </c>
      <c r="B1607" s="1" t="n">
        <v>45825</v>
      </c>
      <c r="C1607" s="1" t="n">
        <v>45838</v>
      </c>
      <c r="D1607" t="inlineStr">
        <is>
          <t>GÄVLEBORGS LÄN</t>
        </is>
      </c>
      <c r="E1607" t="inlineStr">
        <is>
          <t>OVANÅKER</t>
        </is>
      </c>
      <c r="F1607" t="inlineStr">
        <is>
          <t>Bergvik skog väst AB</t>
        </is>
      </c>
      <c r="G1607" t="n">
        <v>8.6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29635-2025</t>
        </is>
      </c>
      <c r="B1608" s="1" t="n">
        <v>45825</v>
      </c>
      <c r="C1608" s="1" t="n">
        <v>45838</v>
      </c>
      <c r="D1608" t="inlineStr">
        <is>
          <t>GÄVLEBORGS LÄN</t>
        </is>
      </c>
      <c r="E1608" t="inlineStr">
        <is>
          <t>OVANÅKER</t>
        </is>
      </c>
      <c r="F1608" t="inlineStr">
        <is>
          <t>Bergvik skog väst AB</t>
        </is>
      </c>
      <c r="G1608" t="n">
        <v>2.7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30033-2025</t>
        </is>
      </c>
      <c r="B1609" s="1" t="n">
        <v>45826</v>
      </c>
      <c r="C1609" s="1" t="n">
        <v>45838</v>
      </c>
      <c r="D1609" t="inlineStr">
        <is>
          <t>GÄVLEBORGS LÄN</t>
        </is>
      </c>
      <c r="E1609" t="inlineStr">
        <is>
          <t>OVANÅKER</t>
        </is>
      </c>
      <c r="F1609" t="inlineStr">
        <is>
          <t>Holmen skog AB</t>
        </is>
      </c>
      <c r="G1609" t="n">
        <v>1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30123-2025</t>
        </is>
      </c>
      <c r="B1610" s="1" t="n">
        <v>45826</v>
      </c>
      <c r="C1610" s="1" t="n">
        <v>45838</v>
      </c>
      <c r="D1610" t="inlineStr">
        <is>
          <t>GÄVLEBORGS LÄN</t>
        </is>
      </c>
      <c r="E1610" t="inlineStr">
        <is>
          <t>OVANÅKER</t>
        </is>
      </c>
      <c r="F1610" t="inlineStr">
        <is>
          <t>Bergvik skog väst AB</t>
        </is>
      </c>
      <c r="G1610" t="n">
        <v>2.6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29855-2025</t>
        </is>
      </c>
      <c r="B1611" s="1" t="n">
        <v>45826</v>
      </c>
      <c r="C1611" s="1" t="n">
        <v>45838</v>
      </c>
      <c r="D1611" t="inlineStr">
        <is>
          <t>GÄVLEBORGS LÄN</t>
        </is>
      </c>
      <c r="E1611" t="inlineStr">
        <is>
          <t>OVANÅKER</t>
        </is>
      </c>
      <c r="F1611" t="inlineStr">
        <is>
          <t>Bergvik skog väst AB</t>
        </is>
      </c>
      <c r="G1611" t="n">
        <v>1.2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30013-2025</t>
        </is>
      </c>
      <c r="B1612" s="1" t="n">
        <v>45826</v>
      </c>
      <c r="C1612" s="1" t="n">
        <v>45838</v>
      </c>
      <c r="D1612" t="inlineStr">
        <is>
          <t>GÄVLEBORGS LÄN</t>
        </is>
      </c>
      <c r="E1612" t="inlineStr">
        <is>
          <t>OVANÅKER</t>
        </is>
      </c>
      <c r="F1612" t="inlineStr">
        <is>
          <t>Holmen skog AB</t>
        </is>
      </c>
      <c r="G1612" t="n">
        <v>4.6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29892-2025</t>
        </is>
      </c>
      <c r="B1613" s="1" t="n">
        <v>45826</v>
      </c>
      <c r="C1613" s="1" t="n">
        <v>45838</v>
      </c>
      <c r="D1613" t="inlineStr">
        <is>
          <t>GÄVLEBORGS LÄN</t>
        </is>
      </c>
      <c r="E1613" t="inlineStr">
        <is>
          <t>OVANÅKER</t>
        </is>
      </c>
      <c r="F1613" t="inlineStr">
        <is>
          <t>Holmen skog AB</t>
        </is>
      </c>
      <c r="G1613" t="n">
        <v>10.5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29931-2025</t>
        </is>
      </c>
      <c r="B1614" s="1" t="n">
        <v>45826</v>
      </c>
      <c r="C1614" s="1" t="n">
        <v>45838</v>
      </c>
      <c r="D1614" t="inlineStr">
        <is>
          <t>GÄVLEBORGS LÄN</t>
        </is>
      </c>
      <c r="E1614" t="inlineStr">
        <is>
          <t>OVANÅKER</t>
        </is>
      </c>
      <c r="F1614" t="inlineStr">
        <is>
          <t>Bergvik skog öst AB</t>
        </is>
      </c>
      <c r="G1614" t="n">
        <v>10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30029-2025</t>
        </is>
      </c>
      <c r="B1615" s="1" t="n">
        <v>45826</v>
      </c>
      <c r="C1615" s="1" t="n">
        <v>45838</v>
      </c>
      <c r="D1615" t="inlineStr">
        <is>
          <t>GÄVLEBORGS LÄN</t>
        </is>
      </c>
      <c r="E1615" t="inlineStr">
        <is>
          <t>OVANÅKER</t>
        </is>
      </c>
      <c r="G1615" t="n">
        <v>0.6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30044-2025</t>
        </is>
      </c>
      <c r="B1616" s="1" t="n">
        <v>45826</v>
      </c>
      <c r="C1616" s="1" t="n">
        <v>45838</v>
      </c>
      <c r="D1616" t="inlineStr">
        <is>
          <t>GÄVLEBORGS LÄN</t>
        </is>
      </c>
      <c r="E1616" t="inlineStr">
        <is>
          <t>OVANÅKER</t>
        </is>
      </c>
      <c r="F1616" t="inlineStr">
        <is>
          <t>Bergvik skog öst AB</t>
        </is>
      </c>
      <c r="G1616" t="n">
        <v>0.9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29922-2025</t>
        </is>
      </c>
      <c r="B1617" s="1" t="n">
        <v>45826</v>
      </c>
      <c r="C1617" s="1" t="n">
        <v>45838</v>
      </c>
      <c r="D1617" t="inlineStr">
        <is>
          <t>GÄVLEBORGS LÄN</t>
        </is>
      </c>
      <c r="E1617" t="inlineStr">
        <is>
          <t>OVANÅKER</t>
        </is>
      </c>
      <c r="F1617" t="inlineStr">
        <is>
          <t>Holmen skog AB</t>
        </is>
      </c>
      <c r="G1617" t="n">
        <v>30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29887-2025</t>
        </is>
      </c>
      <c r="B1618" s="1" t="n">
        <v>45826</v>
      </c>
      <c r="C1618" s="1" t="n">
        <v>45838</v>
      </c>
      <c r="D1618" t="inlineStr">
        <is>
          <t>GÄVLEBORGS LÄN</t>
        </is>
      </c>
      <c r="E1618" t="inlineStr">
        <is>
          <t>OVANÅKER</t>
        </is>
      </c>
      <c r="F1618" t="inlineStr">
        <is>
          <t>Holmen skog AB</t>
        </is>
      </c>
      <c r="G1618" t="n">
        <v>13.7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29920-2025</t>
        </is>
      </c>
      <c r="B1619" s="1" t="n">
        <v>45826</v>
      </c>
      <c r="C1619" s="1" t="n">
        <v>45838</v>
      </c>
      <c r="D1619" t="inlineStr">
        <is>
          <t>GÄVLEBORGS LÄN</t>
        </is>
      </c>
      <c r="E1619" t="inlineStr">
        <is>
          <t>OVANÅKER</t>
        </is>
      </c>
      <c r="G1619" t="n">
        <v>1.4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30149-2025</t>
        </is>
      </c>
      <c r="B1620" s="1" t="n">
        <v>45827</v>
      </c>
      <c r="C1620" s="1" t="n">
        <v>45838</v>
      </c>
      <c r="D1620" t="inlineStr">
        <is>
          <t>GÄVLEBORGS LÄN</t>
        </is>
      </c>
      <c r="E1620" t="inlineStr">
        <is>
          <t>OVANÅKER</t>
        </is>
      </c>
      <c r="F1620" t="inlineStr">
        <is>
          <t>Bergvik skog väst AB</t>
        </is>
      </c>
      <c r="G1620" t="n">
        <v>12.1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30276-2025</t>
        </is>
      </c>
      <c r="B1621" s="1" t="n">
        <v>45827</v>
      </c>
      <c r="C1621" s="1" t="n">
        <v>45838</v>
      </c>
      <c r="D1621" t="inlineStr">
        <is>
          <t>GÄVLEBORGS LÄN</t>
        </is>
      </c>
      <c r="E1621" t="inlineStr">
        <is>
          <t>OVANÅKER</t>
        </is>
      </c>
      <c r="G1621" t="n">
        <v>6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30156-2025</t>
        </is>
      </c>
      <c r="B1622" s="1" t="n">
        <v>45827</v>
      </c>
      <c r="C1622" s="1" t="n">
        <v>45838</v>
      </c>
      <c r="D1622" t="inlineStr">
        <is>
          <t>GÄVLEBORGS LÄN</t>
        </is>
      </c>
      <c r="E1622" t="inlineStr">
        <is>
          <t>OVANÅKER</t>
        </is>
      </c>
      <c r="F1622" t="inlineStr">
        <is>
          <t>Holmen skog AB</t>
        </is>
      </c>
      <c r="G1622" t="n">
        <v>29.1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30382-2025</t>
        </is>
      </c>
      <c r="B1623" s="1" t="n">
        <v>45827</v>
      </c>
      <c r="C1623" s="1" t="n">
        <v>45838</v>
      </c>
      <c r="D1623" t="inlineStr">
        <is>
          <t>GÄVLEBORGS LÄN</t>
        </is>
      </c>
      <c r="E1623" t="inlineStr">
        <is>
          <t>OVANÅKER</t>
        </is>
      </c>
      <c r="F1623" t="inlineStr">
        <is>
          <t>Holmen skog AB</t>
        </is>
      </c>
      <c r="G1623" t="n">
        <v>6.4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30196-2025</t>
        </is>
      </c>
      <c r="B1624" s="1" t="n">
        <v>45827</v>
      </c>
      <c r="C1624" s="1" t="n">
        <v>45838</v>
      </c>
      <c r="D1624" t="inlineStr">
        <is>
          <t>GÄVLEBORGS LÄN</t>
        </is>
      </c>
      <c r="E1624" t="inlineStr">
        <is>
          <t>OVANÅKER</t>
        </is>
      </c>
      <c r="G1624" t="n">
        <v>1.9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30826-2025</t>
        </is>
      </c>
      <c r="B1625" s="1" t="n">
        <v>45831</v>
      </c>
      <c r="C1625" s="1" t="n">
        <v>45838</v>
      </c>
      <c r="D1625" t="inlineStr">
        <is>
          <t>GÄVLEBORGS LÄN</t>
        </is>
      </c>
      <c r="E1625" t="inlineStr">
        <is>
          <t>OVANÅKER</t>
        </is>
      </c>
      <c r="G1625" t="n">
        <v>0.6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30953-2025</t>
        </is>
      </c>
      <c r="B1626" s="1" t="n">
        <v>45832</v>
      </c>
      <c r="C1626" s="1" t="n">
        <v>45838</v>
      </c>
      <c r="D1626" t="inlineStr">
        <is>
          <t>GÄVLEBORGS LÄN</t>
        </is>
      </c>
      <c r="E1626" t="inlineStr">
        <is>
          <t>OVANÅKER</t>
        </is>
      </c>
      <c r="G1626" t="n">
        <v>15.3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31458-2025</t>
        </is>
      </c>
      <c r="B1627" s="1" t="n">
        <v>45833</v>
      </c>
      <c r="C1627" s="1" t="n">
        <v>45838</v>
      </c>
      <c r="D1627" t="inlineStr">
        <is>
          <t>GÄVLEBORGS LÄN</t>
        </is>
      </c>
      <c r="E1627" t="inlineStr">
        <is>
          <t>OVANÅKER</t>
        </is>
      </c>
      <c r="G1627" t="n">
        <v>2.5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31269-2025</t>
        </is>
      </c>
      <c r="B1628" s="1" t="n">
        <v>45833</v>
      </c>
      <c r="C1628" s="1" t="n">
        <v>45838</v>
      </c>
      <c r="D1628" t="inlineStr">
        <is>
          <t>GÄVLEBORGS LÄN</t>
        </is>
      </c>
      <c r="E1628" t="inlineStr">
        <is>
          <t>OVANÅKER</t>
        </is>
      </c>
      <c r="G1628" t="n">
        <v>3.7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31891-2025</t>
        </is>
      </c>
      <c r="B1629" s="1" t="n">
        <v>45834</v>
      </c>
      <c r="C1629" s="1" t="n">
        <v>45838</v>
      </c>
      <c r="D1629" t="inlineStr">
        <is>
          <t>GÄVLEBORGS LÄN</t>
        </is>
      </c>
      <c r="E1629" t="inlineStr">
        <is>
          <t>OVANÅKER</t>
        </is>
      </c>
      <c r="G1629" t="n">
        <v>2.9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32258-2025</t>
        </is>
      </c>
      <c r="B1630" s="1" t="n">
        <v>45835</v>
      </c>
      <c r="C1630" s="1" t="n">
        <v>45838</v>
      </c>
      <c r="D1630" t="inlineStr">
        <is>
          <t>GÄVLEBORGS LÄN</t>
        </is>
      </c>
      <c r="E1630" t="inlineStr">
        <is>
          <t>OVANÅKER</t>
        </is>
      </c>
      <c r="F1630" t="inlineStr">
        <is>
          <t>Bergvik skog öst AB</t>
        </is>
      </c>
      <c r="G1630" t="n">
        <v>6.8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32177-2025</t>
        </is>
      </c>
      <c r="B1631" s="1" t="n">
        <v>45835</v>
      </c>
      <c r="C1631" s="1" t="n">
        <v>45838</v>
      </c>
      <c r="D1631" t="inlineStr">
        <is>
          <t>GÄVLEBORGS LÄN</t>
        </is>
      </c>
      <c r="E1631" t="inlineStr">
        <is>
          <t>OVANÅKER</t>
        </is>
      </c>
      <c r="G1631" t="n">
        <v>1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32169-2025</t>
        </is>
      </c>
      <c r="B1632" s="1" t="n">
        <v>45835</v>
      </c>
      <c r="C1632" s="1" t="n">
        <v>45838</v>
      </c>
      <c r="D1632" t="inlineStr">
        <is>
          <t>GÄVLEBORGS LÄN</t>
        </is>
      </c>
      <c r="E1632" t="inlineStr">
        <is>
          <t>OVANÅKER</t>
        </is>
      </c>
      <c r="G1632" t="n">
        <v>1.9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>
      <c r="A1633" t="inlineStr">
        <is>
          <t>A 32182-2025</t>
        </is>
      </c>
      <c r="B1633" s="1" t="n">
        <v>45835</v>
      </c>
      <c r="C1633" s="1" t="n">
        <v>45838</v>
      </c>
      <c r="D1633" t="inlineStr">
        <is>
          <t>GÄVLEBORGS LÄN</t>
        </is>
      </c>
      <c r="E1633" t="inlineStr">
        <is>
          <t>OVANÅKER</t>
        </is>
      </c>
      <c r="G1633" t="n">
        <v>2.5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2025-06-30T19:36:39Z</dcterms:created>
  <dcterms:modified xmlns:dcterms="http://purl.org/dc/terms/" xmlns:xsi="http://www.w3.org/2001/XMLSchema-instance" xsi:type="dcterms:W3CDTF">2025-06-30T19:36:41Z</dcterms:modified>
</cp:coreProperties>
</file>