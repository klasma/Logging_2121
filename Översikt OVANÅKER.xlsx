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45508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45508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45508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24085-2024</t>
        </is>
      </c>
      <c r="B5" s="1" t="n">
        <v>45456</v>
      </c>
      <c r="C5" s="1" t="n">
        <v>45508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45009-2019</t>
        </is>
      </c>
      <c r="B6" s="1" t="n">
        <v>43713</v>
      </c>
      <c r="C6" s="1" t="n">
        <v>45508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4.7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Lunglav
Talltita
Ullticka
Korallrot
Spindelblomster</t>
        </is>
      </c>
      <c r="S6">
        <f>HYPERLINK("https://klasma.github.io/Logging_2121/artfynd/A 45009-2019 artfynd.xlsx", "A 45009-2019")</f>
        <v/>
      </c>
      <c r="T6">
        <f>HYPERLINK("https://klasma.github.io/Logging_2121/kartor/A 45009-2019 karta.png", "A 45009-2019")</f>
        <v/>
      </c>
      <c r="U6">
        <f>HYPERLINK("https://klasma.github.io/Logging_2121/knärot/A 45009-2019 karta knärot.png", "A 45009-2019")</f>
        <v/>
      </c>
      <c r="V6">
        <f>HYPERLINK("https://klasma.github.io/Logging_2121/klagomål/A 45009-2019 FSC-klagomål.docx", "A 45009-2019")</f>
        <v/>
      </c>
      <c r="W6">
        <f>HYPERLINK("https://klasma.github.io/Logging_2121/klagomålsmail/A 45009-2019 FSC-klagomål mail.docx", "A 45009-2019")</f>
        <v/>
      </c>
      <c r="X6">
        <f>HYPERLINK("https://klasma.github.io/Logging_2121/tillsyn/A 45009-2019 tillsynsbegäran.docx", "A 45009-2019")</f>
        <v/>
      </c>
      <c r="Y6">
        <f>HYPERLINK("https://klasma.github.io/Logging_2121/tillsynsmail/A 45009-2019 tillsynsbegäran mail.docx", "A 45009-2019")</f>
        <v/>
      </c>
      <c r="Z6">
        <f>HYPERLINK("https://klasma.github.io/Logging_2121/fåglar/A 45009-2019 prioriterade fågelarter.docx", "A 45009-2019")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45508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55473-2022</t>
        </is>
      </c>
      <c r="B8" s="1" t="n">
        <v>44887</v>
      </c>
      <c r="C8" s="1" t="n">
        <v>45508</v>
      </c>
      <c r="D8" t="inlineStr">
        <is>
          <t>GÄVLEBORGS LÄN</t>
        </is>
      </c>
      <c r="E8" t="inlineStr">
        <is>
          <t>OVANÅKER</t>
        </is>
      </c>
      <c r="G8" t="n">
        <v>7.9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Dvärgbägarlav
Kolflarnlav
Mörk kolflarnlav
Dropptaggsvamp</t>
        </is>
      </c>
      <c r="S8">
        <f>HYPERLINK("https://klasma.github.io/Logging_2121/artfynd/A 55473-2022 artfynd.xlsx", "A 55473-2022")</f>
        <v/>
      </c>
      <c r="T8">
        <f>HYPERLINK("https://klasma.github.io/Logging_2121/kartor/A 55473-2022 karta.png", "A 55473-2022")</f>
        <v/>
      </c>
      <c r="V8">
        <f>HYPERLINK("https://klasma.github.io/Logging_2121/klagomål/A 55473-2022 FSC-klagomål.docx", "A 55473-2022")</f>
        <v/>
      </c>
      <c r="W8">
        <f>HYPERLINK("https://klasma.github.io/Logging_2121/klagomålsmail/A 55473-2022 FSC-klagomål mail.docx", "A 55473-2022")</f>
        <v/>
      </c>
      <c r="X8">
        <f>HYPERLINK("https://klasma.github.io/Logging_2121/tillsyn/A 55473-2022 tillsynsbegäran.docx", "A 55473-2022")</f>
        <v/>
      </c>
      <c r="Y8">
        <f>HYPERLINK("https://klasma.github.io/Logging_2121/tillsynsmail/A 55473-2022 tillsynsbegäran mail.docx", "A 55473-2022")</f>
        <v/>
      </c>
    </row>
    <row r="9" ht="15" customHeight="1">
      <c r="A9" t="inlineStr">
        <is>
          <t>A 27404-2019</t>
        </is>
      </c>
      <c r="B9" s="1" t="n">
        <v>43616</v>
      </c>
      <c r="C9" s="1" t="n">
        <v>45508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1.3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Vedskivlav
Mindre märgborre</t>
        </is>
      </c>
      <c r="S9">
        <f>HYPERLINK("https://klasma.github.io/Logging_2121/artfynd/A 27404-2019 artfynd.xlsx", "A 27404-2019")</f>
        <v/>
      </c>
      <c r="T9">
        <f>HYPERLINK("https://klasma.github.io/Logging_2121/kartor/A 27404-2019 karta.png", "A 27404-2019")</f>
        <v/>
      </c>
      <c r="V9">
        <f>HYPERLINK("https://klasma.github.io/Logging_2121/klagomål/A 27404-2019 FSC-klagomål.docx", "A 27404-2019")</f>
        <v/>
      </c>
      <c r="W9">
        <f>HYPERLINK("https://klasma.github.io/Logging_2121/klagomålsmail/A 27404-2019 FSC-klagomål mail.docx", "A 27404-2019")</f>
        <v/>
      </c>
      <c r="X9">
        <f>HYPERLINK("https://klasma.github.io/Logging_2121/tillsyn/A 27404-2019 tillsynsbegäran.docx", "A 27404-2019")</f>
        <v/>
      </c>
      <c r="Y9">
        <f>HYPERLINK("https://klasma.github.io/Logging_2121/tillsynsmail/A 27404-2019 tillsynsbegäran mail.docx", "A 27404-2019")</f>
        <v/>
      </c>
    </row>
    <row r="10" ht="15" customHeight="1">
      <c r="A10" t="inlineStr">
        <is>
          <t>A 21238-2021</t>
        </is>
      </c>
      <c r="B10" s="1" t="n">
        <v>44320</v>
      </c>
      <c r="C10" s="1" t="n">
        <v>45508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Dvärgbägarlav
Gammelgransskål
Kolflarnlav</t>
        </is>
      </c>
      <c r="S10">
        <f>HYPERLINK("https://klasma.github.io/Logging_2121/artfynd/A 21238-2021 artfynd.xlsx", "A 21238-2021")</f>
        <v/>
      </c>
      <c r="T10">
        <f>HYPERLINK("https://klasma.github.io/Logging_2121/kartor/A 21238-2021 karta.png", "A 21238-2021")</f>
        <v/>
      </c>
      <c r="V10">
        <f>HYPERLINK("https://klasma.github.io/Logging_2121/klagomål/A 21238-2021 FSC-klagomål.docx", "A 21238-2021")</f>
        <v/>
      </c>
      <c r="W10">
        <f>HYPERLINK("https://klasma.github.io/Logging_2121/klagomålsmail/A 21238-2021 FSC-klagomål mail.docx", "A 21238-2021")</f>
        <v/>
      </c>
      <c r="X10">
        <f>HYPERLINK("https://klasma.github.io/Logging_2121/tillsyn/A 21238-2021 tillsynsbegäran.docx", "A 21238-2021")</f>
        <v/>
      </c>
      <c r="Y10">
        <f>HYPERLINK("https://klasma.github.io/Logging_2121/tillsynsmail/A 21238-2021 tillsynsbegäran mail.docx", "A 21238-2021")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45508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24895-2024</t>
        </is>
      </c>
      <c r="B12" s="1" t="n">
        <v>45461</v>
      </c>
      <c r="C12" s="1" t="n">
        <v>45508</v>
      </c>
      <c r="D12" t="inlineStr">
        <is>
          <t>GÄVLEBORGS LÄN</t>
        </is>
      </c>
      <c r="E12" t="inlineStr">
        <is>
          <t>OVANÅKER</t>
        </is>
      </c>
      <c r="G12" t="n">
        <v>5.1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Kolflarnlav
Vedskivlav</t>
        </is>
      </c>
      <c r="S12">
        <f>HYPERLINK("https://klasma.github.io/Logging_2121/artfynd/A 24895-2024 artfynd.xlsx", "A 24895-2024")</f>
        <v/>
      </c>
      <c r="T12">
        <f>HYPERLINK("https://klasma.github.io/Logging_2121/kartor/A 24895-2024 karta.png", "A 24895-2024")</f>
        <v/>
      </c>
      <c r="V12">
        <f>HYPERLINK("https://klasma.github.io/Logging_2121/klagomål/A 24895-2024 FSC-klagomål.docx", "A 24895-2024")</f>
        <v/>
      </c>
      <c r="W12">
        <f>HYPERLINK("https://klasma.github.io/Logging_2121/klagomålsmail/A 24895-2024 FSC-klagomål mail.docx", "A 24895-2024")</f>
        <v/>
      </c>
      <c r="X12">
        <f>HYPERLINK("https://klasma.github.io/Logging_2121/tillsyn/A 24895-2024 tillsynsbegäran.docx", "A 24895-2024")</f>
        <v/>
      </c>
      <c r="Y12">
        <f>HYPERLINK("https://klasma.github.io/Logging_2121/tillsynsmail/A 24895-2024 tillsynsbegäran mail.docx", "A 24895-2024")</f>
        <v/>
      </c>
    </row>
    <row r="13" ht="15" customHeight="1">
      <c r="A13" t="inlineStr">
        <is>
          <t>A 45004-2019</t>
        </is>
      </c>
      <c r="B13" s="1" t="n">
        <v>43713</v>
      </c>
      <c r="C13" s="1" t="n">
        <v>45508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7.5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Lunglav</t>
        </is>
      </c>
      <c r="S13">
        <f>HYPERLINK("https://klasma.github.io/Logging_2121/artfynd/A 45004-2019 artfynd.xlsx", "A 45004-2019")</f>
        <v/>
      </c>
      <c r="T13">
        <f>HYPERLINK("https://klasma.github.io/Logging_2121/kartor/A 45004-2019 karta.png", "A 45004-2019")</f>
        <v/>
      </c>
      <c r="V13">
        <f>HYPERLINK("https://klasma.github.io/Logging_2121/klagomål/A 45004-2019 FSC-klagomål.docx", "A 45004-2019")</f>
        <v/>
      </c>
      <c r="W13">
        <f>HYPERLINK("https://klasma.github.io/Logging_2121/klagomålsmail/A 45004-2019 FSC-klagomål mail.docx", "A 45004-2019")</f>
        <v/>
      </c>
      <c r="X13">
        <f>HYPERLINK("https://klasma.github.io/Logging_2121/tillsyn/A 45004-2019 tillsynsbegäran.docx", "A 45004-2019")</f>
        <v/>
      </c>
      <c r="Y13">
        <f>HYPERLINK("https://klasma.github.io/Logging_2121/tillsynsmail/A 45004-2019 tillsynsbegäran mail.docx", "A 45004-2019")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45508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45508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45508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45508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8361-2020</t>
        </is>
      </c>
      <c r="B18" s="1" t="n">
        <v>43875</v>
      </c>
      <c r="C18" s="1" t="n">
        <v>45508</v>
      </c>
      <c r="D18" t="inlineStr">
        <is>
          <t>GÄVLEBORGS LÄN</t>
        </is>
      </c>
      <c r="E18" t="inlineStr">
        <is>
          <t>OVANÅKER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Slaguggla</t>
        </is>
      </c>
      <c r="S18">
        <f>HYPERLINK("https://klasma.github.io/Logging_2121/artfynd/A 8361-2020 artfynd.xlsx", "A 8361-2020")</f>
        <v/>
      </c>
      <c r="T18">
        <f>HYPERLINK("https://klasma.github.io/Logging_2121/kartor/A 8361-2020 karta.png", "A 8361-2020")</f>
        <v/>
      </c>
      <c r="V18">
        <f>HYPERLINK("https://klasma.github.io/Logging_2121/klagomål/A 8361-2020 FSC-klagomål.docx", "A 8361-2020")</f>
        <v/>
      </c>
      <c r="W18">
        <f>HYPERLINK("https://klasma.github.io/Logging_2121/klagomålsmail/A 8361-2020 FSC-klagomål mail.docx", "A 8361-2020")</f>
        <v/>
      </c>
      <c r="X18">
        <f>HYPERLINK("https://klasma.github.io/Logging_2121/tillsyn/A 8361-2020 tillsynsbegäran.docx", "A 8361-2020")</f>
        <v/>
      </c>
      <c r="Y18">
        <f>HYPERLINK("https://klasma.github.io/Logging_2121/tillsynsmail/A 8361-2020 tillsynsbegäran mail.docx", "A 8361-2020")</f>
        <v/>
      </c>
      <c r="Z18">
        <f>HYPERLINK("https://klasma.github.io/Logging_2121/fåglar/A 8361-2020 prioriterade fågelarter.docx", "A 8361-2020")</f>
        <v/>
      </c>
    </row>
    <row r="19" ht="15" customHeight="1">
      <c r="A19" t="inlineStr">
        <is>
          <t>A 29855-2021</t>
        </is>
      </c>
      <c r="B19" s="1" t="n">
        <v>44362</v>
      </c>
      <c r="C19" s="1" t="n">
        <v>45508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29855-2021 artfynd.xlsx", "A 29855-2021")</f>
        <v/>
      </c>
      <c r="T19">
        <f>HYPERLINK("https://klasma.github.io/Logging_2121/kartor/A 29855-2021 karta.png", "A 29855-2021")</f>
        <v/>
      </c>
      <c r="V19">
        <f>HYPERLINK("https://klasma.github.io/Logging_2121/klagomål/A 29855-2021 FSC-klagomål.docx", "A 29855-2021")</f>
        <v/>
      </c>
      <c r="W19">
        <f>HYPERLINK("https://klasma.github.io/Logging_2121/klagomålsmail/A 29855-2021 FSC-klagomål mail.docx", "A 29855-2021")</f>
        <v/>
      </c>
      <c r="X19">
        <f>HYPERLINK("https://klasma.github.io/Logging_2121/tillsyn/A 29855-2021 tillsynsbegäran.docx", "A 29855-2021")</f>
        <v/>
      </c>
      <c r="Y19">
        <f>HYPERLINK("https://klasma.github.io/Logging_2121/tillsynsmail/A 29855-2021 tillsynsbegäran mail.docx", "A 29855-2021")</f>
        <v/>
      </c>
    </row>
    <row r="20" ht="15" customHeight="1">
      <c r="A20" t="inlineStr">
        <is>
          <t>A 29873-2021</t>
        </is>
      </c>
      <c r="B20" s="1" t="n">
        <v>44362</v>
      </c>
      <c r="C20" s="1" t="n">
        <v>45508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HYPERLINK("https://klasma.github.io/Logging_2121/artfynd/A 29873-2021 artfynd.xlsx", "A 29873-2021")</f>
        <v/>
      </c>
      <c r="T20">
        <f>HYPERLINK("https://klasma.github.io/Logging_2121/kartor/A 29873-2021 karta.png", "A 29873-2021")</f>
        <v/>
      </c>
      <c r="V20">
        <f>HYPERLINK("https://klasma.github.io/Logging_2121/klagomål/A 29873-2021 FSC-klagomål.docx", "A 29873-2021")</f>
        <v/>
      </c>
      <c r="W20">
        <f>HYPERLINK("https://klasma.github.io/Logging_2121/klagomålsmail/A 29873-2021 FSC-klagomål mail.docx", "A 29873-2021")</f>
        <v/>
      </c>
      <c r="X20">
        <f>HYPERLINK("https://klasma.github.io/Logging_2121/tillsyn/A 29873-2021 tillsynsbegäran.docx", "A 29873-2021")</f>
        <v/>
      </c>
      <c r="Y20">
        <f>HYPERLINK("https://klasma.github.io/Logging_2121/tillsynsmail/A 29873-2021 tillsynsbegäran mail.docx", "A 29873-2021")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45508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45508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</v>
      </c>
      <c r="C23" s="1" t="n">
        <v>45508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34414-2022</t>
        </is>
      </c>
      <c r="B24" s="1" t="n">
        <v>44792</v>
      </c>
      <c r="C24" s="1" t="n">
        <v>45508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34414-2022 artfynd.xlsx", "A 34414-2022")</f>
        <v/>
      </c>
      <c r="T24">
        <f>HYPERLINK("https://klasma.github.io/Logging_2121/kartor/A 34414-2022 karta.png", "A 34414-2022")</f>
        <v/>
      </c>
      <c r="V24">
        <f>HYPERLINK("https://klasma.github.io/Logging_2121/klagomål/A 34414-2022 FSC-klagomål.docx", "A 34414-2022")</f>
        <v/>
      </c>
      <c r="W24">
        <f>HYPERLINK("https://klasma.github.io/Logging_2121/klagomålsmail/A 34414-2022 FSC-klagomål mail.docx", "A 34414-2022")</f>
        <v/>
      </c>
      <c r="X24">
        <f>HYPERLINK("https://klasma.github.io/Logging_2121/tillsyn/A 34414-2022 tillsynsbegäran.docx", "A 34414-2022")</f>
        <v/>
      </c>
      <c r="Y24">
        <f>HYPERLINK("https://klasma.github.io/Logging_2121/tillsynsmail/A 34414-2022 tillsynsbegäran mail.docx", "A 34414-2022")</f>
        <v/>
      </c>
    </row>
    <row r="25" ht="15" customHeight="1">
      <c r="A25" t="inlineStr">
        <is>
          <t>A 34415-2022</t>
        </is>
      </c>
      <c r="B25" s="1" t="n">
        <v>44792</v>
      </c>
      <c r="C25" s="1" t="n">
        <v>45508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34415-2022 artfynd.xlsx", "A 34415-2022")</f>
        <v/>
      </c>
      <c r="T25">
        <f>HYPERLINK("https://klasma.github.io/Logging_2121/kartor/A 34415-2022 karta.png", "A 34415-2022")</f>
        <v/>
      </c>
      <c r="V25">
        <f>HYPERLINK("https://klasma.github.io/Logging_2121/klagomål/A 34415-2022 FSC-klagomål.docx", "A 34415-2022")</f>
        <v/>
      </c>
      <c r="W25">
        <f>HYPERLINK("https://klasma.github.io/Logging_2121/klagomålsmail/A 34415-2022 FSC-klagomål mail.docx", "A 34415-2022")</f>
        <v/>
      </c>
      <c r="X25">
        <f>HYPERLINK("https://klasma.github.io/Logging_2121/tillsyn/A 34415-2022 tillsynsbegäran.docx", "A 34415-2022")</f>
        <v/>
      </c>
      <c r="Y25">
        <f>HYPERLINK("https://klasma.github.io/Logging_2121/tillsynsmail/A 34415-2022 tillsynsbegäran mail.docx", "A 34415-2022")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45508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45508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45508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45508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45508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45508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45508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45508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45508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45508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45508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45508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45508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45508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45508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45508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45508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45508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45508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45508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45508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45508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45508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45508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45508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45508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45508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45508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45508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45508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45508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45508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45508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45508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45508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45508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45508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45508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45508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45508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45508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45508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45508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45508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45508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45508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45508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45508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45508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45508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45508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45508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45508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45508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45508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45508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45508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45508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45508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45508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45508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45508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45508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45508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45508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45508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45508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45508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45508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45508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45508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45508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45508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45508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45508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45508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45508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45508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45508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45508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45508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45508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45508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45508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45508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45508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45508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45508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45508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45508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45508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45508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45508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45508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45508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45508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45508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45508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45508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45508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45508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45508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45508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45508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45508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45508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45508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45508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45508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45508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45508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45508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45508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45508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45508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45508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45508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45508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45508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45508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45508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45508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45508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45508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45508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45508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45508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45508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45508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45508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45508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45508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45508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45508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45508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45508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45508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45508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45508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45508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45508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45508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45508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45508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45508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45508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45508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45508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45508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45508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45508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45508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45508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45508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45508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45508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45508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45508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45508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45508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45508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45508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45508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45508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45508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45508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45508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45508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45508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45508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45508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45508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45508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45508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45508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45508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45508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45508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45508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45508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45508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45508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45508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45508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45508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45508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45508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45508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45508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45508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45508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45508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45508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45508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45508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45508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45508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45508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45508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45508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45508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45508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45508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45508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45508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45508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45508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45508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45508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45508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45508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45508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45508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45508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45508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45508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45508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45508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45508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45508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45508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45508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45508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45508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45508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45508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45508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45508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45508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45508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45508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45508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45508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45508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45508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45508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45508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45508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45508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45508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45508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45508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45508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45508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45508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45508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45508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45508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45508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45508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45508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45508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45508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45508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45508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45508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45508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45508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45508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45508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45508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45508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45508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45508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45508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45508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45508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45508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45508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45508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45508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45508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45508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45508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45508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45508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45508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45508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45508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45508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45508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45508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45508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45508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45508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45508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45508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45508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45508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45508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45508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45508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45508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45508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45508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45508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45508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45508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45508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45508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45508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45508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45508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45508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45508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45508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45508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45508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45508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45508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45508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45508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45508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45508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45508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45508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45508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45508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45508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45508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45508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45508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45508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45508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45508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45508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45508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45508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45508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45508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45508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45508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45508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45508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45508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45508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45508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45508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45508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45508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45508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45508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45508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45508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45508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45508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45508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45508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45508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45508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45508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45508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45508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45508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45508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45508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45508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45508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45508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45508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45508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45508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45508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45508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45508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45508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45508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45508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45508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45508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45508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45508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45508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45508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45508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45508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45508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45508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45508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45508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45508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45508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45508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45508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45508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45508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45508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45508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45508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45508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45508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45508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45508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45508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45508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45508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45508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45508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45508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45508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45508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45508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45508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45508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45508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45508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45508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45508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45508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45508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45508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45508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45508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45508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45508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45508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45508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45508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45508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45508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45508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45508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45508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45508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45508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45508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45508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45508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45508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45508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45508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45508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45508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45508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45508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45508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45508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45508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45508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45508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45508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45508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45508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45508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45508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45508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45508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45508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45508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45508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45508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45508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45508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45508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45508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45508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45508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45508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45508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45508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45508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45508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45508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45508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45508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45508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45508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45508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45508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45508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45508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45508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45508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45508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45508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45508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45508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45508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45508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45508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45508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45508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45508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45508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45508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45508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45508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45508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45508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45508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45508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45508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45508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45508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45508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45508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45508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45508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45508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45508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45508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45508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45508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45508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45508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45508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45508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45508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45508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45508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45508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45508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45508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45508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45508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45508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45508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45508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45508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45508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45508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45508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45508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45508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45508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45508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45508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45508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45508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45508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45508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45508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45508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45508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45508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45508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45508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45508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45508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45508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45508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45508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45508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45508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45508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45508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45508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45508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45508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45508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45508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45508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45508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45508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45508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45508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45508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45508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45508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45508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45508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45508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45508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45508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45508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45508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45508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45508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45508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45508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45508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45508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45508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45508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45508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45508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45508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45508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45508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45508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45508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45508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45508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45508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45508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45508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45508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45508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45508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45508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45508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45508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45508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45508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45508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45508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45508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45508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45508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45508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45508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45508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45508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45508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45508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45508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45508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45508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45508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45508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45508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45508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45508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45508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45508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45508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45508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45508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45508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45508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45508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45508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45508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45508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45508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45508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45508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45508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45508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45508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45508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45508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45508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45508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45508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45508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45508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45508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45508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45508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45508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45508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45508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45508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45508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45508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45508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45508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45508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45508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45508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45508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45508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45508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45508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45508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45508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45508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45508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45508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45508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45508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45508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45508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45508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45508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45508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45508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45508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45508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45508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45508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45508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45508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45508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45508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45508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45508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45508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45508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45508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45508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45508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45508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45508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45508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45508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45508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45508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45508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45508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45508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45508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45508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45508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45508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45508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45508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45508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45508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45508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45508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45508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45508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45508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45508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45508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45508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45508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45508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45508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45508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45508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45508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45508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45508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45508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45508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45508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45508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45508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45508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45508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45508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45508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45508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45508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45508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45508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45508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45508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45508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45508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45508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45508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45508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45508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45508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45508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45508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45508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45508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45508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45508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45508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45508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45508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45508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45508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45508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45508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45508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45508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45508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45508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45508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45508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45508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45508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45508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45508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45508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45508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45508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45508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45508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45508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45508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45508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45508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45508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45508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45508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45508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45508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45508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45508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45508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45508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45508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45508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45508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45508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45508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45508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45508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45508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45508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45508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45508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45508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45508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45508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45508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45508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45508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45508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45508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45508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45508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45508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45508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45508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45508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45508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45508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45508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45508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45508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45508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45508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45508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45508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45508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45508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45508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45508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45508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45508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45508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45508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45508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45508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45508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45508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45508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45508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45508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45508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45508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45508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45508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45508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45508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45508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45508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45508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45508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45508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45508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45508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45508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45508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45508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45508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45508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45508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45508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45508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45508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45508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45508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45508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45508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45508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45508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45508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45508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45508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45508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45508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45508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45508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45508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45508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45508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45508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45508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45508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45508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45508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45508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45508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45508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45508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45508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45508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45508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45508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45508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45508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45508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45508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45508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45508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45508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45508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45508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45508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45508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45508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45508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45508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45508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45508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45508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45508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45508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45508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45508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45508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45508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45508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45508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45508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45508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45508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45508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45508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45508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45508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45508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45508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45508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45508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45508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45508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45508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45508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45508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45508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45508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45508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45508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45508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45508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45508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45508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45508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45508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45508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45508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45508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45508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45508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45508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45508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45508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45508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45508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45508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45508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45508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45508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45508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45508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45508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45508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45508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45508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45508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45508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45508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45508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45508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45508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45508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45508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45508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45508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45508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45508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45508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45508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45508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45508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45508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45508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45508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45508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45508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45508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45508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45508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45508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45508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45508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45508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45508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45508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45508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45508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45508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45508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45508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45508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45508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45508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45508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45508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45508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45508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45508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45508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45508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45508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45508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45508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45508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45508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45508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45508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45508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45508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45508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45508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45508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45508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45508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45508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45508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45508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45508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45508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45508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45508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45508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45508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45508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45508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45508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45508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45508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45508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45508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45508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45508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45508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45508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45508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45508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45508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45508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22173-2024</t>
        </is>
      </c>
      <c r="B1059" s="1" t="n">
        <v>45446</v>
      </c>
      <c r="C1059" s="1" t="n">
        <v>45508</v>
      </c>
      <c r="D1059" t="inlineStr">
        <is>
          <t>GÄVLEBORGS LÄN</t>
        </is>
      </c>
      <c r="E1059" t="inlineStr">
        <is>
          <t>OVANÅKER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45508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45508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45508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45508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45508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45508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45508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45508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45508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23588-2024</t>
        </is>
      </c>
      <c r="B1069" s="1" t="n">
        <v>45454</v>
      </c>
      <c r="C1069" s="1" t="n">
        <v>45508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45508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45508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45508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45508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45508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45508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24032-2024</t>
        </is>
      </c>
      <c r="B1076" s="1" t="n">
        <v>45456</v>
      </c>
      <c r="C1076" s="1" t="n">
        <v>45508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24056-2024</t>
        </is>
      </c>
      <c r="B1077" s="1" t="n">
        <v>45456</v>
      </c>
      <c r="C1077" s="1" t="n">
        <v>45508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24069-2024</t>
        </is>
      </c>
      <c r="B1078" s="1" t="n">
        <v>45456</v>
      </c>
      <c r="C1078" s="1" t="n">
        <v>45508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24074-2024</t>
        </is>
      </c>
      <c r="B1079" s="1" t="n">
        <v>45456</v>
      </c>
      <c r="C1079" s="1" t="n">
        <v>45508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24134-2024</t>
        </is>
      </c>
      <c r="B1080" s="1" t="n">
        <v>45456</v>
      </c>
      <c r="C1080" s="1" t="n">
        <v>45508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24137-2024</t>
        </is>
      </c>
      <c r="B1081" s="1" t="n">
        <v>45456</v>
      </c>
      <c r="C1081" s="1" t="n">
        <v>45508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24067-2024</t>
        </is>
      </c>
      <c r="B1082" s="1" t="n">
        <v>45456</v>
      </c>
      <c r="C1082" s="1" t="n">
        <v>45508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24075-2024</t>
        </is>
      </c>
      <c r="B1083" s="1" t="n">
        <v>45456</v>
      </c>
      <c r="C1083" s="1" t="n">
        <v>45508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24079-2024</t>
        </is>
      </c>
      <c r="B1084" s="1" t="n">
        <v>45456</v>
      </c>
      <c r="C1084" s="1" t="n">
        <v>45508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45508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45508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45508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24293-2024</t>
        </is>
      </c>
      <c r="B1088" s="1" t="n">
        <v>45457</v>
      </c>
      <c r="C1088" s="1" t="n">
        <v>45508</v>
      </c>
      <c r="D1088" t="inlineStr">
        <is>
          <t>GÄVLEBORGS LÄN</t>
        </is>
      </c>
      <c r="E1088" t="inlineStr">
        <is>
          <t>OVANÅKER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45508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45508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45508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25003-2024</t>
        </is>
      </c>
      <c r="B1092" s="1" t="n">
        <v>45461</v>
      </c>
      <c r="C1092" s="1" t="n">
        <v>45508</v>
      </c>
      <c r="D1092" t="inlineStr">
        <is>
          <t>GÄVLEBORGS LÄN</t>
        </is>
      </c>
      <c r="E1092" t="inlineStr">
        <is>
          <t>OVANÅKER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24971-2024</t>
        </is>
      </c>
      <c r="B1093" s="1" t="n">
        <v>45461</v>
      </c>
      <c r="C1093" s="1" t="n">
        <v>45508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24954-2024</t>
        </is>
      </c>
      <c r="B1094" s="1" t="n">
        <v>45461</v>
      </c>
      <c r="C1094" s="1" t="n">
        <v>45508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24835-2024</t>
        </is>
      </c>
      <c r="B1095" s="1" t="n">
        <v>45461</v>
      </c>
      <c r="C1095" s="1" t="n">
        <v>45508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25297-2024</t>
        </is>
      </c>
      <c r="B1096" s="1" t="n">
        <v>45462</v>
      </c>
      <c r="C1096" s="1" t="n">
        <v>45508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45508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45508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45508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45508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25823-2024</t>
        </is>
      </c>
      <c r="B1101" s="1" t="n">
        <v>45463</v>
      </c>
      <c r="C1101" s="1" t="n">
        <v>45508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45508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45508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25411-2024</t>
        </is>
      </c>
      <c r="B1104" s="1" t="n">
        <v>45463</v>
      </c>
      <c r="C1104" s="1" t="n">
        <v>45508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26028-2024</t>
        </is>
      </c>
      <c r="B1105" s="1" t="n">
        <v>45468</v>
      </c>
      <c r="C1105" s="1" t="n">
        <v>45508</v>
      </c>
      <c r="D1105" t="inlineStr">
        <is>
          <t>GÄVLEBORGS LÄN</t>
        </is>
      </c>
      <c r="E1105" t="inlineStr">
        <is>
          <t>OVANÅKER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26027-2024</t>
        </is>
      </c>
      <c r="B1106" s="1" t="n">
        <v>45468</v>
      </c>
      <c r="C1106" s="1" t="n">
        <v>45508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45508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45508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26767-2024</t>
        </is>
      </c>
      <c r="B1109" s="1" t="n">
        <v>45470</v>
      </c>
      <c r="C1109" s="1" t="n">
        <v>45508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45508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26829-2024</t>
        </is>
      </c>
      <c r="B1111" s="1" t="n">
        <v>45470</v>
      </c>
      <c r="C1111" s="1" t="n">
        <v>45508</v>
      </c>
      <c r="D1111" t="inlineStr">
        <is>
          <t>GÄVLEBORGS LÄN</t>
        </is>
      </c>
      <c r="E1111" t="inlineStr">
        <is>
          <t>OVANÅKER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45508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45508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45508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27601-2024</t>
        </is>
      </c>
      <c r="B1115" s="1" t="n">
        <v>45474</v>
      </c>
      <c r="C1115" s="1" t="n">
        <v>45508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27971-2024</t>
        </is>
      </c>
      <c r="B1116" s="1" t="n">
        <v>45476</v>
      </c>
      <c r="C1116" s="1" t="n">
        <v>45508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28001-2024</t>
        </is>
      </c>
      <c r="B1117" s="1" t="n">
        <v>45476</v>
      </c>
      <c r="C1117" s="1" t="n">
        <v>45508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28448-2024</t>
        </is>
      </c>
      <c r="B1118" s="1" t="n">
        <v>45477</v>
      </c>
      <c r="C1118" s="1" t="n">
        <v>45508</v>
      </c>
      <c r="D1118" t="inlineStr">
        <is>
          <t>GÄVLEBORGS LÄN</t>
        </is>
      </c>
      <c r="E1118" t="inlineStr">
        <is>
          <t>OVANÅKER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28371-2024</t>
        </is>
      </c>
      <c r="B1119" s="1" t="n">
        <v>45477</v>
      </c>
      <c r="C1119" s="1" t="n">
        <v>45508</v>
      </c>
      <c r="D1119" t="inlineStr">
        <is>
          <t>GÄVLEBORGS LÄN</t>
        </is>
      </c>
      <c r="E1119" t="inlineStr">
        <is>
          <t>OVANÅKER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28445-2024</t>
        </is>
      </c>
      <c r="B1120" s="1" t="n">
        <v>45477</v>
      </c>
      <c r="C1120" s="1" t="n">
        <v>45508</v>
      </c>
      <c r="D1120" t="inlineStr">
        <is>
          <t>GÄVLEBORGS LÄN</t>
        </is>
      </c>
      <c r="E1120" t="inlineStr">
        <is>
          <t>OVANÅKER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28450-2024</t>
        </is>
      </c>
      <c r="B1121" s="1" t="n">
        <v>45477</v>
      </c>
      <c r="C1121" s="1" t="n">
        <v>45508</v>
      </c>
      <c r="D1121" t="inlineStr">
        <is>
          <t>GÄVLEBORGS LÄN</t>
        </is>
      </c>
      <c r="E1121" t="inlineStr">
        <is>
          <t>OVANÅKER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28446-2024</t>
        </is>
      </c>
      <c r="B1122" s="1" t="n">
        <v>45477</v>
      </c>
      <c r="C1122" s="1" t="n">
        <v>45508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28744-2024</t>
        </is>
      </c>
      <c r="B1123" s="1" t="n">
        <v>45478</v>
      </c>
      <c r="C1123" s="1" t="n">
        <v>45508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29294-2024</t>
        </is>
      </c>
      <c r="B1124" s="1" t="n">
        <v>45483</v>
      </c>
      <c r="C1124" s="1" t="n">
        <v>45508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30199-2024</t>
        </is>
      </c>
      <c r="B1125" s="1" t="n">
        <v>45490</v>
      </c>
      <c r="C1125" s="1" t="n">
        <v>45508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20.8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30254-2024</t>
        </is>
      </c>
      <c r="B1126" s="1" t="n">
        <v>45490</v>
      </c>
      <c r="C1126" s="1" t="n">
        <v>45508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väst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30269-2024</t>
        </is>
      </c>
      <c r="B1127" s="1" t="n">
        <v>45490</v>
      </c>
      <c r="C1127" s="1" t="n">
        <v>45508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30241-2024</t>
        </is>
      </c>
      <c r="B1128" s="1" t="n">
        <v>45490</v>
      </c>
      <c r="C1128" s="1" t="n">
        <v>45508</v>
      </c>
      <c r="D1128" t="inlineStr">
        <is>
          <t>GÄVLEBORGS LÄN</t>
        </is>
      </c>
      <c r="E1128" t="inlineStr">
        <is>
          <t>OVANÅKER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30245-2024</t>
        </is>
      </c>
      <c r="B1129" s="1" t="n">
        <v>45490</v>
      </c>
      <c r="C1129" s="1" t="n">
        <v>45508</v>
      </c>
      <c r="D1129" t="inlineStr">
        <is>
          <t>GÄVLEBORGS LÄN</t>
        </is>
      </c>
      <c r="E1129" t="inlineStr">
        <is>
          <t>OVANÅKER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30257-2024</t>
        </is>
      </c>
      <c r="B1130" s="1" t="n">
        <v>45490</v>
      </c>
      <c r="C1130" s="1" t="n">
        <v>45508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45508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30492-2024</t>
        </is>
      </c>
      <c r="B1132" s="1" t="n">
        <v>45492</v>
      </c>
      <c r="C1132" s="1" t="n">
        <v>45508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30565-2024</t>
        </is>
      </c>
      <c r="B1133" s="1" t="n">
        <v>45493</v>
      </c>
      <c r="C1133" s="1" t="n">
        <v>45508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30566-2024</t>
        </is>
      </c>
      <c r="B1134" s="1" t="n">
        <v>45493</v>
      </c>
      <c r="C1134" s="1" t="n">
        <v>45508</v>
      </c>
      <c r="D1134" t="inlineStr">
        <is>
          <t>GÄVLEBORGS LÄN</t>
        </is>
      </c>
      <c r="E1134" t="inlineStr">
        <is>
          <t>OVANÅKER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30695-2024</t>
        </is>
      </c>
      <c r="B1135" s="1" t="n">
        <v>45496</v>
      </c>
      <c r="C1135" s="1" t="n">
        <v>45508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30802-2024</t>
        </is>
      </c>
      <c r="B1136" s="1" t="n">
        <v>45497</v>
      </c>
      <c r="C1136" s="1" t="n">
        <v>45508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30919-2024</t>
        </is>
      </c>
      <c r="B1137" s="1" t="n">
        <v>45498</v>
      </c>
      <c r="C1137" s="1" t="n">
        <v>45508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30906-2024</t>
        </is>
      </c>
      <c r="B1138" s="1" t="n">
        <v>45498</v>
      </c>
      <c r="C1138" s="1" t="n">
        <v>45508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30941-2024</t>
        </is>
      </c>
      <c r="B1139" s="1" t="n">
        <v>45499</v>
      </c>
      <c r="C1139" s="1" t="n">
        <v>45508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Sveaskog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30946-2024</t>
        </is>
      </c>
      <c r="B1140" s="1" t="n">
        <v>45499</v>
      </c>
      <c r="C1140" s="1" t="n">
        <v>45508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31063-2024</t>
        </is>
      </c>
      <c r="B1141" s="1" t="n">
        <v>45502</v>
      </c>
      <c r="C1141" s="1" t="n">
        <v>45508</v>
      </c>
      <c r="D1141" t="inlineStr">
        <is>
          <t>GÄVLEBORGS LÄN</t>
        </is>
      </c>
      <c r="E1141" t="inlineStr">
        <is>
          <t>OVANÅKER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31084-2024</t>
        </is>
      </c>
      <c r="B1142" s="1" t="n">
        <v>45502</v>
      </c>
      <c r="C1142" s="1" t="n">
        <v>45508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31052-2024</t>
        </is>
      </c>
      <c r="B1143" s="1" t="n">
        <v>45502</v>
      </c>
      <c r="C1143" s="1" t="n">
        <v>45508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31175-2024</t>
        </is>
      </c>
      <c r="B1144" s="1" t="n">
        <v>45503</v>
      </c>
      <c r="C1144" s="1" t="n">
        <v>45508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31296-2024</t>
        </is>
      </c>
      <c r="B1145" s="1" t="n">
        <v>45504</v>
      </c>
      <c r="C1145" s="1" t="n">
        <v>45508</v>
      </c>
      <c r="D1145" t="inlineStr">
        <is>
          <t>GÄVLEBORGS LÄN</t>
        </is>
      </c>
      <c r="E1145" t="inlineStr">
        <is>
          <t>OVANÅKER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31298-2024</t>
        </is>
      </c>
      <c r="B1146" s="1" t="n">
        <v>45504</v>
      </c>
      <c r="C1146" s="1" t="n">
        <v>45508</v>
      </c>
      <c r="D1146" t="inlineStr">
        <is>
          <t>GÄVLEBORGS LÄN</t>
        </is>
      </c>
      <c r="E1146" t="inlineStr">
        <is>
          <t>OVANÅKER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2024-08-04T11:22:37Z</dcterms:created>
  <dcterms:modified xmlns:dcterms="http://purl.org/dc/terms/" xmlns:xsi="http://www.w3.org/2001/XMLSchema-instance" xsi:type="dcterms:W3CDTF">2024-08-04T11:22:38Z</dcterms:modified>
</cp:coreProperties>
</file>