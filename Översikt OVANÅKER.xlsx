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45512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45512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45512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7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Garnlav
Kolflarnlav
Lunglav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45512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45512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45512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45512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45512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45512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45512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45512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45512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45512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45512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45512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45512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8361-2020</t>
        </is>
      </c>
      <c r="B18" s="1" t="n">
        <v>43875</v>
      </c>
      <c r="C18" s="1" t="n">
        <v>45512</v>
      </c>
      <c r="D18" t="inlineStr">
        <is>
          <t>GÄVLEBORGS LÄN</t>
        </is>
      </c>
      <c r="E18" t="inlineStr">
        <is>
          <t>OVANÅKER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Slaguggla</t>
        </is>
      </c>
      <c r="S18">
        <f>HYPERLINK("https://klasma.github.io/Logging_2121/artfynd/A 8361-2020 artfynd.xlsx", "A 8361-2020")</f>
        <v/>
      </c>
      <c r="T18">
        <f>HYPERLINK("https://klasma.github.io/Logging_2121/kartor/A 8361-2020 karta.png", "A 8361-2020")</f>
        <v/>
      </c>
      <c r="V18">
        <f>HYPERLINK("https://klasma.github.io/Logging_2121/klagomål/A 8361-2020 FSC-klagomål.docx", "A 8361-2020")</f>
        <v/>
      </c>
      <c r="W18">
        <f>HYPERLINK("https://klasma.github.io/Logging_2121/klagomålsmail/A 8361-2020 FSC-klagomål mail.docx", "A 8361-2020")</f>
        <v/>
      </c>
      <c r="X18">
        <f>HYPERLINK("https://klasma.github.io/Logging_2121/tillsyn/A 8361-2020 tillsynsbegäran.docx", "A 8361-2020")</f>
        <v/>
      </c>
      <c r="Y18">
        <f>HYPERLINK("https://klasma.github.io/Logging_2121/tillsynsmail/A 8361-2020 tillsynsbegäran mail.docx", "A 8361-2020")</f>
        <v/>
      </c>
      <c r="Z18">
        <f>HYPERLINK("https://klasma.github.io/Logging_2121/fåglar/A 8361-2020 prioriterade fågelarter.docx", "A 8361-2020")</f>
        <v/>
      </c>
    </row>
    <row r="19" ht="15" customHeight="1">
      <c r="A19" t="inlineStr">
        <is>
          <t>A 29855-2021</t>
        </is>
      </c>
      <c r="B19" s="1" t="n">
        <v>44362</v>
      </c>
      <c r="C19" s="1" t="n">
        <v>45512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29855-2021 artfynd.xlsx", "A 29855-2021")</f>
        <v/>
      </c>
      <c r="T19">
        <f>HYPERLINK("https://klasma.github.io/Logging_2121/kartor/A 29855-2021 karta.png", "A 29855-2021")</f>
        <v/>
      </c>
      <c r="V19">
        <f>HYPERLINK("https://klasma.github.io/Logging_2121/klagomål/A 29855-2021 FSC-klagomål.docx", "A 29855-2021")</f>
        <v/>
      </c>
      <c r="W19">
        <f>HYPERLINK("https://klasma.github.io/Logging_2121/klagomålsmail/A 29855-2021 FSC-klagomål mail.docx", "A 29855-2021")</f>
        <v/>
      </c>
      <c r="X19">
        <f>HYPERLINK("https://klasma.github.io/Logging_2121/tillsyn/A 29855-2021 tillsynsbegäran.docx", "A 29855-2021")</f>
        <v/>
      </c>
      <c r="Y19">
        <f>HYPERLINK("https://klasma.github.io/Logging_2121/tillsynsmail/A 29855-2021 tillsynsbegäran mail.docx", "A 29855-2021")</f>
        <v/>
      </c>
    </row>
    <row r="20" ht="15" customHeight="1">
      <c r="A20" t="inlineStr">
        <is>
          <t>A 29873-2021</t>
        </is>
      </c>
      <c r="B20" s="1" t="n">
        <v>44362</v>
      </c>
      <c r="C20" s="1" t="n">
        <v>45512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HYPERLINK("https://klasma.github.io/Logging_2121/artfynd/A 29873-2021 artfynd.xlsx", "A 29873-2021")</f>
        <v/>
      </c>
      <c r="T20">
        <f>HYPERLINK("https://klasma.github.io/Logging_2121/kartor/A 29873-2021 karta.png", "A 29873-2021")</f>
        <v/>
      </c>
      <c r="V20">
        <f>HYPERLINK("https://klasma.github.io/Logging_2121/klagomål/A 29873-2021 FSC-klagomål.docx", "A 29873-2021")</f>
        <v/>
      </c>
      <c r="W20">
        <f>HYPERLINK("https://klasma.github.io/Logging_2121/klagomålsmail/A 29873-2021 FSC-klagomål mail.docx", "A 29873-2021")</f>
        <v/>
      </c>
      <c r="X20">
        <f>HYPERLINK("https://klasma.github.io/Logging_2121/tillsyn/A 29873-2021 tillsynsbegäran.docx", "A 29873-2021")</f>
        <v/>
      </c>
      <c r="Y20">
        <f>HYPERLINK("https://klasma.github.io/Logging_2121/tillsynsmail/A 29873-2021 tillsynsbegäran mail.docx", "A 29873-2021")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45512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45512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</v>
      </c>
      <c r="C23" s="1" t="n">
        <v>45512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34414-2022</t>
        </is>
      </c>
      <c r="B24" s="1" t="n">
        <v>44792</v>
      </c>
      <c r="C24" s="1" t="n">
        <v>45512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34414-2022 artfynd.xlsx", "A 34414-2022")</f>
        <v/>
      </c>
      <c r="T24">
        <f>HYPERLINK("https://klasma.github.io/Logging_2121/kartor/A 34414-2022 karta.png", "A 34414-2022")</f>
        <v/>
      </c>
      <c r="V24">
        <f>HYPERLINK("https://klasma.github.io/Logging_2121/klagomål/A 34414-2022 FSC-klagomål.docx", "A 34414-2022")</f>
        <v/>
      </c>
      <c r="W24">
        <f>HYPERLINK("https://klasma.github.io/Logging_2121/klagomålsmail/A 34414-2022 FSC-klagomål mail.docx", "A 34414-2022")</f>
        <v/>
      </c>
      <c r="X24">
        <f>HYPERLINK("https://klasma.github.io/Logging_2121/tillsyn/A 34414-2022 tillsynsbegäran.docx", "A 34414-2022")</f>
        <v/>
      </c>
      <c r="Y24">
        <f>HYPERLINK("https://klasma.github.io/Logging_2121/tillsynsmail/A 34414-2022 tillsynsbegäran mail.docx", "A 34414-2022")</f>
        <v/>
      </c>
    </row>
    <row r="25" ht="15" customHeight="1">
      <c r="A25" t="inlineStr">
        <is>
          <t>A 34415-2022</t>
        </is>
      </c>
      <c r="B25" s="1" t="n">
        <v>44792</v>
      </c>
      <c r="C25" s="1" t="n">
        <v>45512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34415-2022 artfynd.xlsx", "A 34415-2022")</f>
        <v/>
      </c>
      <c r="T25">
        <f>HYPERLINK("https://klasma.github.io/Logging_2121/kartor/A 34415-2022 karta.png", "A 34415-2022")</f>
        <v/>
      </c>
      <c r="V25">
        <f>HYPERLINK("https://klasma.github.io/Logging_2121/klagomål/A 34415-2022 FSC-klagomål.docx", "A 34415-2022")</f>
        <v/>
      </c>
      <c r="W25">
        <f>HYPERLINK("https://klasma.github.io/Logging_2121/klagomålsmail/A 34415-2022 FSC-klagomål mail.docx", "A 34415-2022")</f>
        <v/>
      </c>
      <c r="X25">
        <f>HYPERLINK("https://klasma.github.io/Logging_2121/tillsyn/A 34415-2022 tillsynsbegäran.docx", "A 34415-2022")</f>
        <v/>
      </c>
      <c r="Y25">
        <f>HYPERLINK("https://klasma.github.io/Logging_2121/tillsynsmail/A 34415-2022 tillsynsbegäran mail.docx", "A 34415-2022")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45512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45512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45512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45512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45512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45512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45512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45512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45512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45512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45512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45512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45512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45512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45512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45512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45512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45512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45512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45512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45512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45512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45512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45512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45512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45512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45512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45512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45512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45512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45512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45512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45512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45512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45512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45512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45512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45512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45512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45512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45512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45512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45512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45512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45512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45512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45512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45512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45512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45512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45512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45512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45512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45512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45512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45512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45512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45512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45512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45512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45512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45512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45512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45512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45512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45512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45512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45512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45512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45512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45512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45512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45512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45512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45512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45512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45512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45512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45512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45512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45512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45512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45512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45512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45512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45512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45512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45512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45512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45512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45512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45512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45512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45512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45512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45512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45512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45512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45512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45512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45512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45512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45512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45512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45512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45512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45512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45512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45512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45512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45512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45512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45512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45512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45512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45512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45512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45512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45512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45512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45512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45512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45512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45512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45512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45512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45512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45512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45512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45512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45512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45512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45512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45512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45512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45512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45512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45512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45512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45512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45512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45512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45512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45512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45512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45512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45512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45512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45512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45512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45512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45512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45512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45512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45512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45512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45512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45512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45512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45512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45512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45512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45512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45512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45512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45512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45512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45512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45512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45512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45512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45512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45512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45512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45512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45512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45512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45512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45512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45512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45512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45512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45512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45512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45512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45512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45512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45512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45512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45512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45512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45512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45512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45512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45512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45512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45512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45512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45512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45512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45512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45512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45512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45512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45512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45512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45512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45512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45512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45512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45512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45512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45512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45512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45512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45512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45512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45512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45512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45512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45512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45512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45512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45512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45512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45512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45512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45512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45512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45512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45512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45512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45512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45512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45512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45512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45512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45512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45512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45512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45512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45512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45512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45512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45512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45512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45512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45512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45512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45512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45512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45512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45512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45512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45512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45512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45512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45512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45512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45512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45512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45512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45512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45512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45512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45512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45512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45512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45512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45512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45512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45512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45512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45512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45512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45512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45512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45512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45512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45512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45512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45512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45512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45512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45512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45512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45512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45512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45512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45512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45512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45512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45512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45512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45512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45512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45512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45512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45512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45512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45512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45512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45512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45512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45512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45512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45512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45512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45512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45512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45512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45512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45512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45512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45512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45512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45512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45512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45512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45512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45512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45512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45512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45512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45512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45512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45512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45512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45512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45512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45512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45512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45512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45512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45512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45512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45512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45512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45512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45512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45512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45512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45512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45512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45512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45512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45512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45512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45512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45512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45512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45512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45512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45512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45512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45512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45512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45512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45512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45512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45512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45512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45512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45512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45512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45512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45512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45512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45512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45512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45512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45512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45512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45512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45512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45512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45512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45512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45512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45512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45512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45512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45512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45512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45512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45512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45512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45512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45512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45512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45512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45512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45512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45512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45512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45512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45512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45512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45512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45512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45512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45512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45512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45512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45512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45512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45512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45512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45512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45512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45512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45512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45512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45512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45512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45512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45512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45512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45512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45512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45512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45512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45512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45512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45512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45512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45512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45512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45512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45512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45512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45512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45512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45512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45512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45512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45512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45512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45512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45512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45512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45512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45512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45512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45512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45512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45512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45512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45512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45512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45512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45512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45512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45512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45512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45512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45512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45512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45512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45512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45512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45512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45512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45512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45512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45512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45512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45512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45512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45512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45512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45512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45512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45512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45512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45512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45512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45512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45512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45512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45512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45512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45512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45512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45512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45512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45512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45512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45512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45512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45512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45512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45512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45512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45512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45512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45512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45512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45512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45512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45512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45512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45512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45512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45512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45512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45512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45512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45512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45512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45512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45512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45512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45512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45512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45512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45512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45512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45512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45512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45512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45512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45512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45512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45512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45512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45512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45512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45512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45512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45512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45512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45512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45512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45512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45512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45512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45512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45512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45512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45512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45512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45512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45512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45512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45512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45512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45512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45512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45512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45512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45512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45512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45512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45512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45512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45512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45512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45512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45512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45512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45512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45512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45512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45512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45512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45512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45512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45512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45512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45512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45512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45512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45512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45512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45512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45512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45512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45512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45512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45512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45512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45512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45512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45512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45512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45512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45512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45512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45512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45512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45512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45512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45512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45512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45512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45512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45512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45512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45512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45512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45512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45512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45512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45512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45512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45512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45512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45512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45512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45512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45512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45512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45512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45512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45512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45512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45512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45512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45512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45512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45512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45512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45512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45512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45512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45512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45512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45512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45512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45512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45512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45512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45512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45512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45512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45512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45512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45512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45512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45512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45512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45512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45512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45512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45512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45512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45512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45512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45512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45512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45512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45512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45512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45512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45512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45512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45512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45512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45512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45512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45512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45512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45512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45512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45512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45512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45512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45512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45512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45512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45512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45512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45512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45512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45512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45512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45512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45512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45512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45512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45512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45512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45512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45512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45512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45512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45512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45512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45512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45512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45512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45512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45512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45512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45512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45512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45512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45512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45512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45512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45512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45512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45512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45512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45512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45512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45512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45512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45512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45512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45512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45512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45512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45512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45512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45512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45512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45512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45512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45512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45512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45512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45512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45512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45512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45512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45512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45512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45512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45512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45512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45512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45512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45512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45512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45512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45512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45512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45512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45512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45512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45512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45512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45512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45512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45512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45512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45512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45512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45512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45512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45512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45512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45512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45512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45512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45512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45512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45512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45512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45512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45512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45512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45512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45512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45512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45512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45512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45512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45512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45512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45512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45512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45512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45512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45512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45512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45512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45512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45512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45512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45512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45512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45512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45512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45512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45512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45512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45512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45512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45512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45512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45512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45512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45512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45512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45512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45512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45512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45512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45512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45512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45512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45512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45512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45512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45512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45512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45512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45512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45512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45512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45512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45512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45512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45512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45512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45512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45512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45512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45512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45512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45512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45512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45512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45512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45512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45512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45512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45512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45512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45512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45512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45512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45512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45512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45512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45512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45512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45512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45512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45512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45512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45512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45512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45512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45512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45512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45512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45512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45512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45512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45512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45512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45512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45512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45512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45512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45512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45512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45512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45512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45512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45512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45512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45512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45512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45512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45512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45512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45512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45512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45512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45512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45512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45512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45512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45512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45512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45512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45512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45512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45512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45512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45512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45512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45512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45512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45512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45512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45512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45512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45512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45512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45512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45512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45512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45512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45512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45512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45512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45512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45512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45512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45512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45512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45512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45512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45512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45512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45512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45512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45512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45512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45512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45512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45512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45512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45512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45512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45512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45512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45512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45512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45512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45512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45512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45512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45512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45512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45512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45512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45512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45512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45512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45512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45512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45512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45512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45512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45512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45512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45512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45512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45512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45512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45512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45512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45512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45512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45512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45512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45512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45512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45512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45512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45512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45512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45512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45512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45512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45512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45512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45512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45512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45512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45512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45512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45512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45512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45512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45512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45512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45512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45512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45512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45512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45512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45512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45512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45512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45512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45512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45512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45512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45512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45512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45512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45512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45512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45512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45512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45512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45512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45512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45512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45512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45512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45512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45512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45512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45512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45512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45512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45512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45512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45512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45512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45512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45512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45512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45512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45512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45512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45512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45512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45512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45512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45512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45512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45512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45512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45512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45512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45512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45512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45512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45512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45512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22346-2024</t>
        </is>
      </c>
      <c r="B1056" s="1" t="n">
        <v>45446</v>
      </c>
      <c r="C1056" s="1" t="n">
        <v>45512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22347-2024</t>
        </is>
      </c>
      <c r="B1057" s="1" t="n">
        <v>45446</v>
      </c>
      <c r="C1057" s="1" t="n">
        <v>45512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22357-2024</t>
        </is>
      </c>
      <c r="B1058" s="1" t="n">
        <v>45446</v>
      </c>
      <c r="C1058" s="1" t="n">
        <v>45512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22173-2024</t>
        </is>
      </c>
      <c r="B1059" s="1" t="n">
        <v>45446</v>
      </c>
      <c r="C1059" s="1" t="n">
        <v>45512</v>
      </c>
      <c r="D1059" t="inlineStr">
        <is>
          <t>GÄVLEBORGS LÄN</t>
        </is>
      </c>
      <c r="E1059" t="inlineStr">
        <is>
          <t>OVANÅKER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45512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23040-2024</t>
        </is>
      </c>
      <c r="B1061" s="1" t="n">
        <v>45450</v>
      </c>
      <c r="C1061" s="1" t="n">
        <v>45512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23038-2024</t>
        </is>
      </c>
      <c r="B1062" s="1" t="n">
        <v>45450</v>
      </c>
      <c r="C1062" s="1" t="n">
        <v>45512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23442-2024</t>
        </is>
      </c>
      <c r="B1063" s="1" t="n">
        <v>45453</v>
      </c>
      <c r="C1063" s="1" t="n">
        <v>45512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23447-2024</t>
        </is>
      </c>
      <c r="B1064" s="1" t="n">
        <v>45453</v>
      </c>
      <c r="C1064" s="1" t="n">
        <v>45512</v>
      </c>
      <c r="D1064" t="inlineStr">
        <is>
          <t>GÄVLEBORGS LÄN</t>
        </is>
      </c>
      <c r="E1064" t="inlineStr">
        <is>
          <t>OVANÅKER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23499-2024</t>
        </is>
      </c>
      <c r="B1065" s="1" t="n">
        <v>45453</v>
      </c>
      <c r="C1065" s="1" t="n">
        <v>45512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23582-2024</t>
        </is>
      </c>
      <c r="B1066" s="1" t="n">
        <v>45454</v>
      </c>
      <c r="C1066" s="1" t="n">
        <v>45512</v>
      </c>
      <c r="D1066" t="inlineStr">
        <is>
          <t>GÄVLEBORGS LÄN</t>
        </is>
      </c>
      <c r="E1066" t="inlineStr">
        <is>
          <t>OVANÅKER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23593-2024</t>
        </is>
      </c>
      <c r="B1067" s="1" t="n">
        <v>45454</v>
      </c>
      <c r="C1067" s="1" t="n">
        <v>45512</v>
      </c>
      <c r="D1067" t="inlineStr">
        <is>
          <t>GÄVLEBORGS LÄN</t>
        </is>
      </c>
      <c r="E1067" t="inlineStr">
        <is>
          <t>OVANÅKER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23604-2024</t>
        </is>
      </c>
      <c r="B1068" s="1" t="n">
        <v>45454</v>
      </c>
      <c r="C1068" s="1" t="n">
        <v>45512</v>
      </c>
      <c r="D1068" t="inlineStr">
        <is>
          <t>GÄVLEBORGS LÄN</t>
        </is>
      </c>
      <c r="E1068" t="inlineStr">
        <is>
          <t>OVANÅKER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23588-2024</t>
        </is>
      </c>
      <c r="B1069" s="1" t="n">
        <v>45454</v>
      </c>
      <c r="C1069" s="1" t="n">
        <v>45512</v>
      </c>
      <c r="D1069" t="inlineStr">
        <is>
          <t>GÄVLEBORGS LÄN</t>
        </is>
      </c>
      <c r="E1069" t="inlineStr">
        <is>
          <t>OVANÅKER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45512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23958-2024</t>
        </is>
      </c>
      <c r="B1071" s="1" t="n">
        <v>45456</v>
      </c>
      <c r="C1071" s="1" t="n">
        <v>45512</v>
      </c>
      <c r="D1071" t="inlineStr">
        <is>
          <t>GÄVLEBORGS LÄN</t>
        </is>
      </c>
      <c r="E1071" t="inlineStr">
        <is>
          <t>OVANÅKER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23959-2024</t>
        </is>
      </c>
      <c r="B1072" s="1" t="n">
        <v>45456</v>
      </c>
      <c r="C1072" s="1" t="n">
        <v>45512</v>
      </c>
      <c r="D1072" t="inlineStr">
        <is>
          <t>GÄVLEBORGS LÄN</t>
        </is>
      </c>
      <c r="E1072" t="inlineStr">
        <is>
          <t>OVANÅKER</t>
        </is>
      </c>
      <c r="G1072" t="n">
        <v>19.2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24047-2024</t>
        </is>
      </c>
      <c r="B1073" s="1" t="n">
        <v>45456</v>
      </c>
      <c r="C1073" s="1" t="n">
        <v>45512</v>
      </c>
      <c r="D1073" t="inlineStr">
        <is>
          <t>GÄVLEBORGS LÄN</t>
        </is>
      </c>
      <c r="E1073" t="inlineStr">
        <is>
          <t>OVANÅKER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24064-2024</t>
        </is>
      </c>
      <c r="B1074" s="1" t="n">
        <v>45456</v>
      </c>
      <c r="C1074" s="1" t="n">
        <v>45512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24084-2024</t>
        </is>
      </c>
      <c r="B1075" s="1" t="n">
        <v>45456</v>
      </c>
      <c r="C1075" s="1" t="n">
        <v>45512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24032-2024</t>
        </is>
      </c>
      <c r="B1076" s="1" t="n">
        <v>45456</v>
      </c>
      <c r="C1076" s="1" t="n">
        <v>45512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24056-2024</t>
        </is>
      </c>
      <c r="B1077" s="1" t="n">
        <v>45456</v>
      </c>
      <c r="C1077" s="1" t="n">
        <v>45512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24069-2024</t>
        </is>
      </c>
      <c r="B1078" s="1" t="n">
        <v>45456</v>
      </c>
      <c r="C1078" s="1" t="n">
        <v>45512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24074-2024</t>
        </is>
      </c>
      <c r="B1079" s="1" t="n">
        <v>45456</v>
      </c>
      <c r="C1079" s="1" t="n">
        <v>45512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24134-2024</t>
        </is>
      </c>
      <c r="B1080" s="1" t="n">
        <v>45456</v>
      </c>
      <c r="C1080" s="1" t="n">
        <v>45512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24137-2024</t>
        </is>
      </c>
      <c r="B1081" s="1" t="n">
        <v>45456</v>
      </c>
      <c r="C1081" s="1" t="n">
        <v>45512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24067-2024</t>
        </is>
      </c>
      <c r="B1082" s="1" t="n">
        <v>45456</v>
      </c>
      <c r="C1082" s="1" t="n">
        <v>45512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24075-2024</t>
        </is>
      </c>
      <c r="B1083" s="1" t="n">
        <v>45456</v>
      </c>
      <c r="C1083" s="1" t="n">
        <v>45512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24079-2024</t>
        </is>
      </c>
      <c r="B1084" s="1" t="n">
        <v>45456</v>
      </c>
      <c r="C1084" s="1" t="n">
        <v>45512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24294-2024</t>
        </is>
      </c>
      <c r="B1085" s="1" t="n">
        <v>45457</v>
      </c>
      <c r="C1085" s="1" t="n">
        <v>45512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24322-2024</t>
        </is>
      </c>
      <c r="B1086" s="1" t="n">
        <v>45457</v>
      </c>
      <c r="C1086" s="1" t="n">
        <v>45512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24326-2024</t>
        </is>
      </c>
      <c r="B1087" s="1" t="n">
        <v>45457</v>
      </c>
      <c r="C1087" s="1" t="n">
        <v>45512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24293-2024</t>
        </is>
      </c>
      <c r="B1088" s="1" t="n">
        <v>45457</v>
      </c>
      <c r="C1088" s="1" t="n">
        <v>45512</v>
      </c>
      <c r="D1088" t="inlineStr">
        <is>
          <t>GÄVLEBORGS LÄN</t>
        </is>
      </c>
      <c r="E1088" t="inlineStr">
        <is>
          <t>OVANÅKER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24728-2024</t>
        </is>
      </c>
      <c r="B1089" s="1" t="n">
        <v>45460</v>
      </c>
      <c r="C1089" s="1" t="n">
        <v>45512</v>
      </c>
      <c r="D1089" t="inlineStr">
        <is>
          <t>GÄVLEBORGS LÄN</t>
        </is>
      </c>
      <c r="E1089" t="inlineStr">
        <is>
          <t>OVANÅKER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24671-2024</t>
        </is>
      </c>
      <c r="B1090" s="1" t="n">
        <v>45460</v>
      </c>
      <c r="C1090" s="1" t="n">
        <v>45512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24725-2024</t>
        </is>
      </c>
      <c r="B1091" s="1" t="n">
        <v>45460</v>
      </c>
      <c r="C1091" s="1" t="n">
        <v>45512</v>
      </c>
      <c r="D1091" t="inlineStr">
        <is>
          <t>GÄVLEBORGS LÄN</t>
        </is>
      </c>
      <c r="E1091" t="inlineStr">
        <is>
          <t>OVANÅKER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25003-2024</t>
        </is>
      </c>
      <c r="B1092" s="1" t="n">
        <v>45461</v>
      </c>
      <c r="C1092" s="1" t="n">
        <v>45512</v>
      </c>
      <c r="D1092" t="inlineStr">
        <is>
          <t>GÄVLEBORGS LÄN</t>
        </is>
      </c>
      <c r="E1092" t="inlineStr">
        <is>
          <t>OVANÅKER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24971-2024</t>
        </is>
      </c>
      <c r="B1093" s="1" t="n">
        <v>45461</v>
      </c>
      <c r="C1093" s="1" t="n">
        <v>45512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24954-2024</t>
        </is>
      </c>
      <c r="B1094" s="1" t="n">
        <v>45461</v>
      </c>
      <c r="C1094" s="1" t="n">
        <v>45512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24835-2024</t>
        </is>
      </c>
      <c r="B1095" s="1" t="n">
        <v>45461</v>
      </c>
      <c r="C1095" s="1" t="n">
        <v>45512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25297-2024</t>
        </is>
      </c>
      <c r="B1096" s="1" t="n">
        <v>45462</v>
      </c>
      <c r="C1096" s="1" t="n">
        <v>45512</v>
      </c>
      <c r="D1096" t="inlineStr">
        <is>
          <t>GÄVLEBORGS LÄN</t>
        </is>
      </c>
      <c r="E1096" t="inlineStr">
        <is>
          <t>OVANÅKER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25293-2024</t>
        </is>
      </c>
      <c r="B1097" s="1" t="n">
        <v>45462</v>
      </c>
      <c r="C1097" s="1" t="n">
        <v>45512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25299-2024</t>
        </is>
      </c>
      <c r="B1098" s="1" t="n">
        <v>45462</v>
      </c>
      <c r="C1098" s="1" t="n">
        <v>45512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25250-2024</t>
        </is>
      </c>
      <c r="B1099" s="1" t="n">
        <v>45462</v>
      </c>
      <c r="C1099" s="1" t="n">
        <v>45512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25345-2024</t>
        </is>
      </c>
      <c r="B1100" s="1" t="n">
        <v>45463</v>
      </c>
      <c r="C1100" s="1" t="n">
        <v>45512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25823-2024</t>
        </is>
      </c>
      <c r="B1101" s="1" t="n">
        <v>45463</v>
      </c>
      <c r="C1101" s="1" t="n">
        <v>45512</v>
      </c>
      <c r="D1101" t="inlineStr">
        <is>
          <t>GÄVLEBORGS LÄN</t>
        </is>
      </c>
      <c r="E1101" t="inlineStr">
        <is>
          <t>OVANÅKER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45512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25831-2024</t>
        </is>
      </c>
      <c r="B1103" s="1" t="n">
        <v>45463</v>
      </c>
      <c r="C1103" s="1" t="n">
        <v>45512</v>
      </c>
      <c r="D1103" t="inlineStr">
        <is>
          <t>GÄVLEBORGS LÄN</t>
        </is>
      </c>
      <c r="E1103" t="inlineStr">
        <is>
          <t>OVANÅKER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25411-2024</t>
        </is>
      </c>
      <c r="B1104" s="1" t="n">
        <v>45463</v>
      </c>
      <c r="C1104" s="1" t="n">
        <v>45512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26028-2024</t>
        </is>
      </c>
      <c r="B1105" s="1" t="n">
        <v>45468</v>
      </c>
      <c r="C1105" s="1" t="n">
        <v>45512</v>
      </c>
      <c r="D1105" t="inlineStr">
        <is>
          <t>GÄVLEBORGS LÄN</t>
        </is>
      </c>
      <c r="E1105" t="inlineStr">
        <is>
          <t>OVANÅKER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26027-2024</t>
        </is>
      </c>
      <c r="B1106" s="1" t="n">
        <v>45468</v>
      </c>
      <c r="C1106" s="1" t="n">
        <v>45512</v>
      </c>
      <c r="D1106" t="inlineStr">
        <is>
          <t>GÄVLEBORGS LÄN</t>
        </is>
      </c>
      <c r="E1106" t="inlineStr">
        <is>
          <t>OVANÅKER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26814-2024</t>
        </is>
      </c>
      <c r="B1107" s="1" t="n">
        <v>45470</v>
      </c>
      <c r="C1107" s="1" t="n">
        <v>45512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26735-2024</t>
        </is>
      </c>
      <c r="B1108" s="1" t="n">
        <v>45470</v>
      </c>
      <c r="C1108" s="1" t="n">
        <v>45512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26767-2024</t>
        </is>
      </c>
      <c r="B1109" s="1" t="n">
        <v>45470</v>
      </c>
      <c r="C1109" s="1" t="n">
        <v>45512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26744-2024</t>
        </is>
      </c>
      <c r="B1110" s="1" t="n">
        <v>45470</v>
      </c>
      <c r="C1110" s="1" t="n">
        <v>45512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26829-2024</t>
        </is>
      </c>
      <c r="B1111" s="1" t="n">
        <v>45470</v>
      </c>
      <c r="C1111" s="1" t="n">
        <v>45512</v>
      </c>
      <c r="D1111" t="inlineStr">
        <is>
          <t>GÄVLEBORGS LÄN</t>
        </is>
      </c>
      <c r="E1111" t="inlineStr">
        <is>
          <t>OVANÅKER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27215-2024</t>
        </is>
      </c>
      <c r="B1112" s="1" t="n">
        <v>45471</v>
      </c>
      <c r="C1112" s="1" t="n">
        <v>45512</v>
      </c>
      <c r="D1112" t="inlineStr">
        <is>
          <t>GÄVLEBORGS LÄN</t>
        </is>
      </c>
      <c r="E1112" t="inlineStr">
        <is>
          <t>OVANÅKER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26984-2024</t>
        </is>
      </c>
      <c r="B1113" s="1" t="n">
        <v>45471</v>
      </c>
      <c r="C1113" s="1" t="n">
        <v>45512</v>
      </c>
      <c r="D1113" t="inlineStr">
        <is>
          <t>GÄVLEBORGS LÄN</t>
        </is>
      </c>
      <c r="E1113" t="inlineStr">
        <is>
          <t>OVANÅKER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27422-2024</t>
        </is>
      </c>
      <c r="B1114" s="1" t="n">
        <v>45474</v>
      </c>
      <c r="C1114" s="1" t="n">
        <v>45512</v>
      </c>
      <c r="D1114" t="inlineStr">
        <is>
          <t>GÄVLEBORGS LÄN</t>
        </is>
      </c>
      <c r="E1114" t="inlineStr">
        <is>
          <t>OVANÅKER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27601-2024</t>
        </is>
      </c>
      <c r="B1115" s="1" t="n">
        <v>45474</v>
      </c>
      <c r="C1115" s="1" t="n">
        <v>45512</v>
      </c>
      <c r="D1115" t="inlineStr">
        <is>
          <t>GÄVLEBORGS LÄN</t>
        </is>
      </c>
      <c r="E1115" t="inlineStr">
        <is>
          <t>OVANÅKER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27971-2024</t>
        </is>
      </c>
      <c r="B1116" s="1" t="n">
        <v>45476</v>
      </c>
      <c r="C1116" s="1" t="n">
        <v>45512</v>
      </c>
      <c r="D1116" t="inlineStr">
        <is>
          <t>GÄVLEBORGS LÄN</t>
        </is>
      </c>
      <c r="E1116" t="inlineStr">
        <is>
          <t>OVANÅKER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28001-2024</t>
        </is>
      </c>
      <c r="B1117" s="1" t="n">
        <v>45476</v>
      </c>
      <c r="C1117" s="1" t="n">
        <v>45512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22.9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28448-2024</t>
        </is>
      </c>
      <c r="B1118" s="1" t="n">
        <v>45477</v>
      </c>
      <c r="C1118" s="1" t="n">
        <v>45512</v>
      </c>
      <c r="D1118" t="inlineStr">
        <is>
          <t>GÄVLEBORGS LÄN</t>
        </is>
      </c>
      <c r="E1118" t="inlineStr">
        <is>
          <t>OVANÅKER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28371-2024</t>
        </is>
      </c>
      <c r="B1119" s="1" t="n">
        <v>45477</v>
      </c>
      <c r="C1119" s="1" t="n">
        <v>45512</v>
      </c>
      <c r="D1119" t="inlineStr">
        <is>
          <t>GÄVLEBORGS LÄN</t>
        </is>
      </c>
      <c r="E1119" t="inlineStr">
        <is>
          <t>OVANÅKER</t>
        </is>
      </c>
      <c r="G1119" t="n">
        <v>13.9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28445-2024</t>
        </is>
      </c>
      <c r="B1120" s="1" t="n">
        <v>45477</v>
      </c>
      <c r="C1120" s="1" t="n">
        <v>45512</v>
      </c>
      <c r="D1120" t="inlineStr">
        <is>
          <t>GÄVLEBORGS LÄN</t>
        </is>
      </c>
      <c r="E1120" t="inlineStr">
        <is>
          <t>OVANÅKER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28450-2024</t>
        </is>
      </c>
      <c r="B1121" s="1" t="n">
        <v>45477</v>
      </c>
      <c r="C1121" s="1" t="n">
        <v>45512</v>
      </c>
      <c r="D1121" t="inlineStr">
        <is>
          <t>GÄVLEBORGS LÄN</t>
        </is>
      </c>
      <c r="E1121" t="inlineStr">
        <is>
          <t>OVANÅKER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28446-2024</t>
        </is>
      </c>
      <c r="B1122" s="1" t="n">
        <v>45477</v>
      </c>
      <c r="C1122" s="1" t="n">
        <v>45512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28744-2024</t>
        </is>
      </c>
      <c r="B1123" s="1" t="n">
        <v>45478</v>
      </c>
      <c r="C1123" s="1" t="n">
        <v>45512</v>
      </c>
      <c r="D1123" t="inlineStr">
        <is>
          <t>GÄVLEBORGS LÄN</t>
        </is>
      </c>
      <c r="E1123" t="inlineStr">
        <is>
          <t>OVANÅKER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29294-2024</t>
        </is>
      </c>
      <c r="B1124" s="1" t="n">
        <v>45483</v>
      </c>
      <c r="C1124" s="1" t="n">
        <v>45512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30241-2024</t>
        </is>
      </c>
      <c r="B1125" s="1" t="n">
        <v>45490</v>
      </c>
      <c r="C1125" s="1" t="n">
        <v>45512</v>
      </c>
      <c r="D1125" t="inlineStr">
        <is>
          <t>GÄVLEBORGS LÄN</t>
        </is>
      </c>
      <c r="E1125" t="inlineStr">
        <is>
          <t>OVANÅKER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30245-2024</t>
        </is>
      </c>
      <c r="B1126" s="1" t="n">
        <v>45490</v>
      </c>
      <c r="C1126" s="1" t="n">
        <v>45512</v>
      </c>
      <c r="D1126" t="inlineStr">
        <is>
          <t>GÄVLEBORGS LÄN</t>
        </is>
      </c>
      <c r="E1126" t="inlineStr">
        <is>
          <t>OVANÅKER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30257-2024</t>
        </is>
      </c>
      <c r="B1127" s="1" t="n">
        <v>45490</v>
      </c>
      <c r="C1127" s="1" t="n">
        <v>45512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30199-2024</t>
        </is>
      </c>
      <c r="B1128" s="1" t="n">
        <v>45490</v>
      </c>
      <c r="C1128" s="1" t="n">
        <v>45512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20.8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30254-2024</t>
        </is>
      </c>
      <c r="B1129" s="1" t="n">
        <v>45490</v>
      </c>
      <c r="C1129" s="1" t="n">
        <v>45512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30269-2024</t>
        </is>
      </c>
      <c r="B1130" s="1" t="n">
        <v>45490</v>
      </c>
      <c r="C1130" s="1" t="n">
        <v>45512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45512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30492-2024</t>
        </is>
      </c>
      <c r="B1132" s="1" t="n">
        <v>45492</v>
      </c>
      <c r="C1132" s="1" t="n">
        <v>45512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30566-2024</t>
        </is>
      </c>
      <c r="B1133" s="1" t="n">
        <v>45493</v>
      </c>
      <c r="C1133" s="1" t="n">
        <v>45512</v>
      </c>
      <c r="D1133" t="inlineStr">
        <is>
          <t>GÄVLEBORGS LÄN</t>
        </is>
      </c>
      <c r="E1133" t="inlineStr">
        <is>
          <t>OVANÅKER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30565-2024</t>
        </is>
      </c>
      <c r="B1134" s="1" t="n">
        <v>45493</v>
      </c>
      <c r="C1134" s="1" t="n">
        <v>45512</v>
      </c>
      <c r="D1134" t="inlineStr">
        <is>
          <t>GÄVLEBORGS LÄN</t>
        </is>
      </c>
      <c r="E1134" t="inlineStr">
        <is>
          <t>OVANÅKER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30695-2024</t>
        </is>
      </c>
      <c r="B1135" s="1" t="n">
        <v>45496</v>
      </c>
      <c r="C1135" s="1" t="n">
        <v>45512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30802-2024</t>
        </is>
      </c>
      <c r="B1136" s="1" t="n">
        <v>45497</v>
      </c>
      <c r="C1136" s="1" t="n">
        <v>45512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30919-2024</t>
        </is>
      </c>
      <c r="B1137" s="1" t="n">
        <v>45498</v>
      </c>
      <c r="C1137" s="1" t="n">
        <v>45512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30906-2024</t>
        </is>
      </c>
      <c r="B1138" s="1" t="n">
        <v>45498</v>
      </c>
      <c r="C1138" s="1" t="n">
        <v>45512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30941-2024</t>
        </is>
      </c>
      <c r="B1139" s="1" t="n">
        <v>45499</v>
      </c>
      <c r="C1139" s="1" t="n">
        <v>45512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Sveaskog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30946-2024</t>
        </is>
      </c>
      <c r="B1140" s="1" t="n">
        <v>45499</v>
      </c>
      <c r="C1140" s="1" t="n">
        <v>45512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31063-2024</t>
        </is>
      </c>
      <c r="B1141" s="1" t="n">
        <v>45502</v>
      </c>
      <c r="C1141" s="1" t="n">
        <v>45512</v>
      </c>
      <c r="D1141" t="inlineStr">
        <is>
          <t>GÄVLEBORGS LÄN</t>
        </is>
      </c>
      <c r="E1141" t="inlineStr">
        <is>
          <t>OVANÅKER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31084-2024</t>
        </is>
      </c>
      <c r="B1142" s="1" t="n">
        <v>45502</v>
      </c>
      <c r="C1142" s="1" t="n">
        <v>45512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31052-2024</t>
        </is>
      </c>
      <c r="B1143" s="1" t="n">
        <v>45502</v>
      </c>
      <c r="C1143" s="1" t="n">
        <v>45512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31175-2024</t>
        </is>
      </c>
      <c r="B1144" s="1" t="n">
        <v>45503</v>
      </c>
      <c r="C1144" s="1" t="n">
        <v>45512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31298-2024</t>
        </is>
      </c>
      <c r="B1145" s="1" t="n">
        <v>45504</v>
      </c>
      <c r="C1145" s="1" t="n">
        <v>45512</v>
      </c>
      <c r="D1145" t="inlineStr">
        <is>
          <t>GÄVLEBORGS LÄN</t>
        </is>
      </c>
      <c r="E1145" t="inlineStr">
        <is>
          <t>OVANÅKER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31296-2024</t>
        </is>
      </c>
      <c r="B1146" s="1" t="n">
        <v>45504</v>
      </c>
      <c r="C1146" s="1" t="n">
        <v>45512</v>
      </c>
      <c r="D1146" t="inlineStr">
        <is>
          <t>GÄVLEBORGS LÄN</t>
        </is>
      </c>
      <c r="E1146" t="inlineStr">
        <is>
          <t>OVANÅKER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2024-08-08T10:04:45Z</dcterms:created>
  <dcterms:modified xmlns:dcterms="http://purl.org/dc/terms/" xmlns:xsi="http://www.w3.org/2001/XMLSchema-instance" xsi:type="dcterms:W3CDTF">2024-08-08T10:04:46Z</dcterms:modified>
</cp:coreProperties>
</file>