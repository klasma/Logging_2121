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45794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45794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45794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45794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45794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45794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45794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45794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45794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45794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45794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45794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45794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30364-2022</t>
        </is>
      </c>
      <c r="B15" s="1" t="n">
        <v>44760</v>
      </c>
      <c r="C15" s="1" t="n">
        <v>45794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54683-2022</t>
        </is>
      </c>
      <c r="B16" s="1" t="n">
        <v>44883</v>
      </c>
      <c r="C16" s="1" t="n">
        <v>45794</v>
      </c>
      <c r="D16" t="inlineStr">
        <is>
          <t>GÄVLEBORGS LÄN</t>
        </is>
      </c>
      <c r="E16" t="inlineStr">
        <is>
          <t>OVANÅKER</t>
        </is>
      </c>
      <c r="G16" t="n">
        <v>7.4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Orre</t>
        </is>
      </c>
      <c r="S16">
        <f>HYPERLINK("https://klasma.github.io/Logging_2121/artfynd/A 54683-2022 artfynd.xlsx", "A 54683-2022")</f>
        <v/>
      </c>
      <c r="T16">
        <f>HYPERLINK("https://klasma.github.io/Logging_2121/kartor/A 54683-2022 karta.png", "A 54683-2022")</f>
        <v/>
      </c>
      <c r="V16">
        <f>HYPERLINK("https://klasma.github.io/Logging_2121/klagomål/A 54683-2022 FSC-klagomål.docx", "A 54683-2022")</f>
        <v/>
      </c>
      <c r="W16">
        <f>HYPERLINK("https://klasma.github.io/Logging_2121/klagomålsmail/A 54683-2022 FSC-klagomål mail.docx", "A 54683-2022")</f>
        <v/>
      </c>
      <c r="X16">
        <f>HYPERLINK("https://klasma.github.io/Logging_2121/tillsyn/A 54683-2022 tillsynsbegäran.docx", "A 54683-2022")</f>
        <v/>
      </c>
      <c r="Y16">
        <f>HYPERLINK("https://klasma.github.io/Logging_2121/tillsynsmail/A 54683-2022 tillsynsbegäran mail.docx", "A 54683-2022")</f>
        <v/>
      </c>
      <c r="Z16">
        <f>HYPERLINK("https://klasma.github.io/Logging_2121/fåglar/A 54683-2022 prioriterade fågelarter.docx", "A 54683-2022")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45794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1196-2024</t>
        </is>
      </c>
      <c r="B18" s="1" t="n">
        <v>45302</v>
      </c>
      <c r="C18" s="1" t="n">
        <v>45794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Blåsippa</t>
        </is>
      </c>
      <c r="S18">
        <f>HYPERLINK("https://klasma.github.io/Logging_2121/artfynd/A 1196-2024 artfynd.xlsx", "A 1196-2024")</f>
        <v/>
      </c>
      <c r="T18">
        <f>HYPERLINK("https://klasma.github.io/Logging_2121/kartor/A 1196-2024 karta.png", "A 1196-2024")</f>
        <v/>
      </c>
      <c r="V18">
        <f>HYPERLINK("https://klasma.github.io/Logging_2121/klagomål/A 1196-2024 FSC-klagomål.docx", "A 1196-2024")</f>
        <v/>
      </c>
      <c r="W18">
        <f>HYPERLINK("https://klasma.github.io/Logging_2121/klagomålsmail/A 1196-2024 FSC-klagomål mail.docx", "A 1196-2024")</f>
        <v/>
      </c>
      <c r="X18">
        <f>HYPERLINK("https://klasma.github.io/Logging_2121/tillsyn/A 1196-2024 tillsynsbegäran.docx", "A 1196-2024")</f>
        <v/>
      </c>
      <c r="Y18">
        <f>HYPERLINK("https://klasma.github.io/Logging_2121/tillsynsmail/A 1196-2024 tillsynsbegäran mail.docx", "A 1196-2024")</f>
        <v/>
      </c>
    </row>
    <row r="19" ht="15" customHeight="1">
      <c r="A19" t="inlineStr">
        <is>
          <t>A 4081-2024</t>
        </is>
      </c>
      <c r="B19" s="1" t="n">
        <v>45323</v>
      </c>
      <c r="C19" s="1" t="n">
        <v>45794</v>
      </c>
      <c r="D19" t="inlineStr">
        <is>
          <t>GÄVLEBORGS LÄN</t>
        </is>
      </c>
      <c r="E19" t="inlineStr">
        <is>
          <t>OVANÅKER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Rosenticka
Ullticka</t>
        </is>
      </c>
      <c r="S19">
        <f>HYPERLINK("https://klasma.github.io/Logging_2121/artfynd/A 4081-2024 artfynd.xlsx", "A 4081-2024")</f>
        <v/>
      </c>
      <c r="T19">
        <f>HYPERLINK("https://klasma.github.io/Logging_2121/kartor/A 4081-2024 karta.png", "A 4081-2024")</f>
        <v/>
      </c>
      <c r="V19">
        <f>HYPERLINK("https://klasma.github.io/Logging_2121/klagomål/A 4081-2024 FSC-klagomål.docx", "A 4081-2024")</f>
        <v/>
      </c>
      <c r="W19">
        <f>HYPERLINK("https://klasma.github.io/Logging_2121/klagomålsmail/A 4081-2024 FSC-klagomål mail.docx", "A 4081-2024")</f>
        <v/>
      </c>
      <c r="X19">
        <f>HYPERLINK("https://klasma.github.io/Logging_2121/tillsyn/A 4081-2024 tillsynsbegäran.docx", "A 4081-2024")</f>
        <v/>
      </c>
      <c r="Y19">
        <f>HYPERLINK("https://klasma.github.io/Logging_2121/tillsynsmail/A 4081-2024 tillsynsbegäran mail.docx", "A 4081-2024")</f>
        <v/>
      </c>
    </row>
    <row r="20" ht="15" customHeight="1">
      <c r="A20" t="inlineStr">
        <is>
          <t>A 19180-2024</t>
        </is>
      </c>
      <c r="B20" s="1" t="n">
        <v>45428</v>
      </c>
      <c r="C20" s="1" t="n">
        <v>45794</v>
      </c>
      <c r="D20" t="inlineStr">
        <is>
          <t>GÄVLEBORGS LÄN</t>
        </is>
      </c>
      <c r="E20" t="inlineStr">
        <is>
          <t>OVANÅKER</t>
        </is>
      </c>
      <c r="G20" t="n">
        <v>4.1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Vedskivlav</t>
        </is>
      </c>
      <c r="S20">
        <f>HYPERLINK("https://klasma.github.io/Logging_2121/artfynd/A 19180-2024 artfynd.xlsx", "A 19180-2024")</f>
        <v/>
      </c>
      <c r="T20">
        <f>HYPERLINK("https://klasma.github.io/Logging_2121/kartor/A 19180-2024 karta.png", "A 19180-2024")</f>
        <v/>
      </c>
      <c r="V20">
        <f>HYPERLINK("https://klasma.github.io/Logging_2121/klagomål/A 19180-2024 FSC-klagomål.docx", "A 19180-2024")</f>
        <v/>
      </c>
      <c r="W20">
        <f>HYPERLINK("https://klasma.github.io/Logging_2121/klagomålsmail/A 19180-2024 FSC-klagomål mail.docx", "A 19180-2024")</f>
        <v/>
      </c>
      <c r="X20">
        <f>HYPERLINK("https://klasma.github.io/Logging_2121/tillsyn/A 19180-2024 tillsynsbegäran.docx", "A 19180-2024")</f>
        <v/>
      </c>
      <c r="Y20">
        <f>HYPERLINK("https://klasma.github.io/Logging_2121/tillsynsmail/A 19180-2024 tillsynsbegäran mail.docx", "A 19180-2024")</f>
        <v/>
      </c>
    </row>
    <row r="21" ht="15" customHeight="1">
      <c r="A21" t="inlineStr">
        <is>
          <t>A 30941-2024</t>
        </is>
      </c>
      <c r="B21" s="1" t="n">
        <v>45499</v>
      </c>
      <c r="C21" s="1" t="n">
        <v>45794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45794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6288-2025</t>
        </is>
      </c>
      <c r="B23" s="1" t="n">
        <v>45698</v>
      </c>
      <c r="C23" s="1" t="n">
        <v>45794</v>
      </c>
      <c r="D23" t="inlineStr">
        <is>
          <t>GÄVLEBORGS LÄN</t>
        </is>
      </c>
      <c r="E23" t="inlineStr">
        <is>
          <t>OVANÅKER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Skinnlav</t>
        </is>
      </c>
      <c r="S23">
        <f>HYPERLINK("https://klasma.github.io/Logging_2121/artfynd/A 6288-2025 artfynd.xlsx", "A 6288-2025")</f>
        <v/>
      </c>
      <c r="T23">
        <f>HYPERLINK("https://klasma.github.io/Logging_2121/kartor/A 6288-2025 karta.png", "A 6288-2025")</f>
        <v/>
      </c>
      <c r="V23">
        <f>HYPERLINK("https://klasma.github.io/Logging_2121/klagomål/A 6288-2025 FSC-klagomål.docx", "A 6288-2025")</f>
        <v/>
      </c>
      <c r="W23">
        <f>HYPERLINK("https://klasma.github.io/Logging_2121/klagomålsmail/A 6288-2025 FSC-klagomål mail.docx", "A 6288-2025")</f>
        <v/>
      </c>
      <c r="X23">
        <f>HYPERLINK("https://klasma.github.io/Logging_2121/tillsyn/A 6288-2025 tillsynsbegäran.docx", "A 6288-2025")</f>
        <v/>
      </c>
      <c r="Y23">
        <f>HYPERLINK("https://klasma.github.io/Logging_2121/tillsynsmail/A 6288-2025 tillsynsbegäran mail.docx", "A 6288-2025")</f>
        <v/>
      </c>
    </row>
    <row r="24" ht="15" customHeight="1">
      <c r="A24" t="inlineStr">
        <is>
          <t>A 8361-2020</t>
        </is>
      </c>
      <c r="B24" s="1" t="n">
        <v>43875</v>
      </c>
      <c r="C24" s="1" t="n">
        <v>45794</v>
      </c>
      <c r="D24" t="inlineStr">
        <is>
          <t>GÄVLEBORGS LÄN</t>
        </is>
      </c>
      <c r="E24" t="inlineStr">
        <is>
          <t>OVANÅKER</t>
        </is>
      </c>
      <c r="G24" t="n">
        <v>9.800000000000001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Slaguggla</t>
        </is>
      </c>
      <c r="S24">
        <f>HYPERLINK("https://klasma.github.io/Logging_2121/artfynd/A 8361-2020 artfynd.xlsx", "A 8361-2020")</f>
        <v/>
      </c>
      <c r="T24">
        <f>HYPERLINK("https://klasma.github.io/Logging_2121/kartor/A 8361-2020 karta.png", "A 8361-2020")</f>
        <v/>
      </c>
      <c r="V24">
        <f>HYPERLINK("https://klasma.github.io/Logging_2121/klagomål/A 8361-2020 FSC-klagomål.docx", "A 8361-2020")</f>
        <v/>
      </c>
      <c r="W24">
        <f>HYPERLINK("https://klasma.github.io/Logging_2121/klagomålsmail/A 8361-2020 FSC-klagomål mail.docx", "A 8361-2020")</f>
        <v/>
      </c>
      <c r="X24">
        <f>HYPERLINK("https://klasma.github.io/Logging_2121/tillsyn/A 8361-2020 tillsynsbegäran.docx", "A 8361-2020")</f>
        <v/>
      </c>
      <c r="Y24">
        <f>HYPERLINK("https://klasma.github.io/Logging_2121/tillsynsmail/A 8361-2020 tillsynsbegäran mail.docx", "A 8361-2020")</f>
        <v/>
      </c>
      <c r="Z24">
        <f>HYPERLINK("https://klasma.github.io/Logging_2121/fåglar/A 8361-2020 prioriterade fågelarter.docx", "A 8361-2020")</f>
        <v/>
      </c>
    </row>
    <row r="25" ht="15" customHeight="1">
      <c r="A25" t="inlineStr">
        <is>
          <t>A 29855-2021</t>
        </is>
      </c>
      <c r="B25" s="1" t="n">
        <v>44362</v>
      </c>
      <c r="C25" s="1" t="n">
        <v>45794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29873-2021</t>
        </is>
      </c>
      <c r="B26" s="1" t="n">
        <v>44362</v>
      </c>
      <c r="C26" s="1" t="n">
        <v>45794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45794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34219-2021</t>
        </is>
      </c>
      <c r="B28" s="1" t="n">
        <v>44379</v>
      </c>
      <c r="C28" s="1" t="n">
        <v>45794</v>
      </c>
      <c r="D28" t="inlineStr">
        <is>
          <t>GÄVLEBORGS LÄN</t>
        </is>
      </c>
      <c r="E28" t="inlineStr">
        <is>
          <t>OVANÅKER</t>
        </is>
      </c>
      <c r="F28" t="inlineStr">
        <is>
          <t>Kyrkan</t>
        </is>
      </c>
      <c r="G28" t="n">
        <v>24.7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HYPERLINK("https://klasma.github.io/Logging_2121/artfynd/A 34219-2021 artfynd.xlsx", "A 34219-2021")</f>
        <v/>
      </c>
      <c r="T28">
        <f>HYPERLINK("https://klasma.github.io/Logging_2121/kartor/A 34219-2021 karta.png", "A 34219-2021")</f>
        <v/>
      </c>
      <c r="V28">
        <f>HYPERLINK("https://klasma.github.io/Logging_2121/klagomål/A 34219-2021 FSC-klagomål.docx", "A 34219-2021")</f>
        <v/>
      </c>
      <c r="W28">
        <f>HYPERLINK("https://klasma.github.io/Logging_2121/klagomålsmail/A 34219-2021 FSC-klagomål mail.docx", "A 34219-2021")</f>
        <v/>
      </c>
      <c r="X28">
        <f>HYPERLINK("https://klasma.github.io/Logging_2121/tillsyn/A 34219-2021 tillsynsbegäran.docx", "A 34219-2021")</f>
        <v/>
      </c>
      <c r="Y28">
        <f>HYPERLINK("https://klasma.github.io/Logging_2121/tillsynsmail/A 34219-2021 tillsynsbegäran mail.docx", "A 34219-2021")</f>
        <v/>
      </c>
      <c r="Z28">
        <f>HYPERLINK("https://klasma.github.io/Logging_2121/fåglar/A 34219-2021 prioriterade fågelarter.docx", "A 34219-2021")</f>
        <v/>
      </c>
    </row>
    <row r="29" ht="15" customHeight="1">
      <c r="A29" t="inlineStr">
        <is>
          <t>A 52166-2021</t>
        </is>
      </c>
      <c r="B29" s="1" t="n">
        <v>44463</v>
      </c>
      <c r="C29" s="1" t="n">
        <v>45794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34414-2022</t>
        </is>
      </c>
      <c r="B30" s="1" t="n">
        <v>44792</v>
      </c>
      <c r="C30" s="1" t="n">
        <v>45794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34414-2022 artfynd.xlsx", "A 34414-2022")</f>
        <v/>
      </c>
      <c r="T30">
        <f>HYPERLINK("https://klasma.github.io/Logging_2121/kartor/A 34414-2022 karta.png", "A 34414-2022")</f>
        <v/>
      </c>
      <c r="V30">
        <f>HYPERLINK("https://klasma.github.io/Logging_2121/klagomål/A 34414-2022 FSC-klagomål.docx", "A 34414-2022")</f>
        <v/>
      </c>
      <c r="W30">
        <f>HYPERLINK("https://klasma.github.io/Logging_2121/klagomålsmail/A 34414-2022 FSC-klagomål mail.docx", "A 34414-2022")</f>
        <v/>
      </c>
      <c r="X30">
        <f>HYPERLINK("https://klasma.github.io/Logging_2121/tillsyn/A 34414-2022 tillsynsbegäran.docx", "A 34414-2022")</f>
        <v/>
      </c>
      <c r="Y30">
        <f>HYPERLINK("https://klasma.github.io/Logging_2121/tillsynsmail/A 34414-2022 tillsynsbegäran mail.docx", "A 34414-2022")</f>
        <v/>
      </c>
    </row>
    <row r="31" ht="15" customHeight="1">
      <c r="A31" t="inlineStr">
        <is>
          <t>A 34415-2022</t>
        </is>
      </c>
      <c r="B31" s="1" t="n">
        <v>44792</v>
      </c>
      <c r="C31" s="1" t="n">
        <v>45794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34415-2022 artfynd.xlsx", "A 34415-2022")</f>
        <v/>
      </c>
      <c r="T31">
        <f>HYPERLINK("https://klasma.github.io/Logging_2121/kartor/A 34415-2022 karta.png", "A 34415-2022")</f>
        <v/>
      </c>
      <c r="V31">
        <f>HYPERLINK("https://klasma.github.io/Logging_2121/klagomål/A 34415-2022 FSC-klagomål.docx", "A 34415-2022")</f>
        <v/>
      </c>
      <c r="W31">
        <f>HYPERLINK("https://klasma.github.io/Logging_2121/klagomålsmail/A 34415-2022 FSC-klagomål mail.docx", "A 34415-2022")</f>
        <v/>
      </c>
      <c r="X31">
        <f>HYPERLINK("https://klasma.github.io/Logging_2121/tillsyn/A 34415-2022 tillsynsbegäran.docx", "A 34415-2022")</f>
        <v/>
      </c>
      <c r="Y31">
        <f>HYPERLINK("https://klasma.github.io/Logging_2121/tillsynsmail/A 34415-2022 tillsynsbegäran mail.docx", "A 34415-2022")</f>
        <v/>
      </c>
    </row>
    <row r="32" ht="15" customHeight="1">
      <c r="A32" t="inlineStr">
        <is>
          <t>A 20661-2023</t>
        </is>
      </c>
      <c r="B32" s="1" t="n">
        <v>45058</v>
      </c>
      <c r="C32" s="1" t="n">
        <v>45794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20661-2023 artfynd.xlsx", "A 20661-2023")</f>
        <v/>
      </c>
      <c r="T32">
        <f>HYPERLINK("https://klasma.github.io/Logging_2121/kartor/A 20661-2023 karta.png", "A 20661-2023")</f>
        <v/>
      </c>
      <c r="V32">
        <f>HYPERLINK("https://klasma.github.io/Logging_2121/klagomål/A 20661-2023 FSC-klagomål.docx", "A 20661-2023")</f>
        <v/>
      </c>
      <c r="W32">
        <f>HYPERLINK("https://klasma.github.io/Logging_2121/klagomålsmail/A 20661-2023 FSC-klagomål mail.docx", "A 20661-2023")</f>
        <v/>
      </c>
      <c r="X32">
        <f>HYPERLINK("https://klasma.github.io/Logging_2121/tillsyn/A 20661-2023 tillsynsbegäran.docx", "A 20661-2023")</f>
        <v/>
      </c>
      <c r="Y32">
        <f>HYPERLINK("https://klasma.github.io/Logging_2121/tillsynsmail/A 20661-2023 tillsynsbegäran mail.docx", "A 20661-2023")</f>
        <v/>
      </c>
    </row>
    <row r="33" ht="15" customHeight="1">
      <c r="A33" t="inlineStr">
        <is>
          <t>A 36809-2023</t>
        </is>
      </c>
      <c r="B33" s="1" t="n">
        <v>45154</v>
      </c>
      <c r="C33" s="1" t="n">
        <v>45794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HYPERLINK("https://klasma.github.io/Logging_2121/artfynd/A 36809-2023 artfynd.xlsx", "A 36809-2023")</f>
        <v/>
      </c>
      <c r="T33">
        <f>HYPERLINK("https://klasma.github.io/Logging_2121/kartor/A 36809-2023 karta.png", "A 36809-2023")</f>
        <v/>
      </c>
      <c r="V33">
        <f>HYPERLINK("https://klasma.github.io/Logging_2121/klagomål/A 36809-2023 FSC-klagomål.docx", "A 36809-2023")</f>
        <v/>
      </c>
      <c r="W33">
        <f>HYPERLINK("https://klasma.github.io/Logging_2121/klagomålsmail/A 36809-2023 FSC-klagomål mail.docx", "A 36809-2023")</f>
        <v/>
      </c>
      <c r="X33">
        <f>HYPERLINK("https://klasma.github.io/Logging_2121/tillsyn/A 36809-2023 tillsynsbegäran.docx", "A 36809-2023")</f>
        <v/>
      </c>
      <c r="Y33">
        <f>HYPERLINK("https://klasma.github.io/Logging_2121/tillsynsmail/A 36809-2023 tillsynsbegäran mail.docx", "A 36809-2023")</f>
        <v/>
      </c>
    </row>
    <row r="34" ht="15" customHeight="1">
      <c r="A34" t="inlineStr">
        <is>
          <t>A 49279-2023</t>
        </is>
      </c>
      <c r="B34" s="1" t="n">
        <v>45210</v>
      </c>
      <c r="C34" s="1" t="n">
        <v>45794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13.6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Smal svampklubba</t>
        </is>
      </c>
      <c r="S34">
        <f>HYPERLINK("https://klasma.github.io/Logging_2121/artfynd/A 49279-2023 artfynd.xlsx", "A 49279-2023")</f>
        <v/>
      </c>
      <c r="T34">
        <f>HYPERLINK("https://klasma.github.io/Logging_2121/kartor/A 49279-2023 karta.png", "A 49279-2023")</f>
        <v/>
      </c>
      <c r="V34">
        <f>HYPERLINK("https://klasma.github.io/Logging_2121/klagomål/A 49279-2023 FSC-klagomål.docx", "A 49279-2023")</f>
        <v/>
      </c>
      <c r="W34">
        <f>HYPERLINK("https://klasma.github.io/Logging_2121/klagomålsmail/A 49279-2023 FSC-klagomål mail.docx", "A 49279-2023")</f>
        <v/>
      </c>
      <c r="X34">
        <f>HYPERLINK("https://klasma.github.io/Logging_2121/tillsyn/A 49279-2023 tillsynsbegäran.docx", "A 49279-2023")</f>
        <v/>
      </c>
      <c r="Y34">
        <f>HYPERLINK("https://klasma.github.io/Logging_2121/tillsynsmail/A 49279-2023 tillsynsbegäran mail.docx", "A 49279-2023")</f>
        <v/>
      </c>
    </row>
    <row r="35" ht="15" customHeight="1">
      <c r="A35" t="inlineStr">
        <is>
          <t>A 49376-2023</t>
        </is>
      </c>
      <c r="B35" s="1" t="n">
        <v>45211</v>
      </c>
      <c r="C35" s="1" t="n">
        <v>45794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HYPERLINK("https://klasma.github.io/Logging_2121/artfynd/A 49376-2023 artfynd.xlsx", "A 49376-2023")</f>
        <v/>
      </c>
      <c r="T35">
        <f>HYPERLINK("https://klasma.github.io/Logging_2121/kartor/A 49376-2023 karta.png", "A 49376-2023")</f>
        <v/>
      </c>
      <c r="V35">
        <f>HYPERLINK("https://klasma.github.io/Logging_2121/klagomål/A 49376-2023 FSC-klagomål.docx", "A 49376-2023")</f>
        <v/>
      </c>
      <c r="W35">
        <f>HYPERLINK("https://klasma.github.io/Logging_2121/klagomålsmail/A 49376-2023 FSC-klagomål mail.docx", "A 49376-2023")</f>
        <v/>
      </c>
      <c r="X35">
        <f>HYPERLINK("https://klasma.github.io/Logging_2121/tillsyn/A 49376-2023 tillsynsbegäran.docx", "A 49376-2023")</f>
        <v/>
      </c>
      <c r="Y35">
        <f>HYPERLINK("https://klasma.github.io/Logging_2121/tillsynsmail/A 49376-2023 tillsynsbegäran mail.docx", "A 49376-2023")</f>
        <v/>
      </c>
    </row>
    <row r="36" ht="15" customHeight="1">
      <c r="A36" t="inlineStr">
        <is>
          <t>A 64328-2023</t>
        </is>
      </c>
      <c r="B36" s="1" t="n">
        <v>45280</v>
      </c>
      <c r="C36" s="1" t="n">
        <v>45794</v>
      </c>
      <c r="D36" t="inlineStr">
        <is>
          <t>GÄVLEBORGS LÄN</t>
        </is>
      </c>
      <c r="E36" t="inlineStr">
        <is>
          <t>OVANÅKER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64328-2023 artfynd.xlsx", "A 64328-2023")</f>
        <v/>
      </c>
      <c r="T36">
        <f>HYPERLINK("https://klasma.github.io/Logging_2121/kartor/A 64328-2023 karta.png", "A 64328-2023")</f>
        <v/>
      </c>
      <c r="V36">
        <f>HYPERLINK("https://klasma.github.io/Logging_2121/klagomål/A 64328-2023 FSC-klagomål.docx", "A 64328-2023")</f>
        <v/>
      </c>
      <c r="W36">
        <f>HYPERLINK("https://klasma.github.io/Logging_2121/klagomålsmail/A 64328-2023 FSC-klagomål mail.docx", "A 64328-2023")</f>
        <v/>
      </c>
      <c r="X36">
        <f>HYPERLINK("https://klasma.github.io/Logging_2121/tillsyn/A 64328-2023 tillsynsbegäran.docx", "A 64328-2023")</f>
        <v/>
      </c>
      <c r="Y36">
        <f>HYPERLINK("https://klasma.github.io/Logging_2121/tillsynsmail/A 64328-2023 tillsynsbegäran mail.docx", "A 64328-2023")</f>
        <v/>
      </c>
    </row>
    <row r="37" ht="15" customHeight="1">
      <c r="A37" t="inlineStr">
        <is>
          <t>A 1193-2024</t>
        </is>
      </c>
      <c r="B37" s="1" t="n">
        <v>45302</v>
      </c>
      <c r="C37" s="1" t="n">
        <v>45794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1193-2024 artfynd.xlsx", "A 1193-2024")</f>
        <v/>
      </c>
      <c r="T37">
        <f>HYPERLINK("https://klasma.github.io/Logging_2121/kartor/A 1193-2024 karta.png", "A 1193-2024")</f>
        <v/>
      </c>
      <c r="V37">
        <f>HYPERLINK("https://klasma.github.io/Logging_2121/klagomål/A 1193-2024 FSC-klagomål.docx", "A 1193-2024")</f>
        <v/>
      </c>
      <c r="W37">
        <f>HYPERLINK("https://klasma.github.io/Logging_2121/klagomålsmail/A 1193-2024 FSC-klagomål mail.docx", "A 1193-2024")</f>
        <v/>
      </c>
      <c r="X37">
        <f>HYPERLINK("https://klasma.github.io/Logging_2121/tillsyn/A 1193-2024 tillsynsbegäran.docx", "A 1193-2024")</f>
        <v/>
      </c>
      <c r="Y37">
        <f>HYPERLINK("https://klasma.github.io/Logging_2121/tillsynsmail/A 1193-2024 tillsynsbegäran mail.docx", "A 1193-2024")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45794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24651-2024</t>
        </is>
      </c>
      <c r="B39" s="1" t="n">
        <v>45460</v>
      </c>
      <c r="C39" s="1" t="n">
        <v>45794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HYPERLINK("https://klasma.github.io/Logging_2121/artfynd/A 24651-2024 artfynd.xlsx", "A 24651-2024")</f>
        <v/>
      </c>
      <c r="T39">
        <f>HYPERLINK("https://klasma.github.io/Logging_2121/kartor/A 24651-2024 karta.png", "A 24651-2024")</f>
        <v/>
      </c>
      <c r="V39">
        <f>HYPERLINK("https://klasma.github.io/Logging_2121/klagomål/A 24651-2024 FSC-klagomål.docx", "A 24651-2024")</f>
        <v/>
      </c>
      <c r="W39">
        <f>HYPERLINK("https://klasma.github.io/Logging_2121/klagomålsmail/A 24651-2024 FSC-klagomål mail.docx", "A 24651-2024")</f>
        <v/>
      </c>
      <c r="X39">
        <f>HYPERLINK("https://klasma.github.io/Logging_2121/tillsyn/A 24651-2024 tillsynsbegäran.docx", "A 24651-2024")</f>
        <v/>
      </c>
      <c r="Y39">
        <f>HYPERLINK("https://klasma.github.io/Logging_2121/tillsynsmail/A 24651-2024 tillsynsbegäran mail.docx", "A 24651-2024")</f>
        <v/>
      </c>
    </row>
    <row r="40" ht="15" customHeight="1">
      <c r="A40" t="inlineStr">
        <is>
          <t>A 26719-2024</t>
        </is>
      </c>
      <c r="B40" s="1" t="n">
        <v>45470</v>
      </c>
      <c r="C40" s="1" t="n">
        <v>45794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Nästlav</t>
        </is>
      </c>
      <c r="S40">
        <f>HYPERLINK("https://klasma.github.io/Logging_2121/artfynd/A 26719-2024 artfynd.xlsx", "A 26719-2024")</f>
        <v/>
      </c>
      <c r="T40">
        <f>HYPERLINK("https://klasma.github.io/Logging_2121/kartor/A 26719-2024 karta.png", "A 26719-2024")</f>
        <v/>
      </c>
      <c r="V40">
        <f>HYPERLINK("https://klasma.github.io/Logging_2121/klagomål/A 26719-2024 FSC-klagomål.docx", "A 26719-2024")</f>
        <v/>
      </c>
      <c r="W40">
        <f>HYPERLINK("https://klasma.github.io/Logging_2121/klagomålsmail/A 26719-2024 FSC-klagomål mail.docx", "A 26719-2024")</f>
        <v/>
      </c>
      <c r="X40">
        <f>HYPERLINK("https://klasma.github.io/Logging_2121/tillsyn/A 26719-2024 tillsynsbegäran.docx", "A 26719-2024")</f>
        <v/>
      </c>
      <c r="Y40">
        <f>HYPERLINK("https://klasma.github.io/Logging_2121/tillsynsmail/A 26719-2024 tillsynsbegäran mail.docx", "A 26719-2024")</f>
        <v/>
      </c>
    </row>
    <row r="41" ht="15" customHeight="1">
      <c r="A41" t="inlineStr">
        <is>
          <t>A 35373-2024</t>
        </is>
      </c>
      <c r="B41" s="1" t="n">
        <v>45531</v>
      </c>
      <c r="C41" s="1" t="n">
        <v>45794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HYPERLINK("https://klasma.github.io/Logging_2121/artfynd/A 35373-2024 artfynd.xlsx", "A 35373-2024")</f>
        <v/>
      </c>
      <c r="T41">
        <f>HYPERLINK("https://klasma.github.io/Logging_2121/kartor/A 35373-2024 karta.png", "A 35373-2024")</f>
        <v/>
      </c>
      <c r="V41">
        <f>HYPERLINK("https://klasma.github.io/Logging_2121/klagomål/A 35373-2024 FSC-klagomål.docx", "A 35373-2024")</f>
        <v/>
      </c>
      <c r="W41">
        <f>HYPERLINK("https://klasma.github.io/Logging_2121/klagomålsmail/A 35373-2024 FSC-klagomål mail.docx", "A 35373-2024")</f>
        <v/>
      </c>
      <c r="X41">
        <f>HYPERLINK("https://klasma.github.io/Logging_2121/tillsyn/A 35373-2024 tillsynsbegäran.docx", "A 35373-2024")</f>
        <v/>
      </c>
      <c r="Y41">
        <f>HYPERLINK("https://klasma.github.io/Logging_2121/tillsynsmail/A 35373-2024 tillsynsbegäran mail.docx", "A 35373-2024")</f>
        <v/>
      </c>
    </row>
    <row r="42" ht="15" customHeight="1">
      <c r="A42" t="inlineStr">
        <is>
          <t>A 37776-2024</t>
        </is>
      </c>
      <c r="B42" s="1" t="n">
        <v>45542</v>
      </c>
      <c r="C42" s="1" t="n">
        <v>45794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HYPERLINK("https://klasma.github.io/Logging_2121/artfynd/A 37776-2024 artfynd.xlsx", "A 37776-2024")</f>
        <v/>
      </c>
      <c r="T42">
        <f>HYPERLINK("https://klasma.github.io/Logging_2121/kartor/A 37776-2024 karta.png", "A 37776-2024")</f>
        <v/>
      </c>
      <c r="U42">
        <f>HYPERLINK("https://klasma.github.io/Logging_2121/knärot/A 37776-2024 karta knärot.png", "A 37776-2024")</f>
        <v/>
      </c>
      <c r="V42">
        <f>HYPERLINK("https://klasma.github.io/Logging_2121/klagomål/A 37776-2024 FSC-klagomål.docx", "A 37776-2024")</f>
        <v/>
      </c>
      <c r="W42">
        <f>HYPERLINK("https://klasma.github.io/Logging_2121/klagomålsmail/A 37776-2024 FSC-klagomål mail.docx", "A 37776-2024")</f>
        <v/>
      </c>
      <c r="X42">
        <f>HYPERLINK("https://klasma.github.io/Logging_2121/tillsyn/A 37776-2024 tillsynsbegäran.docx", "A 37776-2024")</f>
        <v/>
      </c>
      <c r="Y42">
        <f>HYPERLINK("https://klasma.github.io/Logging_2121/tillsynsmail/A 37776-2024 tillsynsbegäran mail.docx", "A 37776-2024")</f>
        <v/>
      </c>
    </row>
    <row r="43" ht="15" customHeight="1">
      <c r="A43" t="inlineStr">
        <is>
          <t>A 17688-2019</t>
        </is>
      </c>
      <c r="B43" s="1" t="n">
        <v>43556</v>
      </c>
      <c r="C43" s="1" t="n">
        <v>45794</v>
      </c>
      <c r="D43" t="inlineStr">
        <is>
          <t>GÄVLEBORGS LÄN</t>
        </is>
      </c>
      <c r="E43" t="inlineStr">
        <is>
          <t>OVANÅKER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17693-2019</t>
        </is>
      </c>
      <c r="B44" s="1" t="n">
        <v>43556</v>
      </c>
      <c r="C44" s="1" t="n">
        <v>45794</v>
      </c>
      <c r="D44" t="inlineStr">
        <is>
          <t>GÄVLEBORGS LÄN</t>
        </is>
      </c>
      <c r="E44" t="inlineStr">
        <is>
          <t>OVANÅKER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17681-2019</t>
        </is>
      </c>
      <c r="B45" s="1" t="n">
        <v>43556</v>
      </c>
      <c r="C45" s="1" t="n">
        <v>45794</v>
      </c>
      <c r="D45" t="inlineStr">
        <is>
          <t>GÄVLEBORGS LÄN</t>
        </is>
      </c>
      <c r="E45" t="inlineStr">
        <is>
          <t>OVANÅKER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19979-2019</t>
        </is>
      </c>
      <c r="B46" s="1" t="n">
        <v>43570</v>
      </c>
      <c r="C46" s="1" t="n">
        <v>45794</v>
      </c>
      <c r="D46" t="inlineStr">
        <is>
          <t>GÄVLEBORGS LÄN</t>
        </is>
      </c>
      <c r="E46" t="inlineStr">
        <is>
          <t>OVANÅKER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20414-2019</t>
        </is>
      </c>
      <c r="B47" s="1" t="n">
        <v>43571</v>
      </c>
      <c r="C47" s="1" t="n">
        <v>45794</v>
      </c>
      <c r="D47" t="inlineStr">
        <is>
          <t>GÄVLEBORGS LÄN</t>
        </is>
      </c>
      <c r="E47" t="inlineStr">
        <is>
          <t>OVANÅKER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20470-2019</t>
        </is>
      </c>
      <c r="B48" s="1" t="n">
        <v>43572</v>
      </c>
      <c r="C48" s="1" t="n">
        <v>45794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21725-2019</t>
        </is>
      </c>
      <c r="B49" s="1" t="n">
        <v>43581</v>
      </c>
      <c r="C49" s="1" t="n">
        <v>45794</v>
      </c>
      <c r="D49" t="inlineStr">
        <is>
          <t>GÄVLEBORGS LÄN</t>
        </is>
      </c>
      <c r="E49" t="inlineStr">
        <is>
          <t>OVANÅKER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22537-2019</t>
        </is>
      </c>
      <c r="B50" s="1" t="n">
        <v>43587</v>
      </c>
      <c r="C50" s="1" t="n">
        <v>45794</v>
      </c>
      <c r="D50" t="inlineStr">
        <is>
          <t>GÄVLEBORGS LÄN</t>
        </is>
      </c>
      <c r="E50" t="inlineStr">
        <is>
          <t>OVANÅKER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22969-2019</t>
        </is>
      </c>
      <c r="B51" s="1" t="n">
        <v>43591</v>
      </c>
      <c r="C51" s="1" t="n">
        <v>45794</v>
      </c>
      <c r="D51" t="inlineStr">
        <is>
          <t>GÄVLEBORGS LÄN</t>
        </is>
      </c>
      <c r="E51" t="inlineStr">
        <is>
          <t>OVANÅKER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22926-2019</t>
        </is>
      </c>
      <c r="B52" s="1" t="n">
        <v>43591</v>
      </c>
      <c r="C52" s="1" t="n">
        <v>45794</v>
      </c>
      <c r="D52" t="inlineStr">
        <is>
          <t>GÄVLEBORGS LÄN</t>
        </is>
      </c>
      <c r="E52" t="inlineStr">
        <is>
          <t>OVANÅKER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24734-2019</t>
        </is>
      </c>
      <c r="B53" s="1" t="n">
        <v>43601</v>
      </c>
      <c r="C53" s="1" t="n">
        <v>45794</v>
      </c>
      <c r="D53" t="inlineStr">
        <is>
          <t>GÄVLEBORGS LÄN</t>
        </is>
      </c>
      <c r="E53" t="inlineStr">
        <is>
          <t>OVANÅKER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24835-2019</t>
        </is>
      </c>
      <c r="B54" s="1" t="n">
        <v>43602</v>
      </c>
      <c r="C54" s="1" t="n">
        <v>45794</v>
      </c>
      <c r="D54" t="inlineStr">
        <is>
          <t>GÄVLEBORGS LÄN</t>
        </is>
      </c>
      <c r="E54" t="inlineStr">
        <is>
          <t>OVANÅKER</t>
        </is>
      </c>
      <c r="F54" t="inlineStr">
        <is>
          <t>Kyrkan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25430-2019</t>
        </is>
      </c>
      <c r="B55" s="1" t="n">
        <v>43606</v>
      </c>
      <c r="C55" s="1" t="n">
        <v>45794</v>
      </c>
      <c r="D55" t="inlineStr">
        <is>
          <t>GÄVLEBORGS LÄN</t>
        </is>
      </c>
      <c r="E55" t="inlineStr">
        <is>
          <t>OVANÅKER</t>
        </is>
      </c>
      <c r="F55" t="inlineStr">
        <is>
          <t>Bergvik skog öst AB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25631-2019</t>
        </is>
      </c>
      <c r="B56" s="1" t="n">
        <v>43607</v>
      </c>
      <c r="C56" s="1" t="n">
        <v>45794</v>
      </c>
      <c r="D56" t="inlineStr">
        <is>
          <t>GÄVLEBORGS LÄN</t>
        </is>
      </c>
      <c r="E56" t="inlineStr">
        <is>
          <t>OVANÅKER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25898-2019</t>
        </is>
      </c>
      <c r="B57" s="1" t="n">
        <v>43608</v>
      </c>
      <c r="C57" s="1" t="n">
        <v>45794</v>
      </c>
      <c r="D57" t="inlineStr">
        <is>
          <t>GÄVLEBORGS LÄN</t>
        </is>
      </c>
      <c r="E57" t="inlineStr">
        <is>
          <t>OVANÅKER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26158-2019</t>
        </is>
      </c>
      <c r="B58" s="1" t="n">
        <v>43609</v>
      </c>
      <c r="C58" s="1" t="n">
        <v>45794</v>
      </c>
      <c r="D58" t="inlineStr">
        <is>
          <t>GÄVLEBORGS LÄN</t>
        </is>
      </c>
      <c r="E58" t="inlineStr">
        <is>
          <t>OVANÅKER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26673-2019</t>
        </is>
      </c>
      <c r="B59" s="1" t="n">
        <v>43613</v>
      </c>
      <c r="C59" s="1" t="n">
        <v>45794</v>
      </c>
      <c r="D59" t="inlineStr">
        <is>
          <t>GÄVLEBORGS LÄN</t>
        </is>
      </c>
      <c r="E59" t="inlineStr">
        <is>
          <t>OVANÅKER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26997-2019</t>
        </is>
      </c>
      <c r="B60" s="1" t="n">
        <v>43614</v>
      </c>
      <c r="C60" s="1" t="n">
        <v>45794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26995-2019</t>
        </is>
      </c>
      <c r="B61" s="1" t="n">
        <v>43614</v>
      </c>
      <c r="C61" s="1" t="n">
        <v>45794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26983-2019</t>
        </is>
      </c>
      <c r="B62" s="1" t="n">
        <v>43614</v>
      </c>
      <c r="C62" s="1" t="n">
        <v>45794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27405-2019</t>
        </is>
      </c>
      <c r="B63" s="1" t="n">
        <v>43616</v>
      </c>
      <c r="C63" s="1" t="n">
        <v>45794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27301-2019</t>
        </is>
      </c>
      <c r="B64" s="1" t="n">
        <v>43616</v>
      </c>
      <c r="C64" s="1" t="n">
        <v>45794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27403-2019</t>
        </is>
      </c>
      <c r="B65" s="1" t="n">
        <v>43616</v>
      </c>
      <c r="C65" s="1" t="n">
        <v>45794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27314-2019</t>
        </is>
      </c>
      <c r="B66" s="1" t="n">
        <v>43616</v>
      </c>
      <c r="C66" s="1" t="n">
        <v>45794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27305-2019</t>
        </is>
      </c>
      <c r="B67" s="1" t="n">
        <v>43616</v>
      </c>
      <c r="C67" s="1" t="n">
        <v>45794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27295-2019</t>
        </is>
      </c>
      <c r="B68" s="1" t="n">
        <v>43616</v>
      </c>
      <c r="C68" s="1" t="n">
        <v>45794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27580-2019</t>
        </is>
      </c>
      <c r="B69" s="1" t="n">
        <v>43619</v>
      </c>
      <c r="C69" s="1" t="n">
        <v>45794</v>
      </c>
      <c r="D69" t="inlineStr">
        <is>
          <t>GÄVLEBORGS LÄN</t>
        </is>
      </c>
      <c r="E69" t="inlineStr">
        <is>
          <t>OVANÅKER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27524-2019</t>
        </is>
      </c>
      <c r="B70" s="1" t="n">
        <v>43619</v>
      </c>
      <c r="C70" s="1" t="n">
        <v>45794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28000-2019</t>
        </is>
      </c>
      <c r="B71" s="1" t="n">
        <v>43621</v>
      </c>
      <c r="C71" s="1" t="n">
        <v>45794</v>
      </c>
      <c r="D71" t="inlineStr">
        <is>
          <t>GÄVLEBORGS LÄN</t>
        </is>
      </c>
      <c r="E71" t="inlineStr">
        <is>
          <t>OVANÅKER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28034-2019</t>
        </is>
      </c>
      <c r="B72" s="1" t="n">
        <v>43621</v>
      </c>
      <c r="C72" s="1" t="n">
        <v>45794</v>
      </c>
      <c r="D72" t="inlineStr">
        <is>
          <t>GÄVLEBORGS LÄN</t>
        </is>
      </c>
      <c r="E72" t="inlineStr">
        <is>
          <t>OVANÅKER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29894-2019</t>
        </is>
      </c>
      <c r="B73" s="1" t="n">
        <v>43629</v>
      </c>
      <c r="C73" s="1" t="n">
        <v>45794</v>
      </c>
      <c r="D73" t="inlineStr">
        <is>
          <t>GÄVLEBORGS LÄN</t>
        </is>
      </c>
      <c r="E73" t="inlineStr">
        <is>
          <t>OVANÅKER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29887-2019</t>
        </is>
      </c>
      <c r="B74" s="1" t="n">
        <v>43629</v>
      </c>
      <c r="C74" s="1" t="n">
        <v>45794</v>
      </c>
      <c r="D74" t="inlineStr">
        <is>
          <t>GÄVLEBORGS LÄN</t>
        </is>
      </c>
      <c r="E74" t="inlineStr">
        <is>
          <t>OVANÅKER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31077-2019</t>
        </is>
      </c>
      <c r="B75" s="1" t="n">
        <v>43640</v>
      </c>
      <c r="C75" s="1" t="n">
        <v>45794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31244-2019</t>
        </is>
      </c>
      <c r="B76" s="1" t="n">
        <v>43640</v>
      </c>
      <c r="C76" s="1" t="n">
        <v>45794</v>
      </c>
      <c r="D76" t="inlineStr">
        <is>
          <t>GÄVLEBORGS LÄN</t>
        </is>
      </c>
      <c r="E76" t="inlineStr">
        <is>
          <t>OVANÅKER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31372-2019</t>
        </is>
      </c>
      <c r="B77" s="1" t="n">
        <v>43641</v>
      </c>
      <c r="C77" s="1" t="n">
        <v>45794</v>
      </c>
      <c r="D77" t="inlineStr">
        <is>
          <t>GÄVLEBORGS LÄN</t>
        </is>
      </c>
      <c r="E77" t="inlineStr">
        <is>
          <t>OVANÅKER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32000-2019</t>
        </is>
      </c>
      <c r="B78" s="1" t="n">
        <v>43643</v>
      </c>
      <c r="C78" s="1" t="n">
        <v>45794</v>
      </c>
      <c r="D78" t="inlineStr">
        <is>
          <t>GÄVLEBORGS LÄN</t>
        </is>
      </c>
      <c r="E78" t="inlineStr">
        <is>
          <t>OVANÅKER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36533-2019</t>
        </is>
      </c>
      <c r="B79" s="1" t="n">
        <v>43671</v>
      </c>
      <c r="C79" s="1" t="n">
        <v>45794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37469-2019</t>
        </is>
      </c>
      <c r="B80" s="1" t="n">
        <v>43679</v>
      </c>
      <c r="C80" s="1" t="n">
        <v>45794</v>
      </c>
      <c r="D80" t="inlineStr">
        <is>
          <t>GÄVLEBORGS LÄN</t>
        </is>
      </c>
      <c r="E80" t="inlineStr">
        <is>
          <t>OVANÅKER</t>
        </is>
      </c>
      <c r="F80" t="inlineStr">
        <is>
          <t>Holmen skog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37506-2019</t>
        </is>
      </c>
      <c r="B81" s="1" t="n">
        <v>43679</v>
      </c>
      <c r="C81" s="1" t="n">
        <v>45794</v>
      </c>
      <c r="D81" t="inlineStr">
        <is>
          <t>GÄVLEBORGS LÄN</t>
        </is>
      </c>
      <c r="E81" t="inlineStr">
        <is>
          <t>OVANÅKER</t>
        </is>
      </c>
      <c r="F81" t="inlineStr">
        <is>
          <t>Holmen skog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37854-2019</t>
        </is>
      </c>
      <c r="B82" s="1" t="n">
        <v>43682</v>
      </c>
      <c r="C82" s="1" t="n">
        <v>45794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öst AB</t>
        </is>
      </c>
      <c r="G82" t="n">
        <v>14.7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38619-2019</t>
        </is>
      </c>
      <c r="B83" s="1" t="n">
        <v>43686</v>
      </c>
      <c r="C83" s="1" t="n">
        <v>45794</v>
      </c>
      <c r="D83" t="inlineStr">
        <is>
          <t>GÄVLEBORGS LÄN</t>
        </is>
      </c>
      <c r="E83" t="inlineStr">
        <is>
          <t>OVANÅKER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38892-2019</t>
        </is>
      </c>
      <c r="B84" s="1" t="n">
        <v>43689</v>
      </c>
      <c r="C84" s="1" t="n">
        <v>45794</v>
      </c>
      <c r="D84" t="inlineStr">
        <is>
          <t>GÄVLEBORGS LÄN</t>
        </is>
      </c>
      <c r="E84" t="inlineStr">
        <is>
          <t>OVANÅKER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38891-2019</t>
        </is>
      </c>
      <c r="B85" s="1" t="n">
        <v>43689</v>
      </c>
      <c r="C85" s="1" t="n">
        <v>45794</v>
      </c>
      <c r="D85" t="inlineStr">
        <is>
          <t>GÄVLEBORGS LÄN</t>
        </is>
      </c>
      <c r="E85" t="inlineStr">
        <is>
          <t>OVANÅKER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39223-2019</t>
        </is>
      </c>
      <c r="B86" s="1" t="n">
        <v>43690</v>
      </c>
      <c r="C86" s="1" t="n">
        <v>45794</v>
      </c>
      <c r="D86" t="inlineStr">
        <is>
          <t>GÄVLEBORGS LÄN</t>
        </is>
      </c>
      <c r="E86" t="inlineStr">
        <is>
          <t>OVANÅKER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39812-2019</t>
        </is>
      </c>
      <c r="B87" s="1" t="n">
        <v>43692</v>
      </c>
      <c r="C87" s="1" t="n">
        <v>45794</v>
      </c>
      <c r="D87" t="inlineStr">
        <is>
          <t>GÄVLEBORGS LÄN</t>
        </is>
      </c>
      <c r="E87" t="inlineStr">
        <is>
          <t>OVANÅKER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39945-2019</t>
        </is>
      </c>
      <c r="B88" s="1" t="n">
        <v>43692</v>
      </c>
      <c r="C88" s="1" t="n">
        <v>45794</v>
      </c>
      <c r="D88" t="inlineStr">
        <is>
          <t>GÄVLEBORGS LÄN</t>
        </is>
      </c>
      <c r="E88" t="inlineStr">
        <is>
          <t>OVANÅKER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40128-2019</t>
        </is>
      </c>
      <c r="B89" s="1" t="n">
        <v>43693</v>
      </c>
      <c r="C89" s="1" t="n">
        <v>45794</v>
      </c>
      <c r="D89" t="inlineStr">
        <is>
          <t>GÄVLEBORGS LÄN</t>
        </is>
      </c>
      <c r="E89" t="inlineStr">
        <is>
          <t>OVANÅKER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40830-2019</t>
        </is>
      </c>
      <c r="B90" s="1" t="n">
        <v>43697</v>
      </c>
      <c r="C90" s="1" t="n">
        <v>45794</v>
      </c>
      <c r="D90" t="inlineStr">
        <is>
          <t>GÄVLEBORGS LÄN</t>
        </is>
      </c>
      <c r="E90" t="inlineStr">
        <is>
          <t>OVANÅKER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41509-2019</t>
        </is>
      </c>
      <c r="B91" s="1" t="n">
        <v>43699</v>
      </c>
      <c r="C91" s="1" t="n">
        <v>45794</v>
      </c>
      <c r="D91" t="inlineStr">
        <is>
          <t>GÄVLEBORGS LÄN</t>
        </is>
      </c>
      <c r="E91" t="inlineStr">
        <is>
          <t>OVANÅKER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41978-2019</t>
        </is>
      </c>
      <c r="B92" s="1" t="n">
        <v>43700</v>
      </c>
      <c r="C92" s="1" t="n">
        <v>45794</v>
      </c>
      <c r="D92" t="inlineStr">
        <is>
          <t>GÄVLEBORGS LÄN</t>
        </is>
      </c>
      <c r="E92" t="inlineStr">
        <is>
          <t>OVANÅKER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42454-2019</t>
        </is>
      </c>
      <c r="B93" s="1" t="n">
        <v>43704</v>
      </c>
      <c r="C93" s="1" t="n">
        <v>45794</v>
      </c>
      <c r="D93" t="inlineStr">
        <is>
          <t>GÄVLEBORGS LÄN</t>
        </is>
      </c>
      <c r="E93" t="inlineStr">
        <is>
          <t>OVANÅKER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42995-2019</t>
        </is>
      </c>
      <c r="B94" s="1" t="n">
        <v>43705</v>
      </c>
      <c r="C94" s="1" t="n">
        <v>45794</v>
      </c>
      <c r="D94" t="inlineStr">
        <is>
          <t>GÄVLEBORGS LÄN</t>
        </is>
      </c>
      <c r="E94" t="inlineStr">
        <is>
          <t>OVANÅKER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44999-2019</t>
        </is>
      </c>
      <c r="B95" s="1" t="n">
        <v>43713</v>
      </c>
      <c r="C95" s="1" t="n">
        <v>45794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46019-2019</t>
        </is>
      </c>
      <c r="B96" s="1" t="n">
        <v>43718</v>
      </c>
      <c r="C96" s="1" t="n">
        <v>45794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47843-2019</t>
        </is>
      </c>
      <c r="B97" s="1" t="n">
        <v>43725</v>
      </c>
      <c r="C97" s="1" t="n">
        <v>45794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47929-2019</t>
        </is>
      </c>
      <c r="B98" s="1" t="n">
        <v>43725</v>
      </c>
      <c r="C98" s="1" t="n">
        <v>45794</v>
      </c>
      <c r="D98" t="inlineStr">
        <is>
          <t>GÄVLEBORGS LÄN</t>
        </is>
      </c>
      <c r="E98" t="inlineStr">
        <is>
          <t>OVANÅKER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48003-2019</t>
        </is>
      </c>
      <c r="B99" s="1" t="n">
        <v>43725</v>
      </c>
      <c r="C99" s="1" t="n">
        <v>45794</v>
      </c>
      <c r="D99" t="inlineStr">
        <is>
          <t>GÄVLEBORGS LÄN</t>
        </is>
      </c>
      <c r="E99" t="inlineStr">
        <is>
          <t>OVANÅKER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48178-2019</t>
        </is>
      </c>
      <c r="B100" s="1" t="n">
        <v>43726</v>
      </c>
      <c r="C100" s="1" t="n">
        <v>45794</v>
      </c>
      <c r="D100" t="inlineStr">
        <is>
          <t>GÄVLEBORGS LÄN</t>
        </is>
      </c>
      <c r="E100" t="inlineStr">
        <is>
          <t>OVANÅKER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48596-2019</t>
        </is>
      </c>
      <c r="B101" s="1" t="n">
        <v>43727</v>
      </c>
      <c r="C101" s="1" t="n">
        <v>45794</v>
      </c>
      <c r="D101" t="inlineStr">
        <is>
          <t>GÄVLEBORGS LÄN</t>
        </is>
      </c>
      <c r="E101" t="inlineStr">
        <is>
          <t>OVANÅKER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48736-2019</t>
        </is>
      </c>
      <c r="B102" s="1" t="n">
        <v>43728</v>
      </c>
      <c r="C102" s="1" t="n">
        <v>45794</v>
      </c>
      <c r="D102" t="inlineStr">
        <is>
          <t>GÄVLEBORGS LÄN</t>
        </is>
      </c>
      <c r="E102" t="inlineStr">
        <is>
          <t>OVANÅKER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48931-2019</t>
        </is>
      </c>
      <c r="B103" s="1" t="n">
        <v>43728</v>
      </c>
      <c r="C103" s="1" t="n">
        <v>45794</v>
      </c>
      <c r="D103" t="inlineStr">
        <is>
          <t>GÄVLEBORGS LÄN</t>
        </is>
      </c>
      <c r="E103" t="inlineStr">
        <is>
          <t>OVANÅKER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49156-2019</t>
        </is>
      </c>
      <c r="B104" s="1" t="n">
        <v>43731</v>
      </c>
      <c r="C104" s="1" t="n">
        <v>45794</v>
      </c>
      <c r="D104" t="inlineStr">
        <is>
          <t>GÄVLEBORGS LÄN</t>
        </is>
      </c>
      <c r="E104" t="inlineStr">
        <is>
          <t>OVANÅKER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49127-2019</t>
        </is>
      </c>
      <c r="B105" s="1" t="n">
        <v>43731</v>
      </c>
      <c r="C105" s="1" t="n">
        <v>45794</v>
      </c>
      <c r="D105" t="inlineStr">
        <is>
          <t>GÄVLEBORGS LÄN</t>
        </is>
      </c>
      <c r="E105" t="inlineStr">
        <is>
          <t>OVANÅKER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49103-2019</t>
        </is>
      </c>
      <c r="B106" s="1" t="n">
        <v>43731</v>
      </c>
      <c r="C106" s="1" t="n">
        <v>45794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49248-2019</t>
        </is>
      </c>
      <c r="B107" s="1" t="n">
        <v>43731</v>
      </c>
      <c r="C107" s="1" t="n">
        <v>45794</v>
      </c>
      <c r="D107" t="inlineStr">
        <is>
          <t>GÄVLEBORGS LÄN</t>
        </is>
      </c>
      <c r="E107" t="inlineStr">
        <is>
          <t>OVANÅKER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49135-2019</t>
        </is>
      </c>
      <c r="B108" s="1" t="n">
        <v>43731</v>
      </c>
      <c r="C108" s="1" t="n">
        <v>45794</v>
      </c>
      <c r="D108" t="inlineStr">
        <is>
          <t>GÄVLEBORGS LÄN</t>
        </is>
      </c>
      <c r="E108" t="inlineStr">
        <is>
          <t>OVANÅKER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49241-2019</t>
        </is>
      </c>
      <c r="B109" s="1" t="n">
        <v>43731</v>
      </c>
      <c r="C109" s="1" t="n">
        <v>45794</v>
      </c>
      <c r="D109" t="inlineStr">
        <is>
          <t>GÄVLEBORGS LÄN</t>
        </is>
      </c>
      <c r="E109" t="inlineStr">
        <is>
          <t>OVANÅKER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50444-2019</t>
        </is>
      </c>
      <c r="B110" s="1" t="n">
        <v>43735</v>
      </c>
      <c r="C110" s="1" t="n">
        <v>45794</v>
      </c>
      <c r="D110" t="inlineStr">
        <is>
          <t>GÄVLEBORGS LÄN</t>
        </is>
      </c>
      <c r="E110" t="inlineStr">
        <is>
          <t>OVANÅKER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51286-2019</t>
        </is>
      </c>
      <c r="B111" s="1" t="n">
        <v>43739</v>
      </c>
      <c r="C111" s="1" t="n">
        <v>45794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53327-2019</t>
        </is>
      </c>
      <c r="B112" s="1" t="n">
        <v>43740</v>
      </c>
      <c r="C112" s="1" t="n">
        <v>45794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52942-2019</t>
        </is>
      </c>
      <c r="B113" s="1" t="n">
        <v>43747</v>
      </c>
      <c r="C113" s="1" t="n">
        <v>45794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53249-2019</t>
        </is>
      </c>
      <c r="B114" s="1" t="n">
        <v>43748</v>
      </c>
      <c r="C114" s="1" t="n">
        <v>45794</v>
      </c>
      <c r="D114" t="inlineStr">
        <is>
          <t>GÄVLEBORGS LÄN</t>
        </is>
      </c>
      <c r="E114" t="inlineStr">
        <is>
          <t>OVANÅKER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53646-2019</t>
        </is>
      </c>
      <c r="B115" s="1" t="n">
        <v>43749</v>
      </c>
      <c r="C115" s="1" t="n">
        <v>45794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54812-2019</t>
        </is>
      </c>
      <c r="B116" s="1" t="n">
        <v>43755</v>
      </c>
      <c r="C116" s="1" t="n">
        <v>45794</v>
      </c>
      <c r="D116" t="inlineStr">
        <is>
          <t>GÄVLEBORGS LÄN</t>
        </is>
      </c>
      <c r="E116" t="inlineStr">
        <is>
          <t>OVANÅKER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54833-2019</t>
        </is>
      </c>
      <c r="B117" s="1" t="n">
        <v>43755</v>
      </c>
      <c r="C117" s="1" t="n">
        <v>45794</v>
      </c>
      <c r="D117" t="inlineStr">
        <is>
          <t>GÄVLEBORGS LÄN</t>
        </is>
      </c>
      <c r="E117" t="inlineStr">
        <is>
          <t>OVANÅKER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56667-2019</t>
        </is>
      </c>
      <c r="B118" s="1" t="n">
        <v>43763</v>
      </c>
      <c r="C118" s="1" t="n">
        <v>45794</v>
      </c>
      <c r="D118" t="inlineStr">
        <is>
          <t>GÄVLEBORGS LÄN</t>
        </is>
      </c>
      <c r="E118" t="inlineStr">
        <is>
          <t>OVANÅKER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57135-2019</t>
        </is>
      </c>
      <c r="B119" s="1" t="n">
        <v>43766</v>
      </c>
      <c r="C119" s="1" t="n">
        <v>45794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58808-2019</t>
        </is>
      </c>
      <c r="B120" s="1" t="n">
        <v>43774</v>
      </c>
      <c r="C120" s="1" t="n">
        <v>45794</v>
      </c>
      <c r="D120" t="inlineStr">
        <is>
          <t>GÄVLEBORGS LÄN</t>
        </is>
      </c>
      <c r="E120" t="inlineStr">
        <is>
          <t>OVANÅKER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60336-2019</t>
        </is>
      </c>
      <c r="B121" s="1" t="n">
        <v>43780</v>
      </c>
      <c r="C121" s="1" t="n">
        <v>45794</v>
      </c>
      <c r="D121" t="inlineStr">
        <is>
          <t>GÄVLEBORGS LÄN</t>
        </is>
      </c>
      <c r="E121" t="inlineStr">
        <is>
          <t>OVANÅKER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60344-2019</t>
        </is>
      </c>
      <c r="B122" s="1" t="n">
        <v>43780</v>
      </c>
      <c r="C122" s="1" t="n">
        <v>45794</v>
      </c>
      <c r="D122" t="inlineStr">
        <is>
          <t>GÄVLEBORGS LÄN</t>
        </is>
      </c>
      <c r="E122" t="inlineStr">
        <is>
          <t>OVANÅKER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61070-2019</t>
        </is>
      </c>
      <c r="B123" s="1" t="n">
        <v>43782</v>
      </c>
      <c r="C123" s="1" t="n">
        <v>45794</v>
      </c>
      <c r="D123" t="inlineStr">
        <is>
          <t>GÄVLEBORGS LÄN</t>
        </is>
      </c>
      <c r="E123" t="inlineStr">
        <is>
          <t>OVANÅKER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62044-2019</t>
        </is>
      </c>
      <c r="B124" s="1" t="n">
        <v>43787</v>
      </c>
      <c r="C124" s="1" t="n">
        <v>45794</v>
      </c>
      <c r="D124" t="inlineStr">
        <is>
          <t>GÄVLEBORGS LÄN</t>
        </is>
      </c>
      <c r="E124" t="inlineStr">
        <is>
          <t>OVANÅKER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62211-2019</t>
        </is>
      </c>
      <c r="B125" s="1" t="n">
        <v>43788</v>
      </c>
      <c r="C125" s="1" t="n">
        <v>45794</v>
      </c>
      <c r="D125" t="inlineStr">
        <is>
          <t>GÄVLEBORGS LÄN</t>
        </is>
      </c>
      <c r="E125" t="inlineStr">
        <is>
          <t>OVANÅKER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62348-2019</t>
        </is>
      </c>
      <c r="B126" s="1" t="n">
        <v>43788</v>
      </c>
      <c r="C126" s="1" t="n">
        <v>45794</v>
      </c>
      <c r="D126" t="inlineStr">
        <is>
          <t>GÄVLEBORGS LÄN</t>
        </is>
      </c>
      <c r="E126" t="inlineStr">
        <is>
          <t>OVANÅKER</t>
        </is>
      </c>
      <c r="G126" t="n">
        <v>12.1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62772-2019</t>
        </is>
      </c>
      <c r="B127" s="1" t="n">
        <v>43790</v>
      </c>
      <c r="C127" s="1" t="n">
        <v>45794</v>
      </c>
      <c r="D127" t="inlineStr">
        <is>
          <t>GÄVLEBORGS LÄN</t>
        </is>
      </c>
      <c r="E127" t="inlineStr">
        <is>
          <t>OVANÅKER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62759-2019</t>
        </is>
      </c>
      <c r="B128" s="1" t="n">
        <v>43790</v>
      </c>
      <c r="C128" s="1" t="n">
        <v>45794</v>
      </c>
      <c r="D128" t="inlineStr">
        <is>
          <t>GÄVLEBORGS LÄN</t>
        </is>
      </c>
      <c r="E128" t="inlineStr">
        <is>
          <t>OVANÅKER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62767-2019</t>
        </is>
      </c>
      <c r="B129" s="1" t="n">
        <v>43790</v>
      </c>
      <c r="C129" s="1" t="n">
        <v>45794</v>
      </c>
      <c r="D129" t="inlineStr">
        <is>
          <t>GÄVLEBORGS LÄN</t>
        </is>
      </c>
      <c r="E129" t="inlineStr">
        <is>
          <t>OVANÅKER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62760-2019</t>
        </is>
      </c>
      <c r="B130" s="1" t="n">
        <v>43790</v>
      </c>
      <c r="C130" s="1" t="n">
        <v>45794</v>
      </c>
      <c r="D130" t="inlineStr">
        <is>
          <t>GÄVLEBORGS LÄN</t>
        </is>
      </c>
      <c r="E130" t="inlineStr">
        <is>
          <t>OVANÅKER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62753-2019</t>
        </is>
      </c>
      <c r="B131" s="1" t="n">
        <v>43790</v>
      </c>
      <c r="C131" s="1" t="n">
        <v>45794</v>
      </c>
      <c r="D131" t="inlineStr">
        <is>
          <t>GÄVLEBORGS LÄN</t>
        </is>
      </c>
      <c r="E131" t="inlineStr">
        <is>
          <t>OVANÅKER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63917-2019</t>
        </is>
      </c>
      <c r="B132" s="1" t="n">
        <v>43796</v>
      </c>
      <c r="C132" s="1" t="n">
        <v>45794</v>
      </c>
      <c r="D132" t="inlineStr">
        <is>
          <t>GÄVLEBORGS LÄN</t>
        </is>
      </c>
      <c r="E132" t="inlineStr">
        <is>
          <t>OVANÅKER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64176-2019</t>
        </is>
      </c>
      <c r="B133" s="1" t="n">
        <v>43797</v>
      </c>
      <c r="C133" s="1" t="n">
        <v>45794</v>
      </c>
      <c r="D133" t="inlineStr">
        <is>
          <t>GÄVLEBORGS LÄN</t>
        </is>
      </c>
      <c r="E133" t="inlineStr">
        <is>
          <t>OVANÅKER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65166-2019</t>
        </is>
      </c>
      <c r="B134" s="1" t="n">
        <v>43802</v>
      </c>
      <c r="C134" s="1" t="n">
        <v>45794</v>
      </c>
      <c r="D134" t="inlineStr">
        <is>
          <t>GÄVLEBORGS LÄN</t>
        </is>
      </c>
      <c r="E134" t="inlineStr">
        <is>
          <t>OVANÅKER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66590-2019</t>
        </is>
      </c>
      <c r="B135" s="1" t="n">
        <v>43809</v>
      </c>
      <c r="C135" s="1" t="n">
        <v>45794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67304-2019</t>
        </is>
      </c>
      <c r="B136" s="1" t="n">
        <v>43812</v>
      </c>
      <c r="C136" s="1" t="n">
        <v>45794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68116-2019</t>
        </is>
      </c>
      <c r="B137" s="1" t="n">
        <v>43817</v>
      </c>
      <c r="C137" s="1" t="n">
        <v>45794</v>
      </c>
      <c r="D137" t="inlineStr">
        <is>
          <t>GÄVLEBORGS LÄN</t>
        </is>
      </c>
      <c r="E137" t="inlineStr">
        <is>
          <t>OVANÅKER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68455-2019</t>
        </is>
      </c>
      <c r="B138" s="1" t="n">
        <v>43818</v>
      </c>
      <c r="C138" s="1" t="n">
        <v>45794</v>
      </c>
      <c r="D138" t="inlineStr">
        <is>
          <t>GÄVLEBORGS LÄN</t>
        </is>
      </c>
      <c r="E138" t="inlineStr">
        <is>
          <t>OVANÅKER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1008-2020</t>
        </is>
      </c>
      <c r="B139" s="1" t="n">
        <v>43839</v>
      </c>
      <c r="C139" s="1" t="n">
        <v>45794</v>
      </c>
      <c r="D139" t="inlineStr">
        <is>
          <t>GÄVLEBORGS LÄN</t>
        </is>
      </c>
      <c r="E139" t="inlineStr">
        <is>
          <t>OVANÅKER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2282-2020</t>
        </is>
      </c>
      <c r="B140" s="1" t="n">
        <v>43846</v>
      </c>
      <c r="C140" s="1" t="n">
        <v>45794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2270-2020</t>
        </is>
      </c>
      <c r="B141" s="1" t="n">
        <v>43846</v>
      </c>
      <c r="C141" s="1" t="n">
        <v>45794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2286-2020</t>
        </is>
      </c>
      <c r="B142" s="1" t="n">
        <v>43846</v>
      </c>
      <c r="C142" s="1" t="n">
        <v>45794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2274-2020</t>
        </is>
      </c>
      <c r="B143" s="1" t="n">
        <v>43846</v>
      </c>
      <c r="C143" s="1" t="n">
        <v>45794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2273-2020</t>
        </is>
      </c>
      <c r="B144" s="1" t="n">
        <v>43846</v>
      </c>
      <c r="C144" s="1" t="n">
        <v>45794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2607-2020</t>
        </is>
      </c>
      <c r="B145" s="1" t="n">
        <v>43847</v>
      </c>
      <c r="C145" s="1" t="n">
        <v>45794</v>
      </c>
      <c r="D145" t="inlineStr">
        <is>
          <t>GÄVLEBORGS LÄN</t>
        </is>
      </c>
      <c r="E145" t="inlineStr">
        <is>
          <t>OVANÅKER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2870-2020</t>
        </is>
      </c>
      <c r="B146" s="1" t="n">
        <v>43850</v>
      </c>
      <c r="C146" s="1" t="n">
        <v>45794</v>
      </c>
      <c r="D146" t="inlineStr">
        <is>
          <t>GÄVLEBORGS LÄN</t>
        </is>
      </c>
      <c r="E146" t="inlineStr">
        <is>
          <t>OVANÅKER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3319-2020</t>
        </is>
      </c>
      <c r="B147" s="1" t="n">
        <v>43852</v>
      </c>
      <c r="C147" s="1" t="n">
        <v>45794</v>
      </c>
      <c r="D147" t="inlineStr">
        <is>
          <t>GÄVLEBORGS LÄN</t>
        </is>
      </c>
      <c r="E147" t="inlineStr">
        <is>
          <t>OVANÅKER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3395-2020</t>
        </is>
      </c>
      <c r="B148" s="1" t="n">
        <v>43852</v>
      </c>
      <c r="C148" s="1" t="n">
        <v>45794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3893-2020</t>
        </is>
      </c>
      <c r="B149" s="1" t="n">
        <v>43854</v>
      </c>
      <c r="C149" s="1" t="n">
        <v>45794</v>
      </c>
      <c r="D149" t="inlineStr">
        <is>
          <t>GÄVLEBORGS LÄN</t>
        </is>
      </c>
      <c r="E149" t="inlineStr">
        <is>
          <t>OVANÅKER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3818-2020</t>
        </is>
      </c>
      <c r="B150" s="1" t="n">
        <v>43854</v>
      </c>
      <c r="C150" s="1" t="n">
        <v>45794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5346-2020</t>
        </is>
      </c>
      <c r="B151" s="1" t="n">
        <v>43854</v>
      </c>
      <c r="C151" s="1" t="n">
        <v>45794</v>
      </c>
      <c r="D151" t="inlineStr">
        <is>
          <t>GÄVLEBORGS LÄN</t>
        </is>
      </c>
      <c r="E151" t="inlineStr">
        <is>
          <t>OVANÅKER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5344-2020</t>
        </is>
      </c>
      <c r="B152" s="1" t="n">
        <v>43854</v>
      </c>
      <c r="C152" s="1" t="n">
        <v>45794</v>
      </c>
      <c r="D152" t="inlineStr">
        <is>
          <t>GÄVLEBORGS LÄN</t>
        </is>
      </c>
      <c r="E152" t="inlineStr">
        <is>
          <t>OVANÅKER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5340-2020</t>
        </is>
      </c>
      <c r="B153" s="1" t="n">
        <v>43854</v>
      </c>
      <c r="C153" s="1" t="n">
        <v>45794</v>
      </c>
      <c r="D153" t="inlineStr">
        <is>
          <t>GÄVLEBORGS LÄN</t>
        </is>
      </c>
      <c r="E153" t="inlineStr">
        <is>
          <t>OVANÅKER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5351-2020</t>
        </is>
      </c>
      <c r="B154" s="1" t="n">
        <v>43854</v>
      </c>
      <c r="C154" s="1" t="n">
        <v>45794</v>
      </c>
      <c r="D154" t="inlineStr">
        <is>
          <t>GÄVLEBORGS LÄN</t>
        </is>
      </c>
      <c r="E154" t="inlineStr">
        <is>
          <t>OVANÅKER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4816-2020</t>
        </is>
      </c>
      <c r="B155" s="1" t="n">
        <v>43859</v>
      </c>
      <c r="C155" s="1" t="n">
        <v>45794</v>
      </c>
      <c r="D155" t="inlineStr">
        <is>
          <t>GÄVLEBORGS LÄN</t>
        </is>
      </c>
      <c r="E155" t="inlineStr">
        <is>
          <t>OVANÅKER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8170-2020</t>
        </is>
      </c>
      <c r="B156" s="1" t="n">
        <v>43874</v>
      </c>
      <c r="C156" s="1" t="n">
        <v>45794</v>
      </c>
      <c r="D156" t="inlineStr">
        <is>
          <t>GÄVLEBORGS LÄN</t>
        </is>
      </c>
      <c r="E156" t="inlineStr">
        <is>
          <t>OVANÅKER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8273-2020</t>
        </is>
      </c>
      <c r="B157" s="1" t="n">
        <v>43874</v>
      </c>
      <c r="C157" s="1" t="n">
        <v>45794</v>
      </c>
      <c r="D157" t="inlineStr">
        <is>
          <t>GÄVLEBORGS LÄN</t>
        </is>
      </c>
      <c r="E157" t="inlineStr">
        <is>
          <t>OVANÅKER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8173-2020</t>
        </is>
      </c>
      <c r="B158" s="1" t="n">
        <v>43874</v>
      </c>
      <c r="C158" s="1" t="n">
        <v>45794</v>
      </c>
      <c r="D158" t="inlineStr">
        <is>
          <t>GÄVLEBORGS LÄN</t>
        </is>
      </c>
      <c r="E158" t="inlineStr">
        <is>
          <t>OVANÅKER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8449-2020</t>
        </is>
      </c>
      <c r="B159" s="1" t="n">
        <v>43875</v>
      </c>
      <c r="C159" s="1" t="n">
        <v>45794</v>
      </c>
      <c r="D159" t="inlineStr">
        <is>
          <t>GÄVLEBORGS LÄN</t>
        </is>
      </c>
      <c r="E159" t="inlineStr">
        <is>
          <t>OVANÅKER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9590-2020</t>
        </is>
      </c>
      <c r="B160" s="1" t="n">
        <v>43881</v>
      </c>
      <c r="C160" s="1" t="n">
        <v>45794</v>
      </c>
      <c r="D160" t="inlineStr">
        <is>
          <t>GÄVLEBORGS LÄN</t>
        </is>
      </c>
      <c r="E160" t="inlineStr">
        <is>
          <t>OVANÅKER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10502-2020</t>
        </is>
      </c>
      <c r="B161" s="1" t="n">
        <v>43886</v>
      </c>
      <c r="C161" s="1" t="n">
        <v>45794</v>
      </c>
      <c r="D161" t="inlineStr">
        <is>
          <t>GÄVLEBORGS LÄN</t>
        </is>
      </c>
      <c r="E161" t="inlineStr">
        <is>
          <t>OVANÅKER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10755-2020</t>
        </is>
      </c>
      <c r="B162" s="1" t="n">
        <v>43888</v>
      </c>
      <c r="C162" s="1" t="n">
        <v>45794</v>
      </c>
      <c r="D162" t="inlineStr">
        <is>
          <t>GÄVLEBORGS LÄN</t>
        </is>
      </c>
      <c r="E162" t="inlineStr">
        <is>
          <t>OVANÅKER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11386-2020</t>
        </is>
      </c>
      <c r="B163" s="1" t="n">
        <v>43892</v>
      </c>
      <c r="C163" s="1" t="n">
        <v>45794</v>
      </c>
      <c r="D163" t="inlineStr">
        <is>
          <t>GÄVLEBORGS LÄN</t>
        </is>
      </c>
      <c r="E163" t="inlineStr">
        <is>
          <t>OVANÅKER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11501-2020</t>
        </is>
      </c>
      <c r="B164" s="1" t="n">
        <v>43893</v>
      </c>
      <c r="C164" s="1" t="n">
        <v>45794</v>
      </c>
      <c r="D164" t="inlineStr">
        <is>
          <t>GÄVLEBORGS LÄN</t>
        </is>
      </c>
      <c r="E164" t="inlineStr">
        <is>
          <t>OVANÅKER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12996-2020</t>
        </is>
      </c>
      <c r="B165" s="1" t="n">
        <v>43900</v>
      </c>
      <c r="C165" s="1" t="n">
        <v>45794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13715-2020</t>
        </is>
      </c>
      <c r="B166" s="1" t="n">
        <v>43903</v>
      </c>
      <c r="C166" s="1" t="n">
        <v>45794</v>
      </c>
      <c r="D166" t="inlineStr">
        <is>
          <t>GÄVLEBORGS LÄN</t>
        </is>
      </c>
      <c r="E166" t="inlineStr">
        <is>
          <t>OVANÅKER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14884-2020</t>
        </is>
      </c>
      <c r="B167" s="1" t="n">
        <v>43906</v>
      </c>
      <c r="C167" s="1" t="n">
        <v>45794</v>
      </c>
      <c r="D167" t="inlineStr">
        <is>
          <t>GÄVLEBORGS LÄN</t>
        </is>
      </c>
      <c r="E167" t="inlineStr">
        <is>
          <t>OVANÅKER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14169-2020</t>
        </is>
      </c>
      <c r="B168" s="1" t="n">
        <v>43907</v>
      </c>
      <c r="C168" s="1" t="n">
        <v>45794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14612-2020</t>
        </is>
      </c>
      <c r="B169" s="1" t="n">
        <v>43909</v>
      </c>
      <c r="C169" s="1" t="n">
        <v>45794</v>
      </c>
      <c r="D169" t="inlineStr">
        <is>
          <t>GÄVLEBORGS LÄN</t>
        </is>
      </c>
      <c r="E169" t="inlineStr">
        <is>
          <t>OVANÅKER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14974-2020</t>
        </is>
      </c>
      <c r="B170" s="1" t="n">
        <v>43910</v>
      </c>
      <c r="C170" s="1" t="n">
        <v>45794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15543-2020</t>
        </is>
      </c>
      <c r="B171" s="1" t="n">
        <v>43914</v>
      </c>
      <c r="C171" s="1" t="n">
        <v>45794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15531-2020</t>
        </is>
      </c>
      <c r="B172" s="1" t="n">
        <v>43914</v>
      </c>
      <c r="C172" s="1" t="n">
        <v>45794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15820-2020</t>
        </is>
      </c>
      <c r="B173" s="1" t="n">
        <v>43915</v>
      </c>
      <c r="C173" s="1" t="n">
        <v>45794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27.8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15691-2020</t>
        </is>
      </c>
      <c r="B174" s="1" t="n">
        <v>43915</v>
      </c>
      <c r="C174" s="1" t="n">
        <v>45794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16107-2020</t>
        </is>
      </c>
      <c r="B175" s="1" t="n">
        <v>43916</v>
      </c>
      <c r="C175" s="1" t="n">
        <v>45794</v>
      </c>
      <c r="D175" t="inlineStr">
        <is>
          <t>GÄVLEBORGS LÄN</t>
        </is>
      </c>
      <c r="E175" t="inlineStr">
        <is>
          <t>OVANÅKER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16113-2020</t>
        </is>
      </c>
      <c r="B176" s="1" t="n">
        <v>43916</v>
      </c>
      <c r="C176" s="1" t="n">
        <v>45794</v>
      </c>
      <c r="D176" t="inlineStr">
        <is>
          <t>GÄVLEBORGS LÄN</t>
        </is>
      </c>
      <c r="E176" t="inlineStr">
        <is>
          <t>OVANÅKER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15948-2020</t>
        </is>
      </c>
      <c r="B177" s="1" t="n">
        <v>43916</v>
      </c>
      <c r="C177" s="1" t="n">
        <v>45794</v>
      </c>
      <c r="D177" t="inlineStr">
        <is>
          <t>GÄVLEBORGS LÄN</t>
        </is>
      </c>
      <c r="E177" t="inlineStr">
        <is>
          <t>OVANÅKER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16176-2020</t>
        </is>
      </c>
      <c r="B178" s="1" t="n">
        <v>43917</v>
      </c>
      <c r="C178" s="1" t="n">
        <v>45794</v>
      </c>
      <c r="D178" t="inlineStr">
        <is>
          <t>GÄVLEBORGS LÄN</t>
        </is>
      </c>
      <c r="E178" t="inlineStr">
        <is>
          <t>OVANÅKER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16259-2020</t>
        </is>
      </c>
      <c r="B179" s="1" t="n">
        <v>43917</v>
      </c>
      <c r="C179" s="1" t="n">
        <v>45794</v>
      </c>
      <c r="D179" t="inlineStr">
        <is>
          <t>GÄVLEBORGS LÄN</t>
        </is>
      </c>
      <c r="E179" t="inlineStr">
        <is>
          <t>OVANÅKER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16225-2020</t>
        </is>
      </c>
      <c r="B180" s="1" t="n">
        <v>43917</v>
      </c>
      <c r="C180" s="1" t="n">
        <v>45794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16251-2020</t>
        </is>
      </c>
      <c r="B181" s="1" t="n">
        <v>43917</v>
      </c>
      <c r="C181" s="1" t="n">
        <v>45794</v>
      </c>
      <c r="D181" t="inlineStr">
        <is>
          <t>GÄVLEBORGS LÄN</t>
        </is>
      </c>
      <c r="E181" t="inlineStr">
        <is>
          <t>OVANÅKER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16292-2020</t>
        </is>
      </c>
      <c r="B182" s="1" t="n">
        <v>43917</v>
      </c>
      <c r="C182" s="1" t="n">
        <v>45794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17004-2020</t>
        </is>
      </c>
      <c r="B183" s="1" t="n">
        <v>43921</v>
      </c>
      <c r="C183" s="1" t="n">
        <v>45794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16996-2020</t>
        </is>
      </c>
      <c r="B184" s="1" t="n">
        <v>43921</v>
      </c>
      <c r="C184" s="1" t="n">
        <v>45794</v>
      </c>
      <c r="D184" t="inlineStr">
        <is>
          <t>GÄVLEBORGS LÄN</t>
        </is>
      </c>
      <c r="E184" t="inlineStr">
        <is>
          <t>OVANÅKER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17198-2020</t>
        </is>
      </c>
      <c r="B185" s="1" t="n">
        <v>43922</v>
      </c>
      <c r="C185" s="1" t="n">
        <v>45794</v>
      </c>
      <c r="D185" t="inlineStr">
        <is>
          <t>GÄVLEBORGS LÄN</t>
        </is>
      </c>
      <c r="E185" t="inlineStr">
        <is>
          <t>OVANÅKER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17899-2020</t>
        </is>
      </c>
      <c r="B186" s="1" t="n">
        <v>43924</v>
      </c>
      <c r="C186" s="1" t="n">
        <v>45794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17905-2020</t>
        </is>
      </c>
      <c r="B187" s="1" t="n">
        <v>43924</v>
      </c>
      <c r="C187" s="1" t="n">
        <v>45794</v>
      </c>
      <c r="D187" t="inlineStr">
        <is>
          <t>GÄVLEBORGS LÄN</t>
        </is>
      </c>
      <c r="E187" t="inlineStr">
        <is>
          <t>OVANÅKER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18935-2020</t>
        </is>
      </c>
      <c r="B188" s="1" t="n">
        <v>43935</v>
      </c>
      <c r="C188" s="1" t="n">
        <v>45794</v>
      </c>
      <c r="D188" t="inlineStr">
        <is>
          <t>GÄVLEBORGS LÄN</t>
        </is>
      </c>
      <c r="E188" t="inlineStr">
        <is>
          <t>OVANÅKER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18929-2020</t>
        </is>
      </c>
      <c r="B189" s="1" t="n">
        <v>43935</v>
      </c>
      <c r="C189" s="1" t="n">
        <v>45794</v>
      </c>
      <c r="D189" t="inlineStr">
        <is>
          <t>GÄVLEBORGS LÄN</t>
        </is>
      </c>
      <c r="E189" t="inlineStr">
        <is>
          <t>OVANÅKER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19131-2020</t>
        </is>
      </c>
      <c r="B190" s="1" t="n">
        <v>43936</v>
      </c>
      <c r="C190" s="1" t="n">
        <v>45794</v>
      </c>
      <c r="D190" t="inlineStr">
        <is>
          <t>GÄVLEBORGS LÄN</t>
        </is>
      </c>
      <c r="E190" t="inlineStr">
        <is>
          <t>OVANÅKER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19262-2020</t>
        </is>
      </c>
      <c r="B191" s="1" t="n">
        <v>43937</v>
      </c>
      <c r="C191" s="1" t="n">
        <v>45794</v>
      </c>
      <c r="D191" t="inlineStr">
        <is>
          <t>GÄVLEBORGS LÄN</t>
        </is>
      </c>
      <c r="E191" t="inlineStr">
        <is>
          <t>OVANÅKER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19269-2020</t>
        </is>
      </c>
      <c r="B192" s="1" t="n">
        <v>43937</v>
      </c>
      <c r="C192" s="1" t="n">
        <v>45794</v>
      </c>
      <c r="D192" t="inlineStr">
        <is>
          <t>GÄVLEBORGS LÄN</t>
        </is>
      </c>
      <c r="E192" t="inlineStr">
        <is>
          <t>OVANÅKER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19788-2020</t>
        </is>
      </c>
      <c r="B193" s="1" t="n">
        <v>43942</v>
      </c>
      <c r="C193" s="1" t="n">
        <v>45794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19797-2020</t>
        </is>
      </c>
      <c r="B194" s="1" t="n">
        <v>43942</v>
      </c>
      <c r="C194" s="1" t="n">
        <v>45794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20315-2020</t>
        </is>
      </c>
      <c r="B195" s="1" t="n">
        <v>43945</v>
      </c>
      <c r="C195" s="1" t="n">
        <v>45794</v>
      </c>
      <c r="D195" t="inlineStr">
        <is>
          <t>GÄVLEBORGS LÄN</t>
        </is>
      </c>
      <c r="E195" t="inlineStr">
        <is>
          <t>OVANÅKER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20499-2020</t>
        </is>
      </c>
      <c r="B196" s="1" t="n">
        <v>43948</v>
      </c>
      <c r="C196" s="1" t="n">
        <v>45794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43.9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20631-2020</t>
        </is>
      </c>
      <c r="B197" s="1" t="n">
        <v>43949</v>
      </c>
      <c r="C197" s="1" t="n">
        <v>45794</v>
      </c>
      <c r="D197" t="inlineStr">
        <is>
          <t>GÄVLEBORGS LÄN</t>
        </is>
      </c>
      <c r="E197" t="inlineStr">
        <is>
          <t>OVANÅKER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20850-2020</t>
        </is>
      </c>
      <c r="B198" s="1" t="n">
        <v>43950</v>
      </c>
      <c r="C198" s="1" t="n">
        <v>45794</v>
      </c>
      <c r="D198" t="inlineStr">
        <is>
          <t>GÄVLEBORGS LÄN</t>
        </is>
      </c>
      <c r="E198" t="inlineStr">
        <is>
          <t>OVANÅKER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21182-2020</t>
        </is>
      </c>
      <c r="B199" s="1" t="n">
        <v>43951</v>
      </c>
      <c r="C199" s="1" t="n">
        <v>45794</v>
      </c>
      <c r="D199" t="inlineStr">
        <is>
          <t>GÄVLEBORGS LÄN</t>
        </is>
      </c>
      <c r="E199" t="inlineStr">
        <is>
          <t>OVANÅKER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21647-2020</t>
        </is>
      </c>
      <c r="B200" s="1" t="n">
        <v>43957</v>
      </c>
      <c r="C200" s="1" t="n">
        <v>45794</v>
      </c>
      <c r="D200" t="inlineStr">
        <is>
          <t>GÄVLEBORGS LÄN</t>
        </is>
      </c>
      <c r="E200" t="inlineStr">
        <is>
          <t>OVANÅKER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21639-2020</t>
        </is>
      </c>
      <c r="B201" s="1" t="n">
        <v>43957</v>
      </c>
      <c r="C201" s="1" t="n">
        <v>45794</v>
      </c>
      <c r="D201" t="inlineStr">
        <is>
          <t>GÄVLEBORGS LÄN</t>
        </is>
      </c>
      <c r="E201" t="inlineStr">
        <is>
          <t>OVANÅKER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22187-2020</t>
        </is>
      </c>
      <c r="B202" s="1" t="n">
        <v>43962</v>
      </c>
      <c r="C202" s="1" t="n">
        <v>45794</v>
      </c>
      <c r="D202" t="inlineStr">
        <is>
          <t>GÄVLEBORGS LÄN</t>
        </is>
      </c>
      <c r="E202" t="inlineStr">
        <is>
          <t>OVANÅKER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23060-2020</t>
        </is>
      </c>
      <c r="B203" s="1" t="n">
        <v>43965</v>
      </c>
      <c r="C203" s="1" t="n">
        <v>45794</v>
      </c>
      <c r="D203" t="inlineStr">
        <is>
          <t>GÄVLEBORGS LÄN</t>
        </is>
      </c>
      <c r="E203" t="inlineStr">
        <is>
          <t>OVANÅKER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23057-2020</t>
        </is>
      </c>
      <c r="B204" s="1" t="n">
        <v>43965</v>
      </c>
      <c r="C204" s="1" t="n">
        <v>45794</v>
      </c>
      <c r="D204" t="inlineStr">
        <is>
          <t>GÄVLEBORGS LÄN</t>
        </is>
      </c>
      <c r="E204" t="inlineStr">
        <is>
          <t>OVANÅKER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23527-2020</t>
        </is>
      </c>
      <c r="B205" s="1" t="n">
        <v>43969</v>
      </c>
      <c r="C205" s="1" t="n">
        <v>45794</v>
      </c>
      <c r="D205" t="inlineStr">
        <is>
          <t>GÄVLEBORGS LÄN</t>
        </is>
      </c>
      <c r="E205" t="inlineStr">
        <is>
          <t>OVANÅKER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25969-2020</t>
        </is>
      </c>
      <c r="B206" s="1" t="n">
        <v>43985</v>
      </c>
      <c r="C206" s="1" t="n">
        <v>45794</v>
      </c>
      <c r="D206" t="inlineStr">
        <is>
          <t>GÄVLEBORGS LÄN</t>
        </is>
      </c>
      <c r="E206" t="inlineStr">
        <is>
          <t>OVANÅKER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26506-2020</t>
        </is>
      </c>
      <c r="B207" s="1" t="n">
        <v>43987</v>
      </c>
      <c r="C207" s="1" t="n">
        <v>45794</v>
      </c>
      <c r="D207" t="inlineStr">
        <is>
          <t>GÄVLEBORGS LÄN</t>
        </is>
      </c>
      <c r="E207" t="inlineStr">
        <is>
          <t>OVANÅKER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26583-2020</t>
        </is>
      </c>
      <c r="B208" s="1" t="n">
        <v>43987</v>
      </c>
      <c r="C208" s="1" t="n">
        <v>45794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27269-2020</t>
        </is>
      </c>
      <c r="B209" s="1" t="n">
        <v>43992</v>
      </c>
      <c r="C209" s="1" t="n">
        <v>45794</v>
      </c>
      <c r="D209" t="inlineStr">
        <is>
          <t>GÄVLEBORGS LÄN</t>
        </is>
      </c>
      <c r="E209" t="inlineStr">
        <is>
          <t>OVANÅKER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27855-2020</t>
        </is>
      </c>
      <c r="B210" s="1" t="n">
        <v>43994</v>
      </c>
      <c r="C210" s="1" t="n">
        <v>45794</v>
      </c>
      <c r="D210" t="inlineStr">
        <is>
          <t>GÄVLEBORGS LÄN</t>
        </is>
      </c>
      <c r="E210" t="inlineStr">
        <is>
          <t>OVANÅKER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28723-2020</t>
        </is>
      </c>
      <c r="B211" s="1" t="n">
        <v>43999</v>
      </c>
      <c r="C211" s="1" t="n">
        <v>45794</v>
      </c>
      <c r="D211" t="inlineStr">
        <is>
          <t>GÄVLEBORGS LÄN</t>
        </is>
      </c>
      <c r="E211" t="inlineStr">
        <is>
          <t>OVANÅKER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29541-2020</t>
        </is>
      </c>
      <c r="B212" s="1" t="n">
        <v>44005</v>
      </c>
      <c r="C212" s="1" t="n">
        <v>45794</v>
      </c>
      <c r="D212" t="inlineStr">
        <is>
          <t>GÄVLEBORGS LÄN</t>
        </is>
      </c>
      <c r="E212" t="inlineStr">
        <is>
          <t>OVANÅKER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29536-2020</t>
        </is>
      </c>
      <c r="B213" s="1" t="n">
        <v>44005</v>
      </c>
      <c r="C213" s="1" t="n">
        <v>45794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29538-2020</t>
        </is>
      </c>
      <c r="B214" s="1" t="n">
        <v>44005</v>
      </c>
      <c r="C214" s="1" t="n">
        <v>45794</v>
      </c>
      <c r="D214" t="inlineStr">
        <is>
          <t>GÄVLEBORGS LÄN</t>
        </is>
      </c>
      <c r="E214" t="inlineStr">
        <is>
          <t>OVANÅKER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30290-2020</t>
        </is>
      </c>
      <c r="B215" s="1" t="n">
        <v>44007</v>
      </c>
      <c r="C215" s="1" t="n">
        <v>45794</v>
      </c>
      <c r="D215" t="inlineStr">
        <is>
          <t>GÄVLEBORGS LÄN</t>
        </is>
      </c>
      <c r="E215" t="inlineStr">
        <is>
          <t>OVANÅKER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31231-2020</t>
        </is>
      </c>
      <c r="B216" s="1" t="n">
        <v>44012</v>
      </c>
      <c r="C216" s="1" t="n">
        <v>45794</v>
      </c>
      <c r="D216" t="inlineStr">
        <is>
          <t>GÄVLEBORGS LÄN</t>
        </is>
      </c>
      <c r="E216" t="inlineStr">
        <is>
          <t>OVANÅKER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31214-2020</t>
        </is>
      </c>
      <c r="B217" s="1" t="n">
        <v>44012</v>
      </c>
      <c r="C217" s="1" t="n">
        <v>45794</v>
      </c>
      <c r="D217" t="inlineStr">
        <is>
          <t>GÄVLEBORGS LÄN</t>
        </is>
      </c>
      <c r="E217" t="inlineStr">
        <is>
          <t>OVANÅKER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31810-2020</t>
        </is>
      </c>
      <c r="B218" s="1" t="n">
        <v>44014</v>
      </c>
      <c r="C218" s="1" t="n">
        <v>45794</v>
      </c>
      <c r="D218" t="inlineStr">
        <is>
          <t>GÄVLEBORGS LÄN</t>
        </is>
      </c>
      <c r="E218" t="inlineStr">
        <is>
          <t>OVANÅKER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31860-2020</t>
        </is>
      </c>
      <c r="B219" s="1" t="n">
        <v>44014</v>
      </c>
      <c r="C219" s="1" t="n">
        <v>45794</v>
      </c>
      <c r="D219" t="inlineStr">
        <is>
          <t>GÄVLEBORGS LÄN</t>
        </is>
      </c>
      <c r="E219" t="inlineStr">
        <is>
          <t>OVANÅKER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33127-2020</t>
        </is>
      </c>
      <c r="B220" s="1" t="n">
        <v>44021</v>
      </c>
      <c r="C220" s="1" t="n">
        <v>45794</v>
      </c>
      <c r="D220" t="inlineStr">
        <is>
          <t>GÄVLEBORGS LÄN</t>
        </is>
      </c>
      <c r="E220" t="inlineStr">
        <is>
          <t>OVANÅKER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33889-2020</t>
        </is>
      </c>
      <c r="B221" s="1" t="n">
        <v>44025</v>
      </c>
      <c r="C221" s="1" t="n">
        <v>45794</v>
      </c>
      <c r="D221" t="inlineStr">
        <is>
          <t>GÄVLEBORGS LÄN</t>
        </is>
      </c>
      <c r="E221" t="inlineStr">
        <is>
          <t>OVANÅKER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34722-2020</t>
        </is>
      </c>
      <c r="B222" s="1" t="n">
        <v>44035</v>
      </c>
      <c r="C222" s="1" t="n">
        <v>45794</v>
      </c>
      <c r="D222" t="inlineStr">
        <is>
          <t>GÄVLEBORGS LÄN</t>
        </is>
      </c>
      <c r="E222" t="inlineStr">
        <is>
          <t>OVANÅKER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35295-2020</t>
        </is>
      </c>
      <c r="B223" s="1" t="n">
        <v>44041</v>
      </c>
      <c r="C223" s="1" t="n">
        <v>45794</v>
      </c>
      <c r="D223" t="inlineStr">
        <is>
          <t>GÄVLEBORGS LÄN</t>
        </is>
      </c>
      <c r="E223" t="inlineStr">
        <is>
          <t>OVANÅKER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35270-2020</t>
        </is>
      </c>
      <c r="B224" s="1" t="n">
        <v>44041</v>
      </c>
      <c r="C224" s="1" t="n">
        <v>45794</v>
      </c>
      <c r="D224" t="inlineStr">
        <is>
          <t>GÄVLEBORGS LÄN</t>
        </is>
      </c>
      <c r="E224" t="inlineStr">
        <is>
          <t>OVANÅKER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36896-2020</t>
        </is>
      </c>
      <c r="B225" s="1" t="n">
        <v>44053</v>
      </c>
      <c r="C225" s="1" t="n">
        <v>45794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36899-2020</t>
        </is>
      </c>
      <c r="B226" s="1" t="n">
        <v>44053</v>
      </c>
      <c r="C226" s="1" t="n">
        <v>45794</v>
      </c>
      <c r="D226" t="inlineStr">
        <is>
          <t>GÄVLEBORGS LÄN</t>
        </is>
      </c>
      <c r="E226" t="inlineStr">
        <is>
          <t>OVANÅKER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36903-2020</t>
        </is>
      </c>
      <c r="B227" s="1" t="n">
        <v>44053</v>
      </c>
      <c r="C227" s="1" t="n">
        <v>45794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36988-2020</t>
        </is>
      </c>
      <c r="B228" s="1" t="n">
        <v>44054</v>
      </c>
      <c r="C228" s="1" t="n">
        <v>45794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36991-2020</t>
        </is>
      </c>
      <c r="B229" s="1" t="n">
        <v>44054</v>
      </c>
      <c r="C229" s="1" t="n">
        <v>45794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36986-2020</t>
        </is>
      </c>
      <c r="B230" s="1" t="n">
        <v>44054</v>
      </c>
      <c r="C230" s="1" t="n">
        <v>45794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36990-2020</t>
        </is>
      </c>
      <c r="B231" s="1" t="n">
        <v>44054</v>
      </c>
      <c r="C231" s="1" t="n">
        <v>45794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38676-2020</t>
        </is>
      </c>
      <c r="B232" s="1" t="n">
        <v>44061</v>
      </c>
      <c r="C232" s="1" t="n">
        <v>45794</v>
      </c>
      <c r="D232" t="inlineStr">
        <is>
          <t>GÄVLEBORGS LÄN</t>
        </is>
      </c>
      <c r="E232" t="inlineStr">
        <is>
          <t>OVANÅKER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38884-2020</t>
        </is>
      </c>
      <c r="B233" s="1" t="n">
        <v>44062</v>
      </c>
      <c r="C233" s="1" t="n">
        <v>45794</v>
      </c>
      <c r="D233" t="inlineStr">
        <is>
          <t>GÄVLEBORGS LÄN</t>
        </is>
      </c>
      <c r="E233" t="inlineStr">
        <is>
          <t>OVANÅKER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39120-2020</t>
        </is>
      </c>
      <c r="B234" s="1" t="n">
        <v>44063</v>
      </c>
      <c r="C234" s="1" t="n">
        <v>45794</v>
      </c>
      <c r="D234" t="inlineStr">
        <is>
          <t>GÄVLEBORGS LÄN</t>
        </is>
      </c>
      <c r="E234" t="inlineStr">
        <is>
          <t>OVANÅKER</t>
        </is>
      </c>
      <c r="G234" t="n">
        <v>25.3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39128-2020</t>
        </is>
      </c>
      <c r="B235" s="1" t="n">
        <v>44063</v>
      </c>
      <c r="C235" s="1" t="n">
        <v>45794</v>
      </c>
      <c r="D235" t="inlineStr">
        <is>
          <t>GÄVLEBORGS LÄN</t>
        </is>
      </c>
      <c r="E235" t="inlineStr">
        <is>
          <t>OVANÅKER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39934-2020</t>
        </is>
      </c>
      <c r="B236" s="1" t="n">
        <v>44067</v>
      </c>
      <c r="C236" s="1" t="n">
        <v>45794</v>
      </c>
      <c r="D236" t="inlineStr">
        <is>
          <t>GÄVLEBORGS LÄN</t>
        </is>
      </c>
      <c r="E236" t="inlineStr">
        <is>
          <t>OVANÅKER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40005-2020</t>
        </is>
      </c>
      <c r="B237" s="1" t="n">
        <v>44067</v>
      </c>
      <c r="C237" s="1" t="n">
        <v>45794</v>
      </c>
      <c r="D237" t="inlineStr">
        <is>
          <t>GÄVLEBORGS LÄN</t>
        </is>
      </c>
      <c r="E237" t="inlineStr">
        <is>
          <t>OVANÅKER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41155-2020</t>
        </is>
      </c>
      <c r="B238" s="1" t="n">
        <v>44071</v>
      </c>
      <c r="C238" s="1" t="n">
        <v>45794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41184-2020</t>
        </is>
      </c>
      <c r="B239" s="1" t="n">
        <v>44071</v>
      </c>
      <c r="C239" s="1" t="n">
        <v>45794</v>
      </c>
      <c r="D239" t="inlineStr">
        <is>
          <t>GÄVLEBORGS LÄN</t>
        </is>
      </c>
      <c r="E239" t="inlineStr">
        <is>
          <t>OVANÅKER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41219-2020</t>
        </is>
      </c>
      <c r="B240" s="1" t="n">
        <v>44071</v>
      </c>
      <c r="C240" s="1" t="n">
        <v>45794</v>
      </c>
      <c r="D240" t="inlineStr">
        <is>
          <t>GÄVLEBORGS LÄN</t>
        </is>
      </c>
      <c r="E240" t="inlineStr">
        <is>
          <t>OVANÅKER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41519-2020</t>
        </is>
      </c>
      <c r="B241" s="1" t="n">
        <v>44074</v>
      </c>
      <c r="C241" s="1" t="n">
        <v>45794</v>
      </c>
      <c r="D241" t="inlineStr">
        <is>
          <t>GÄVLEBORGS LÄN</t>
        </is>
      </c>
      <c r="E241" t="inlineStr">
        <is>
          <t>OVANÅKER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44050-2020</t>
        </is>
      </c>
      <c r="B242" s="1" t="n">
        <v>44083</v>
      </c>
      <c r="C242" s="1" t="n">
        <v>45794</v>
      </c>
      <c r="D242" t="inlineStr">
        <is>
          <t>GÄVLEBORGS LÄN</t>
        </is>
      </c>
      <c r="E242" t="inlineStr">
        <is>
          <t>OVANÅKER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44130-2020</t>
        </is>
      </c>
      <c r="B243" s="1" t="n">
        <v>44083</v>
      </c>
      <c r="C243" s="1" t="n">
        <v>45794</v>
      </c>
      <c r="D243" t="inlineStr">
        <is>
          <t>GÄVLEBORGS LÄN</t>
        </is>
      </c>
      <c r="E243" t="inlineStr">
        <is>
          <t>OVANÅKER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45268-2020</t>
        </is>
      </c>
      <c r="B244" s="1" t="n">
        <v>44089</v>
      </c>
      <c r="C244" s="1" t="n">
        <v>45794</v>
      </c>
      <c r="D244" t="inlineStr">
        <is>
          <t>GÄVLEBORGS LÄN</t>
        </is>
      </c>
      <c r="E244" t="inlineStr">
        <is>
          <t>OVANÅKER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45925-2020</t>
        </is>
      </c>
      <c r="B245" s="1" t="n">
        <v>44091</v>
      </c>
      <c r="C245" s="1" t="n">
        <v>45794</v>
      </c>
      <c r="D245" t="inlineStr">
        <is>
          <t>GÄVLEBORGS LÄN</t>
        </is>
      </c>
      <c r="E245" t="inlineStr">
        <is>
          <t>OVANÅKER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46069-2020</t>
        </is>
      </c>
      <c r="B246" s="1" t="n">
        <v>44091</v>
      </c>
      <c r="C246" s="1" t="n">
        <v>45794</v>
      </c>
      <c r="D246" t="inlineStr">
        <is>
          <t>GÄVLEBORGS LÄN</t>
        </is>
      </c>
      <c r="E246" t="inlineStr">
        <is>
          <t>OVANÅKER</t>
        </is>
      </c>
      <c r="F246" t="inlineStr">
        <is>
          <t>Holmen skog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47029-2020</t>
        </is>
      </c>
      <c r="B247" s="1" t="n">
        <v>44096</v>
      </c>
      <c r="C247" s="1" t="n">
        <v>45794</v>
      </c>
      <c r="D247" t="inlineStr">
        <is>
          <t>GÄVLEBORGS LÄN</t>
        </is>
      </c>
      <c r="E247" t="inlineStr">
        <is>
          <t>OVANÅKER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47036-2020</t>
        </is>
      </c>
      <c r="B248" s="1" t="n">
        <v>44096</v>
      </c>
      <c r="C248" s="1" t="n">
        <v>45794</v>
      </c>
      <c r="D248" t="inlineStr">
        <is>
          <t>GÄVLEBORGS LÄN</t>
        </is>
      </c>
      <c r="E248" t="inlineStr">
        <is>
          <t>OVANÅKER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48124-2020</t>
        </is>
      </c>
      <c r="B249" s="1" t="n">
        <v>44102</v>
      </c>
      <c r="C249" s="1" t="n">
        <v>45794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48720-2020</t>
        </is>
      </c>
      <c r="B250" s="1" t="n">
        <v>44103</v>
      </c>
      <c r="C250" s="1" t="n">
        <v>45794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49191-2020</t>
        </is>
      </c>
      <c r="B251" s="1" t="n">
        <v>44105</v>
      </c>
      <c r="C251" s="1" t="n">
        <v>45794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49198-2020</t>
        </is>
      </c>
      <c r="B252" s="1" t="n">
        <v>44105</v>
      </c>
      <c r="C252" s="1" t="n">
        <v>45794</v>
      </c>
      <c r="D252" t="inlineStr">
        <is>
          <t>GÄVLEBORGS LÄN</t>
        </is>
      </c>
      <c r="E252" t="inlineStr">
        <is>
          <t>OVANÅKER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49578-2020</t>
        </is>
      </c>
      <c r="B253" s="1" t="n">
        <v>44106</v>
      </c>
      <c r="C253" s="1" t="n">
        <v>45794</v>
      </c>
      <c r="D253" t="inlineStr">
        <is>
          <t>GÄVLEBORGS LÄN</t>
        </is>
      </c>
      <c r="E253" t="inlineStr">
        <is>
          <t>OVANÅKER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50243-2020</t>
        </is>
      </c>
      <c r="B254" s="1" t="n">
        <v>44109</v>
      </c>
      <c r="C254" s="1" t="n">
        <v>45794</v>
      </c>
      <c r="D254" t="inlineStr">
        <is>
          <t>GÄVLEBORGS LÄN</t>
        </is>
      </c>
      <c r="E254" t="inlineStr">
        <is>
          <t>OVANÅKER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49991-2020</t>
        </is>
      </c>
      <c r="B255" s="1" t="n">
        <v>44109</v>
      </c>
      <c r="C255" s="1" t="n">
        <v>45794</v>
      </c>
      <c r="D255" t="inlineStr">
        <is>
          <t>GÄVLEBORGS LÄN</t>
        </is>
      </c>
      <c r="E255" t="inlineStr">
        <is>
          <t>OVANÅKER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50244-2020</t>
        </is>
      </c>
      <c r="B256" s="1" t="n">
        <v>44109</v>
      </c>
      <c r="C256" s="1" t="n">
        <v>45794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51086-2020</t>
        </is>
      </c>
      <c r="B257" s="1" t="n">
        <v>44112</v>
      </c>
      <c r="C257" s="1" t="n">
        <v>45794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51083-2020</t>
        </is>
      </c>
      <c r="B258" s="1" t="n">
        <v>44112</v>
      </c>
      <c r="C258" s="1" t="n">
        <v>45794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51103-2020</t>
        </is>
      </c>
      <c r="B259" s="1" t="n">
        <v>44112</v>
      </c>
      <c r="C259" s="1" t="n">
        <v>45794</v>
      </c>
      <c r="D259" t="inlineStr">
        <is>
          <t>GÄVLEBORGS LÄN</t>
        </is>
      </c>
      <c r="E259" t="inlineStr">
        <is>
          <t>OVANÅKER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51274-2020</t>
        </is>
      </c>
      <c r="B260" s="1" t="n">
        <v>44112</v>
      </c>
      <c r="C260" s="1" t="n">
        <v>45794</v>
      </c>
      <c r="D260" t="inlineStr">
        <is>
          <t>GÄVLEBORGS LÄN</t>
        </is>
      </c>
      <c r="E260" t="inlineStr">
        <is>
          <t>OVANÅKER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52448-2020</t>
        </is>
      </c>
      <c r="B261" s="1" t="n">
        <v>44113</v>
      </c>
      <c r="C261" s="1" t="n">
        <v>45794</v>
      </c>
      <c r="D261" t="inlineStr">
        <is>
          <t>GÄVLEBORGS LÄN</t>
        </is>
      </c>
      <c r="E261" t="inlineStr">
        <is>
          <t>OVANÅKER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51983-2020</t>
        </is>
      </c>
      <c r="B262" s="1" t="n">
        <v>44116</v>
      </c>
      <c r="C262" s="1" t="n">
        <v>45794</v>
      </c>
      <c r="D262" t="inlineStr">
        <is>
          <t>GÄVLEBORGS LÄN</t>
        </is>
      </c>
      <c r="E262" t="inlineStr">
        <is>
          <t>OVANÅKER</t>
        </is>
      </c>
      <c r="G262" t="n">
        <v>26.7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52962-2020</t>
        </is>
      </c>
      <c r="B263" s="1" t="n">
        <v>44120</v>
      </c>
      <c r="C263" s="1" t="n">
        <v>45794</v>
      </c>
      <c r="D263" t="inlineStr">
        <is>
          <t>GÄVLEBORGS LÄN</t>
        </is>
      </c>
      <c r="E263" t="inlineStr">
        <is>
          <t>OVANÅKER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54070-2020</t>
        </is>
      </c>
      <c r="B264" s="1" t="n">
        <v>44125</v>
      </c>
      <c r="C264" s="1" t="n">
        <v>45794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55606-2020</t>
        </is>
      </c>
      <c r="B265" s="1" t="n">
        <v>44131</v>
      </c>
      <c r="C265" s="1" t="n">
        <v>45794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55600-2020</t>
        </is>
      </c>
      <c r="B266" s="1" t="n">
        <v>44131</v>
      </c>
      <c r="C266" s="1" t="n">
        <v>45794</v>
      </c>
      <c r="D266" t="inlineStr">
        <is>
          <t>GÄVLEBORGS LÄN</t>
        </is>
      </c>
      <c r="E266" t="inlineStr">
        <is>
          <t>OVANÅKER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55604-2020</t>
        </is>
      </c>
      <c r="B267" s="1" t="n">
        <v>44131</v>
      </c>
      <c r="C267" s="1" t="n">
        <v>45794</v>
      </c>
      <c r="D267" t="inlineStr">
        <is>
          <t>GÄVLEBORGS LÄN</t>
        </is>
      </c>
      <c r="E267" t="inlineStr">
        <is>
          <t>OVANÅKER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56503-2020</t>
        </is>
      </c>
      <c r="B268" s="1" t="n">
        <v>44137</v>
      </c>
      <c r="C268" s="1" t="n">
        <v>45794</v>
      </c>
      <c r="D268" t="inlineStr">
        <is>
          <t>GÄVLEBORGS LÄN</t>
        </is>
      </c>
      <c r="E268" t="inlineStr">
        <is>
          <t>OVANÅKER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56626-2020</t>
        </is>
      </c>
      <c r="B269" s="1" t="n">
        <v>44137</v>
      </c>
      <c r="C269" s="1" t="n">
        <v>45794</v>
      </c>
      <c r="D269" t="inlineStr">
        <is>
          <t>GÄVLEBORGS LÄN</t>
        </is>
      </c>
      <c r="E269" t="inlineStr">
        <is>
          <t>OVANÅKER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58352-2020</t>
        </is>
      </c>
      <c r="B270" s="1" t="n">
        <v>44145</v>
      </c>
      <c r="C270" s="1" t="n">
        <v>45794</v>
      </c>
      <c r="D270" t="inlineStr">
        <is>
          <t>GÄVLEBORGS LÄN</t>
        </is>
      </c>
      <c r="E270" t="inlineStr">
        <is>
          <t>OVANÅKER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58341-2020</t>
        </is>
      </c>
      <c r="B271" s="1" t="n">
        <v>44145</v>
      </c>
      <c r="C271" s="1" t="n">
        <v>45794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58814-2020</t>
        </is>
      </c>
      <c r="B272" s="1" t="n">
        <v>44146</v>
      </c>
      <c r="C272" s="1" t="n">
        <v>45794</v>
      </c>
      <c r="D272" t="inlineStr">
        <is>
          <t>GÄVLEBORGS LÄN</t>
        </is>
      </c>
      <c r="E272" t="inlineStr">
        <is>
          <t>OVANÅKER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58853-2020</t>
        </is>
      </c>
      <c r="B273" s="1" t="n">
        <v>44146</v>
      </c>
      <c r="C273" s="1" t="n">
        <v>45794</v>
      </c>
      <c r="D273" t="inlineStr">
        <is>
          <t>GÄVLEBORGS LÄN</t>
        </is>
      </c>
      <c r="E273" t="inlineStr">
        <is>
          <t>OVANÅKER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58841-2020</t>
        </is>
      </c>
      <c r="B274" s="1" t="n">
        <v>44146</v>
      </c>
      <c r="C274" s="1" t="n">
        <v>45794</v>
      </c>
      <c r="D274" t="inlineStr">
        <is>
          <t>GÄVLEBORGS LÄN</t>
        </is>
      </c>
      <c r="E274" t="inlineStr">
        <is>
          <t>OVANÅKER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60743-2020</t>
        </is>
      </c>
      <c r="B275" s="1" t="n">
        <v>44153</v>
      </c>
      <c r="C275" s="1" t="n">
        <v>45794</v>
      </c>
      <c r="D275" t="inlineStr">
        <is>
          <t>GÄVLEBORGS LÄN</t>
        </is>
      </c>
      <c r="E275" t="inlineStr">
        <is>
          <t>OVANÅKER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61984-2020</t>
        </is>
      </c>
      <c r="B276" s="1" t="n">
        <v>44159</v>
      </c>
      <c r="C276" s="1" t="n">
        <v>45794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öst AB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62033-2020</t>
        </is>
      </c>
      <c r="B277" s="1" t="n">
        <v>44159</v>
      </c>
      <c r="C277" s="1" t="n">
        <v>45794</v>
      </c>
      <c r="D277" t="inlineStr">
        <is>
          <t>GÄVLEBORGS LÄN</t>
        </is>
      </c>
      <c r="E277" t="inlineStr">
        <is>
          <t>OVANÅKER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62478-2020</t>
        </is>
      </c>
      <c r="B278" s="1" t="n">
        <v>44160</v>
      </c>
      <c r="C278" s="1" t="n">
        <v>45794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22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63128-2020</t>
        </is>
      </c>
      <c r="B279" s="1" t="n">
        <v>44162</v>
      </c>
      <c r="C279" s="1" t="n">
        <v>45794</v>
      </c>
      <c r="D279" t="inlineStr">
        <is>
          <t>GÄVLEBORGS LÄN</t>
        </is>
      </c>
      <c r="E279" t="inlineStr">
        <is>
          <t>OVANÅKER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64088-2020</t>
        </is>
      </c>
      <c r="B280" s="1" t="n">
        <v>44167</v>
      </c>
      <c r="C280" s="1" t="n">
        <v>45794</v>
      </c>
      <c r="D280" t="inlineStr">
        <is>
          <t>GÄVLEBORGS LÄN</t>
        </is>
      </c>
      <c r="E280" t="inlineStr">
        <is>
          <t>OVANÅKER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64117-2020</t>
        </is>
      </c>
      <c r="B281" s="1" t="n">
        <v>44167</v>
      </c>
      <c r="C281" s="1" t="n">
        <v>45794</v>
      </c>
      <c r="D281" t="inlineStr">
        <is>
          <t>GÄVLEBORGS LÄN</t>
        </is>
      </c>
      <c r="E281" t="inlineStr">
        <is>
          <t>OVANÅKER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63963-2020</t>
        </is>
      </c>
      <c r="B282" s="1" t="n">
        <v>44167</v>
      </c>
      <c r="C282" s="1" t="n">
        <v>45794</v>
      </c>
      <c r="D282" t="inlineStr">
        <is>
          <t>GÄVLEBORGS LÄN</t>
        </is>
      </c>
      <c r="E282" t="inlineStr">
        <is>
          <t>OVANÅKER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64008-2020</t>
        </is>
      </c>
      <c r="B283" s="1" t="n">
        <v>44167</v>
      </c>
      <c r="C283" s="1" t="n">
        <v>45794</v>
      </c>
      <c r="D283" t="inlineStr">
        <is>
          <t>GÄVLEBORGS LÄN</t>
        </is>
      </c>
      <c r="E283" t="inlineStr">
        <is>
          <t>OVANÅKER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64044-2020</t>
        </is>
      </c>
      <c r="B284" s="1" t="n">
        <v>44167</v>
      </c>
      <c r="C284" s="1" t="n">
        <v>45794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64010-2020</t>
        </is>
      </c>
      <c r="B285" s="1" t="n">
        <v>44167</v>
      </c>
      <c r="C285" s="1" t="n">
        <v>45794</v>
      </c>
      <c r="D285" t="inlineStr">
        <is>
          <t>GÄVLEBORGS LÄN</t>
        </is>
      </c>
      <c r="E285" t="inlineStr">
        <is>
          <t>OVANÅKER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64654-2020</t>
        </is>
      </c>
      <c r="B286" s="1" t="n">
        <v>44169</v>
      </c>
      <c r="C286" s="1" t="n">
        <v>45794</v>
      </c>
      <c r="D286" t="inlineStr">
        <is>
          <t>GÄVLEBORGS LÄN</t>
        </is>
      </c>
      <c r="E286" t="inlineStr">
        <is>
          <t>OVANÅKER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64730-2020</t>
        </is>
      </c>
      <c r="B287" s="1" t="n">
        <v>44169</v>
      </c>
      <c r="C287" s="1" t="n">
        <v>45794</v>
      </c>
      <c r="D287" t="inlineStr">
        <is>
          <t>GÄVLEBORGS LÄN</t>
        </is>
      </c>
      <c r="E287" t="inlineStr">
        <is>
          <t>OVANÅKER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65806-2020</t>
        </is>
      </c>
      <c r="B288" s="1" t="n">
        <v>44174</v>
      </c>
      <c r="C288" s="1" t="n">
        <v>45794</v>
      </c>
      <c r="D288" t="inlineStr">
        <is>
          <t>GÄVLEBORGS LÄN</t>
        </is>
      </c>
      <c r="E288" t="inlineStr">
        <is>
          <t>OVANÅKER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65689-2020</t>
        </is>
      </c>
      <c r="B289" s="1" t="n">
        <v>44174</v>
      </c>
      <c r="C289" s="1" t="n">
        <v>45794</v>
      </c>
      <c r="D289" t="inlineStr">
        <is>
          <t>GÄVLEBORGS LÄN</t>
        </is>
      </c>
      <c r="E289" t="inlineStr">
        <is>
          <t>OVANÅKER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67475-2020</t>
        </is>
      </c>
      <c r="B290" s="1" t="n">
        <v>44181</v>
      </c>
      <c r="C290" s="1" t="n">
        <v>45794</v>
      </c>
      <c r="D290" t="inlineStr">
        <is>
          <t>GÄVLEBORGS LÄN</t>
        </is>
      </c>
      <c r="E290" t="inlineStr">
        <is>
          <t>OVANÅKER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68228-2020</t>
        </is>
      </c>
      <c r="B291" s="1" t="n">
        <v>44183</v>
      </c>
      <c r="C291" s="1" t="n">
        <v>45794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69304-2020</t>
        </is>
      </c>
      <c r="B292" s="1" t="n">
        <v>44188</v>
      </c>
      <c r="C292" s="1" t="n">
        <v>45794</v>
      </c>
      <c r="D292" t="inlineStr">
        <is>
          <t>GÄVLEBORGS LÄN</t>
        </is>
      </c>
      <c r="E292" t="inlineStr">
        <is>
          <t>OVANÅKER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748-2021</t>
        </is>
      </c>
      <c r="B293" s="1" t="n">
        <v>44204</v>
      </c>
      <c r="C293" s="1" t="n">
        <v>45794</v>
      </c>
      <c r="D293" t="inlineStr">
        <is>
          <t>GÄVLEBORGS LÄN</t>
        </is>
      </c>
      <c r="E293" t="inlineStr">
        <is>
          <t>OVANÅKER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3828-2021</t>
        </is>
      </c>
      <c r="B294" s="1" t="n">
        <v>44222</v>
      </c>
      <c r="C294" s="1" t="n">
        <v>45794</v>
      </c>
      <c r="D294" t="inlineStr">
        <is>
          <t>GÄVLEBORGS LÄN</t>
        </is>
      </c>
      <c r="E294" t="inlineStr">
        <is>
          <t>OVANÅKER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4287-2021</t>
        </is>
      </c>
      <c r="B295" s="1" t="n">
        <v>44223</v>
      </c>
      <c r="C295" s="1" t="n">
        <v>45794</v>
      </c>
      <c r="D295" t="inlineStr">
        <is>
          <t>GÄVLEBORGS LÄN</t>
        </is>
      </c>
      <c r="E295" t="inlineStr">
        <is>
          <t>OVANÅKER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5903-2021</t>
        </is>
      </c>
      <c r="B296" s="1" t="n">
        <v>44231</v>
      </c>
      <c r="C296" s="1" t="n">
        <v>45794</v>
      </c>
      <c r="D296" t="inlineStr">
        <is>
          <t>GÄVLEBORGS LÄN</t>
        </is>
      </c>
      <c r="E296" t="inlineStr">
        <is>
          <t>OVANÅKER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8432-2021</t>
        </is>
      </c>
      <c r="B297" s="1" t="n">
        <v>44245</v>
      </c>
      <c r="C297" s="1" t="n">
        <v>45794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9506-2021</t>
        </is>
      </c>
      <c r="B298" s="1" t="n">
        <v>44251</v>
      </c>
      <c r="C298" s="1" t="n">
        <v>45794</v>
      </c>
      <c r="D298" t="inlineStr">
        <is>
          <t>GÄVLEBORGS LÄN</t>
        </is>
      </c>
      <c r="E298" t="inlineStr">
        <is>
          <t>OVANÅKER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10542-2021</t>
        </is>
      </c>
      <c r="B299" s="1" t="n">
        <v>44258</v>
      </c>
      <c r="C299" s="1" t="n">
        <v>45794</v>
      </c>
      <c r="D299" t="inlineStr">
        <is>
          <t>GÄVLEBORGS LÄN</t>
        </is>
      </c>
      <c r="E299" t="inlineStr">
        <is>
          <t>OVANÅKER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10632-2021</t>
        </is>
      </c>
      <c r="B300" s="1" t="n">
        <v>44258</v>
      </c>
      <c r="C300" s="1" t="n">
        <v>45794</v>
      </c>
      <c r="D300" t="inlineStr">
        <is>
          <t>GÄVLEBORGS LÄN</t>
        </is>
      </c>
      <c r="E300" t="inlineStr">
        <is>
          <t>OVANÅKER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10641-2021</t>
        </is>
      </c>
      <c r="B301" s="1" t="n">
        <v>44258</v>
      </c>
      <c r="C301" s="1" t="n">
        <v>45794</v>
      </c>
      <c r="D301" t="inlineStr">
        <is>
          <t>GÄVLEBORGS LÄN</t>
        </is>
      </c>
      <c r="E301" t="inlineStr">
        <is>
          <t>OVANÅKER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10708-2021</t>
        </is>
      </c>
      <c r="B302" s="1" t="n">
        <v>44258</v>
      </c>
      <c r="C302" s="1" t="n">
        <v>45794</v>
      </c>
      <c r="D302" t="inlineStr">
        <is>
          <t>GÄVLEBORGS LÄN</t>
        </is>
      </c>
      <c r="E302" t="inlineStr">
        <is>
          <t>OVANÅKER</t>
        </is>
      </c>
      <c r="G302" t="n">
        <v>22.6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11533-2021</t>
        </is>
      </c>
      <c r="B303" s="1" t="n">
        <v>44264</v>
      </c>
      <c r="C303" s="1" t="n">
        <v>45794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11543-2021</t>
        </is>
      </c>
      <c r="B304" s="1" t="n">
        <v>44264</v>
      </c>
      <c r="C304" s="1" t="n">
        <v>45794</v>
      </c>
      <c r="D304" t="inlineStr">
        <is>
          <t>GÄVLEBORGS LÄN</t>
        </is>
      </c>
      <c r="E304" t="inlineStr">
        <is>
          <t>OVANÅKER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11540-2021</t>
        </is>
      </c>
      <c r="B305" s="1" t="n">
        <v>44264</v>
      </c>
      <c r="C305" s="1" t="n">
        <v>45794</v>
      </c>
      <c r="D305" t="inlineStr">
        <is>
          <t>GÄVLEBORGS LÄN</t>
        </is>
      </c>
      <c r="E305" t="inlineStr">
        <is>
          <t>OVANÅKER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11536-2021</t>
        </is>
      </c>
      <c r="B306" s="1" t="n">
        <v>44264</v>
      </c>
      <c r="C306" s="1" t="n">
        <v>45794</v>
      </c>
      <c r="D306" t="inlineStr">
        <is>
          <t>GÄVLEBORGS LÄN</t>
        </is>
      </c>
      <c r="E306" t="inlineStr">
        <is>
          <t>OVANÅKER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12196-2021</t>
        </is>
      </c>
      <c r="B307" s="1" t="n">
        <v>44266</v>
      </c>
      <c r="C307" s="1" t="n">
        <v>45794</v>
      </c>
      <c r="D307" t="inlineStr">
        <is>
          <t>GÄVLEBORGS LÄN</t>
        </is>
      </c>
      <c r="E307" t="inlineStr">
        <is>
          <t>OVANÅKER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12139-2021</t>
        </is>
      </c>
      <c r="B308" s="1" t="n">
        <v>44266</v>
      </c>
      <c r="C308" s="1" t="n">
        <v>45794</v>
      </c>
      <c r="D308" t="inlineStr">
        <is>
          <t>GÄVLEBORGS LÄN</t>
        </is>
      </c>
      <c r="E308" t="inlineStr">
        <is>
          <t>OVANÅKER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12146-2021</t>
        </is>
      </c>
      <c r="B309" s="1" t="n">
        <v>44266</v>
      </c>
      <c r="C309" s="1" t="n">
        <v>45794</v>
      </c>
      <c r="D309" t="inlineStr">
        <is>
          <t>GÄVLEBORGS LÄN</t>
        </is>
      </c>
      <c r="E309" t="inlineStr">
        <is>
          <t>OVANÅKER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12140-2021</t>
        </is>
      </c>
      <c r="B310" s="1" t="n">
        <v>44266</v>
      </c>
      <c r="C310" s="1" t="n">
        <v>45794</v>
      </c>
      <c r="D310" t="inlineStr">
        <is>
          <t>GÄVLEBORGS LÄN</t>
        </is>
      </c>
      <c r="E310" t="inlineStr">
        <is>
          <t>OVANÅKER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12207-2021</t>
        </is>
      </c>
      <c r="B311" s="1" t="n">
        <v>44266</v>
      </c>
      <c r="C311" s="1" t="n">
        <v>45794</v>
      </c>
      <c r="D311" t="inlineStr">
        <is>
          <t>GÄVLEBORGS LÄN</t>
        </is>
      </c>
      <c r="E311" t="inlineStr">
        <is>
          <t>OVANÅKER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12825-2021</t>
        </is>
      </c>
      <c r="B312" s="1" t="n">
        <v>44270</v>
      </c>
      <c r="C312" s="1" t="n">
        <v>45794</v>
      </c>
      <c r="D312" t="inlineStr">
        <is>
          <t>GÄVLEBORGS LÄN</t>
        </is>
      </c>
      <c r="E312" t="inlineStr">
        <is>
          <t>OVANÅKER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12824-2021</t>
        </is>
      </c>
      <c r="B313" s="1" t="n">
        <v>44271</v>
      </c>
      <c r="C313" s="1" t="n">
        <v>45794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13276-2021</t>
        </is>
      </c>
      <c r="B314" s="1" t="n">
        <v>44272</v>
      </c>
      <c r="C314" s="1" t="n">
        <v>45794</v>
      </c>
      <c r="D314" t="inlineStr">
        <is>
          <t>GÄVLEBORGS LÄN</t>
        </is>
      </c>
      <c r="E314" t="inlineStr">
        <is>
          <t>OVANÅKER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13404-2021</t>
        </is>
      </c>
      <c r="B315" s="1" t="n">
        <v>44273</v>
      </c>
      <c r="C315" s="1" t="n">
        <v>45794</v>
      </c>
      <c r="D315" t="inlineStr">
        <is>
          <t>GÄVLEBORGS LÄN</t>
        </is>
      </c>
      <c r="E315" t="inlineStr">
        <is>
          <t>OVANÅKER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13901-2021</t>
        </is>
      </c>
      <c r="B316" s="1" t="n">
        <v>44277</v>
      </c>
      <c r="C316" s="1" t="n">
        <v>45794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14261-2021</t>
        </is>
      </c>
      <c r="B317" s="1" t="n">
        <v>44278</v>
      </c>
      <c r="C317" s="1" t="n">
        <v>45794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14413-2021</t>
        </is>
      </c>
      <c r="B318" s="1" t="n">
        <v>44279</v>
      </c>
      <c r="C318" s="1" t="n">
        <v>45794</v>
      </c>
      <c r="D318" t="inlineStr">
        <is>
          <t>GÄVLEBORGS LÄN</t>
        </is>
      </c>
      <c r="E318" t="inlineStr">
        <is>
          <t>OVANÅKER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14500-2021</t>
        </is>
      </c>
      <c r="B319" s="1" t="n">
        <v>44279</v>
      </c>
      <c r="C319" s="1" t="n">
        <v>45794</v>
      </c>
      <c r="D319" t="inlineStr">
        <is>
          <t>GÄVLEBORGS LÄN</t>
        </is>
      </c>
      <c r="E319" t="inlineStr">
        <is>
          <t>OVANÅKER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15534-2021</t>
        </is>
      </c>
      <c r="B320" s="1" t="n">
        <v>44285</v>
      </c>
      <c r="C320" s="1" t="n">
        <v>45794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15902-2021</t>
        </is>
      </c>
      <c r="B321" s="1" t="n">
        <v>44287</v>
      </c>
      <c r="C321" s="1" t="n">
        <v>45794</v>
      </c>
      <c r="D321" t="inlineStr">
        <is>
          <t>GÄVLEBORGS LÄN</t>
        </is>
      </c>
      <c r="E321" t="inlineStr">
        <is>
          <t>OVANÅKER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17215-2021</t>
        </is>
      </c>
      <c r="B322" s="1" t="n">
        <v>44298</v>
      </c>
      <c r="C322" s="1" t="n">
        <v>45794</v>
      </c>
      <c r="D322" t="inlineStr">
        <is>
          <t>GÄVLEBORGS LÄN</t>
        </is>
      </c>
      <c r="E322" t="inlineStr">
        <is>
          <t>OVANÅKER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17290-2021</t>
        </is>
      </c>
      <c r="B323" s="1" t="n">
        <v>44298</v>
      </c>
      <c r="C323" s="1" t="n">
        <v>45794</v>
      </c>
      <c r="D323" t="inlineStr">
        <is>
          <t>GÄVLEBORGS LÄN</t>
        </is>
      </c>
      <c r="E323" t="inlineStr">
        <is>
          <t>OVANÅKER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17959-2021</t>
        </is>
      </c>
      <c r="B324" s="1" t="n">
        <v>44301</v>
      </c>
      <c r="C324" s="1" t="n">
        <v>45794</v>
      </c>
      <c r="D324" t="inlineStr">
        <is>
          <t>GÄVLEBORGS LÄN</t>
        </is>
      </c>
      <c r="E324" t="inlineStr">
        <is>
          <t>OVANÅKER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18350-2021</t>
        </is>
      </c>
      <c r="B325" s="1" t="n">
        <v>44305</v>
      </c>
      <c r="C325" s="1" t="n">
        <v>45794</v>
      </c>
      <c r="D325" t="inlineStr">
        <is>
          <t>GÄVLEBORGS LÄN</t>
        </is>
      </c>
      <c r="E325" t="inlineStr">
        <is>
          <t>OVANÅKER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19441-2021</t>
        </is>
      </c>
      <c r="B326" s="1" t="n">
        <v>44310</v>
      </c>
      <c r="C326" s="1" t="n">
        <v>45794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19442-2021</t>
        </is>
      </c>
      <c r="B327" s="1" t="n">
        <v>44310</v>
      </c>
      <c r="C327" s="1" t="n">
        <v>45794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19661-2021</t>
        </is>
      </c>
      <c r="B328" s="1" t="n">
        <v>44312</v>
      </c>
      <c r="C328" s="1" t="n">
        <v>45794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19919-2021</t>
        </is>
      </c>
      <c r="B329" s="1" t="n">
        <v>44313</v>
      </c>
      <c r="C329" s="1" t="n">
        <v>45794</v>
      </c>
      <c r="D329" t="inlineStr">
        <is>
          <t>GÄVLEBORGS LÄN</t>
        </is>
      </c>
      <c r="E329" t="inlineStr">
        <is>
          <t>OVANÅKER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20089-2021</t>
        </is>
      </c>
      <c r="B330" s="1" t="n">
        <v>44314</v>
      </c>
      <c r="C330" s="1" t="n">
        <v>45794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20101-2021</t>
        </is>
      </c>
      <c r="B331" s="1" t="n">
        <v>44314</v>
      </c>
      <c r="C331" s="1" t="n">
        <v>45794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20095-2021</t>
        </is>
      </c>
      <c r="B332" s="1" t="n">
        <v>44314</v>
      </c>
      <c r="C332" s="1" t="n">
        <v>45794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20108-2021</t>
        </is>
      </c>
      <c r="B333" s="1" t="n">
        <v>44314</v>
      </c>
      <c r="C333" s="1" t="n">
        <v>45794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20356-2021</t>
        </is>
      </c>
      <c r="B334" s="1" t="n">
        <v>44315</v>
      </c>
      <c r="C334" s="1" t="n">
        <v>45794</v>
      </c>
      <c r="D334" t="inlineStr">
        <is>
          <t>GÄVLEBORGS LÄN</t>
        </is>
      </c>
      <c r="E334" t="inlineStr">
        <is>
          <t>OVANÅKER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21709-2021</t>
        </is>
      </c>
      <c r="B335" s="1" t="n">
        <v>44322</v>
      </c>
      <c r="C335" s="1" t="n">
        <v>45794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22416-2021</t>
        </is>
      </c>
      <c r="B336" s="1" t="n">
        <v>44326</v>
      </c>
      <c r="C336" s="1" t="n">
        <v>45794</v>
      </c>
      <c r="D336" t="inlineStr">
        <is>
          <t>GÄVLEBORGS LÄN</t>
        </is>
      </c>
      <c r="E336" t="inlineStr">
        <is>
          <t>OVANÅKER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22945-2021</t>
        </is>
      </c>
      <c r="B337" s="1" t="n">
        <v>44328</v>
      </c>
      <c r="C337" s="1" t="n">
        <v>45794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24075-2021</t>
        </is>
      </c>
      <c r="B338" s="1" t="n">
        <v>44336</v>
      </c>
      <c r="C338" s="1" t="n">
        <v>45794</v>
      </c>
      <c r="D338" t="inlineStr">
        <is>
          <t>GÄVLEBORGS LÄN</t>
        </is>
      </c>
      <c r="E338" t="inlineStr">
        <is>
          <t>OVANÅKER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24344-2021</t>
        </is>
      </c>
      <c r="B339" s="1" t="n">
        <v>44337</v>
      </c>
      <c r="C339" s="1" t="n">
        <v>45794</v>
      </c>
      <c r="D339" t="inlineStr">
        <is>
          <t>GÄVLEBORGS LÄN</t>
        </is>
      </c>
      <c r="E339" t="inlineStr">
        <is>
          <t>OVANÅKER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24665-2021</t>
        </is>
      </c>
      <c r="B340" s="1" t="n">
        <v>44340</v>
      </c>
      <c r="C340" s="1" t="n">
        <v>45794</v>
      </c>
      <c r="D340" t="inlineStr">
        <is>
          <t>GÄVLEBORGS LÄN</t>
        </is>
      </c>
      <c r="E340" t="inlineStr">
        <is>
          <t>OVANÅKER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25939-2021</t>
        </is>
      </c>
      <c r="B341" s="1" t="n">
        <v>44344</v>
      </c>
      <c r="C341" s="1" t="n">
        <v>45794</v>
      </c>
      <c r="D341" t="inlineStr">
        <is>
          <t>GÄVLEBORGS LÄN</t>
        </is>
      </c>
      <c r="E341" t="inlineStr">
        <is>
          <t>OVANÅKER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26269-2021</t>
        </is>
      </c>
      <c r="B342" s="1" t="n">
        <v>44347</v>
      </c>
      <c r="C342" s="1" t="n">
        <v>45794</v>
      </c>
      <c r="D342" t="inlineStr">
        <is>
          <t>GÄVLEBORGS LÄN</t>
        </is>
      </c>
      <c r="E342" t="inlineStr">
        <is>
          <t>OVANÅKER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26365-2021</t>
        </is>
      </c>
      <c r="B343" s="1" t="n">
        <v>44347</v>
      </c>
      <c r="C343" s="1" t="n">
        <v>45794</v>
      </c>
      <c r="D343" t="inlineStr">
        <is>
          <t>GÄVLEBORGS LÄN</t>
        </is>
      </c>
      <c r="E343" t="inlineStr">
        <is>
          <t>OVANÅKER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26754-2021</t>
        </is>
      </c>
      <c r="B344" s="1" t="n">
        <v>44349</v>
      </c>
      <c r="C344" s="1" t="n">
        <v>45794</v>
      </c>
      <c r="D344" t="inlineStr">
        <is>
          <t>GÄVLEBORGS LÄN</t>
        </is>
      </c>
      <c r="E344" t="inlineStr">
        <is>
          <t>OVANÅKER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26800-2021</t>
        </is>
      </c>
      <c r="B345" s="1" t="n">
        <v>44349</v>
      </c>
      <c r="C345" s="1" t="n">
        <v>45794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26752-2021</t>
        </is>
      </c>
      <c r="B346" s="1" t="n">
        <v>44349</v>
      </c>
      <c r="C346" s="1" t="n">
        <v>45794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26806-2021</t>
        </is>
      </c>
      <c r="B347" s="1" t="n">
        <v>44349</v>
      </c>
      <c r="C347" s="1" t="n">
        <v>45794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27078-2021</t>
        </is>
      </c>
      <c r="B348" s="1" t="n">
        <v>44350</v>
      </c>
      <c r="C348" s="1" t="n">
        <v>45794</v>
      </c>
      <c r="D348" t="inlineStr">
        <is>
          <t>GÄVLEBORGS LÄN</t>
        </is>
      </c>
      <c r="E348" t="inlineStr">
        <is>
          <t>OVANÅKER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27374-2021</t>
        </is>
      </c>
      <c r="B349" s="1" t="n">
        <v>44351</v>
      </c>
      <c r="C349" s="1" t="n">
        <v>45794</v>
      </c>
      <c r="D349" t="inlineStr">
        <is>
          <t>GÄVLEBORGS LÄN</t>
        </is>
      </c>
      <c r="E349" t="inlineStr">
        <is>
          <t>OVANÅKER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27536-2021</t>
        </is>
      </c>
      <c r="B350" s="1" t="n">
        <v>44351</v>
      </c>
      <c r="C350" s="1" t="n">
        <v>45794</v>
      </c>
      <c r="D350" t="inlineStr">
        <is>
          <t>GÄVLEBORGS LÄN</t>
        </is>
      </c>
      <c r="E350" t="inlineStr">
        <is>
          <t>OVANÅKER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27534-2021</t>
        </is>
      </c>
      <c r="B351" s="1" t="n">
        <v>44351</v>
      </c>
      <c r="C351" s="1" t="n">
        <v>45794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28182-2021</t>
        </is>
      </c>
      <c r="B352" s="1" t="n">
        <v>44355</v>
      </c>
      <c r="C352" s="1" t="n">
        <v>45794</v>
      </c>
      <c r="D352" t="inlineStr">
        <is>
          <t>GÄVLEBORGS LÄN</t>
        </is>
      </c>
      <c r="E352" t="inlineStr">
        <is>
          <t>OVANÅKER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30424-2021</t>
        </is>
      </c>
      <c r="B353" s="1" t="n">
        <v>44364</v>
      </c>
      <c r="C353" s="1" t="n">
        <v>45794</v>
      </c>
      <c r="D353" t="inlineStr">
        <is>
          <t>GÄVLEBORGS LÄN</t>
        </is>
      </c>
      <c r="E353" t="inlineStr">
        <is>
          <t>OVANÅKER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30439-2021</t>
        </is>
      </c>
      <c r="B354" s="1" t="n">
        <v>44364</v>
      </c>
      <c r="C354" s="1" t="n">
        <v>45794</v>
      </c>
      <c r="D354" t="inlineStr">
        <is>
          <t>GÄVLEBORGS LÄN</t>
        </is>
      </c>
      <c r="E354" t="inlineStr">
        <is>
          <t>OVANÅKER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30956-2021</t>
        </is>
      </c>
      <c r="B355" s="1" t="n">
        <v>44365</v>
      </c>
      <c r="C355" s="1" t="n">
        <v>45794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32238-2021</t>
        </is>
      </c>
      <c r="B356" s="1" t="n">
        <v>44371</v>
      </c>
      <c r="C356" s="1" t="n">
        <v>45794</v>
      </c>
      <c r="D356" t="inlineStr">
        <is>
          <t>GÄVLEBORGS LÄN</t>
        </is>
      </c>
      <c r="E356" t="inlineStr">
        <is>
          <t>OVANÅKER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32420-2021</t>
        </is>
      </c>
      <c r="B357" s="1" t="n">
        <v>44371</v>
      </c>
      <c r="C357" s="1" t="n">
        <v>45794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33180-2021</t>
        </is>
      </c>
      <c r="B358" s="1" t="n">
        <v>44376</v>
      </c>
      <c r="C358" s="1" t="n">
        <v>45794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34186-2021</t>
        </is>
      </c>
      <c r="B359" s="1" t="n">
        <v>44379</v>
      </c>
      <c r="C359" s="1" t="n">
        <v>45794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34298-2021</t>
        </is>
      </c>
      <c r="B360" s="1" t="n">
        <v>44379</v>
      </c>
      <c r="C360" s="1" t="n">
        <v>45794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34222-2021</t>
        </is>
      </c>
      <c r="B361" s="1" t="n">
        <v>44379</v>
      </c>
      <c r="C361" s="1" t="n">
        <v>45794</v>
      </c>
      <c r="D361" t="inlineStr">
        <is>
          <t>GÄVLEBORGS LÄN</t>
        </is>
      </c>
      <c r="E361" t="inlineStr">
        <is>
          <t>OVANÅKER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34303-2021</t>
        </is>
      </c>
      <c r="B362" s="1" t="n">
        <v>44379</v>
      </c>
      <c r="C362" s="1" t="n">
        <v>45794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34260-2021</t>
        </is>
      </c>
      <c r="B363" s="1" t="n">
        <v>44379</v>
      </c>
      <c r="C363" s="1" t="n">
        <v>45794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34308-2021</t>
        </is>
      </c>
      <c r="B364" s="1" t="n">
        <v>44379</v>
      </c>
      <c r="C364" s="1" t="n">
        <v>45794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34200-2021</t>
        </is>
      </c>
      <c r="B365" s="1" t="n">
        <v>44379</v>
      </c>
      <c r="C365" s="1" t="n">
        <v>45794</v>
      </c>
      <c r="D365" t="inlineStr">
        <is>
          <t>GÄVLEBORGS LÄN</t>
        </is>
      </c>
      <c r="E365" t="inlineStr">
        <is>
          <t>OVANÅKER</t>
        </is>
      </c>
      <c r="F365" t="inlineStr">
        <is>
          <t>Kyrkan</t>
        </is>
      </c>
      <c r="G365" t="n">
        <v>16.3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34128-2021</t>
        </is>
      </c>
      <c r="B366" s="1" t="n">
        <v>44379</v>
      </c>
      <c r="C366" s="1" t="n">
        <v>45794</v>
      </c>
      <c r="D366" t="inlineStr">
        <is>
          <t>GÄVLEBORGS LÄN</t>
        </is>
      </c>
      <c r="E366" t="inlineStr">
        <is>
          <t>OVANÅKER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34513-2021</t>
        </is>
      </c>
      <c r="B367" s="1" t="n">
        <v>44382</v>
      </c>
      <c r="C367" s="1" t="n">
        <v>45794</v>
      </c>
      <c r="D367" t="inlineStr">
        <is>
          <t>GÄVLEBORGS LÄN</t>
        </is>
      </c>
      <c r="E367" t="inlineStr">
        <is>
          <t>OVANÅKER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35269-2021</t>
        </is>
      </c>
      <c r="B368" s="1" t="n">
        <v>44384</v>
      </c>
      <c r="C368" s="1" t="n">
        <v>45794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35239-2021</t>
        </is>
      </c>
      <c r="B369" s="1" t="n">
        <v>44384</v>
      </c>
      <c r="C369" s="1" t="n">
        <v>45794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35278-2021</t>
        </is>
      </c>
      <c r="B370" s="1" t="n">
        <v>44384</v>
      </c>
      <c r="C370" s="1" t="n">
        <v>45794</v>
      </c>
      <c r="D370" t="inlineStr">
        <is>
          <t>GÄVLEBORGS LÄN</t>
        </is>
      </c>
      <c r="E370" t="inlineStr">
        <is>
          <t>OVANÅKER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36056-2021</t>
        </is>
      </c>
      <c r="B371" s="1" t="n">
        <v>44389</v>
      </c>
      <c r="C371" s="1" t="n">
        <v>45794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37729-2021</t>
        </is>
      </c>
      <c r="B372" s="1" t="n">
        <v>44400</v>
      </c>
      <c r="C372" s="1" t="n">
        <v>45794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37734-2021</t>
        </is>
      </c>
      <c r="B373" s="1" t="n">
        <v>44400</v>
      </c>
      <c r="C373" s="1" t="n">
        <v>45794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37726-2021</t>
        </is>
      </c>
      <c r="B374" s="1" t="n">
        <v>44400</v>
      </c>
      <c r="C374" s="1" t="n">
        <v>45794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41529-2021</t>
        </is>
      </c>
      <c r="B375" s="1" t="n">
        <v>44425</v>
      </c>
      <c r="C375" s="1" t="n">
        <v>45794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41527-2021</t>
        </is>
      </c>
      <c r="B376" s="1" t="n">
        <v>44425</v>
      </c>
      <c r="C376" s="1" t="n">
        <v>45794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41545-2021</t>
        </is>
      </c>
      <c r="B377" s="1" t="n">
        <v>44425</v>
      </c>
      <c r="C377" s="1" t="n">
        <v>45794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41533-2021</t>
        </is>
      </c>
      <c r="B378" s="1" t="n">
        <v>44425</v>
      </c>
      <c r="C378" s="1" t="n">
        <v>45794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42227-2021</t>
        </is>
      </c>
      <c r="B379" s="1" t="n">
        <v>44427</v>
      </c>
      <c r="C379" s="1" t="n">
        <v>45794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43278-2021</t>
        </is>
      </c>
      <c r="B380" s="1" t="n">
        <v>44432</v>
      </c>
      <c r="C380" s="1" t="n">
        <v>45794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44127-2021</t>
        </is>
      </c>
      <c r="B381" s="1" t="n">
        <v>44434</v>
      </c>
      <c r="C381" s="1" t="n">
        <v>45794</v>
      </c>
      <c r="D381" t="inlineStr">
        <is>
          <t>GÄVLEBORGS LÄN</t>
        </is>
      </c>
      <c r="E381" t="inlineStr">
        <is>
          <t>OVANÅKER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44585-2021</t>
        </is>
      </c>
      <c r="B382" s="1" t="n">
        <v>44435</v>
      </c>
      <c r="C382" s="1" t="n">
        <v>45794</v>
      </c>
      <c r="D382" t="inlineStr">
        <is>
          <t>GÄVLEBORGS LÄN</t>
        </is>
      </c>
      <c r="E382" t="inlineStr">
        <is>
          <t>OVANÅKER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44529-2021</t>
        </is>
      </c>
      <c r="B383" s="1" t="n">
        <v>44435</v>
      </c>
      <c r="C383" s="1" t="n">
        <v>45794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45273-2021</t>
        </is>
      </c>
      <c r="B384" s="1" t="n">
        <v>44439</v>
      </c>
      <c r="C384" s="1" t="n">
        <v>45794</v>
      </c>
      <c r="D384" t="inlineStr">
        <is>
          <t>GÄVLEBORGS LÄN</t>
        </is>
      </c>
      <c r="E384" t="inlineStr">
        <is>
          <t>OVANÅKER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46459-2021</t>
        </is>
      </c>
      <c r="B385" s="1" t="n">
        <v>44445</v>
      </c>
      <c r="C385" s="1" t="n">
        <v>45794</v>
      </c>
      <c r="D385" t="inlineStr">
        <is>
          <t>GÄVLEBORGS LÄN</t>
        </is>
      </c>
      <c r="E385" t="inlineStr">
        <is>
          <t>OVANÅKER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46733-2021</t>
        </is>
      </c>
      <c r="B386" s="1" t="n">
        <v>44445</v>
      </c>
      <c r="C386" s="1" t="n">
        <v>45794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47481-2021</t>
        </is>
      </c>
      <c r="B387" s="1" t="n">
        <v>44447</v>
      </c>
      <c r="C387" s="1" t="n">
        <v>45794</v>
      </c>
      <c r="D387" t="inlineStr">
        <is>
          <t>GÄVLEBORGS LÄN</t>
        </is>
      </c>
      <c r="E387" t="inlineStr">
        <is>
          <t>OVANÅKER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47486-2021</t>
        </is>
      </c>
      <c r="B388" s="1" t="n">
        <v>44447</v>
      </c>
      <c r="C388" s="1" t="n">
        <v>45794</v>
      </c>
      <c r="D388" t="inlineStr">
        <is>
          <t>GÄVLEBORGS LÄN</t>
        </is>
      </c>
      <c r="E388" t="inlineStr">
        <is>
          <t>OVANÅKER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48151-2021</t>
        </is>
      </c>
      <c r="B389" s="1" t="n">
        <v>44449</v>
      </c>
      <c r="C389" s="1" t="n">
        <v>45794</v>
      </c>
      <c r="D389" t="inlineStr">
        <is>
          <t>GÄVLEBORGS LÄN</t>
        </is>
      </c>
      <c r="E389" t="inlineStr">
        <is>
          <t>OVANÅKER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49565-2021</t>
        </is>
      </c>
      <c r="B390" s="1" t="n">
        <v>44455</v>
      </c>
      <c r="C390" s="1" t="n">
        <v>45794</v>
      </c>
      <c r="D390" t="inlineStr">
        <is>
          <t>GÄVLEBORGS LÄN</t>
        </is>
      </c>
      <c r="E390" t="inlineStr">
        <is>
          <t>OVANÅKER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52046-2021</t>
        </is>
      </c>
      <c r="B391" s="1" t="n">
        <v>44463</v>
      </c>
      <c r="C391" s="1" t="n">
        <v>45794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52608-2021</t>
        </is>
      </c>
      <c r="B392" s="1" t="n">
        <v>44466</v>
      </c>
      <c r="C392" s="1" t="n">
        <v>45794</v>
      </c>
      <c r="D392" t="inlineStr">
        <is>
          <t>GÄVLEBORGS LÄN</t>
        </is>
      </c>
      <c r="E392" t="inlineStr">
        <is>
          <t>OVANÅKER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52614-2021</t>
        </is>
      </c>
      <c r="B393" s="1" t="n">
        <v>44466</v>
      </c>
      <c r="C393" s="1" t="n">
        <v>45794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54013-2021</t>
        </is>
      </c>
      <c r="B394" s="1" t="n">
        <v>44470</v>
      </c>
      <c r="C394" s="1" t="n">
        <v>45794</v>
      </c>
      <c r="D394" t="inlineStr">
        <is>
          <t>GÄVLEBORGS LÄN</t>
        </is>
      </c>
      <c r="E394" t="inlineStr">
        <is>
          <t>OVANÅKER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54080-2021</t>
        </is>
      </c>
      <c r="B395" s="1" t="n">
        <v>44470</v>
      </c>
      <c r="C395" s="1" t="n">
        <v>45794</v>
      </c>
      <c r="D395" t="inlineStr">
        <is>
          <t>GÄVLEBORGS LÄN</t>
        </is>
      </c>
      <c r="E395" t="inlineStr">
        <is>
          <t>OVANÅKER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54661-2021</t>
        </is>
      </c>
      <c r="B396" s="1" t="n">
        <v>44473</v>
      </c>
      <c r="C396" s="1" t="n">
        <v>45794</v>
      </c>
      <c r="D396" t="inlineStr">
        <is>
          <t>GÄVLEBORGS LÄN</t>
        </is>
      </c>
      <c r="E396" t="inlineStr">
        <is>
          <t>OVANÅKER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55243-2021</t>
        </is>
      </c>
      <c r="B397" s="1" t="n">
        <v>44475</v>
      </c>
      <c r="C397" s="1" t="n">
        <v>45794</v>
      </c>
      <c r="D397" t="inlineStr">
        <is>
          <t>GÄVLEBORGS LÄN</t>
        </is>
      </c>
      <c r="E397" t="inlineStr">
        <is>
          <t>OVANÅKER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55241-2021</t>
        </is>
      </c>
      <c r="B398" s="1" t="n">
        <v>44475</v>
      </c>
      <c r="C398" s="1" t="n">
        <v>45794</v>
      </c>
      <c r="D398" t="inlineStr">
        <is>
          <t>GÄVLEBORGS LÄN</t>
        </is>
      </c>
      <c r="E398" t="inlineStr">
        <is>
          <t>OVANÅKER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55408-2021</t>
        </is>
      </c>
      <c r="B399" s="1" t="n">
        <v>44475</v>
      </c>
      <c r="C399" s="1" t="n">
        <v>45794</v>
      </c>
      <c r="D399" t="inlineStr">
        <is>
          <t>GÄVLEBORGS LÄN</t>
        </is>
      </c>
      <c r="E399" t="inlineStr">
        <is>
          <t>OVANÅKER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55298-2021</t>
        </is>
      </c>
      <c r="B400" s="1" t="n">
        <v>44475</v>
      </c>
      <c r="C400" s="1" t="n">
        <v>45794</v>
      </c>
      <c r="D400" t="inlineStr">
        <is>
          <t>GÄVLEBORGS LÄN</t>
        </is>
      </c>
      <c r="E400" t="inlineStr">
        <is>
          <t>OVANÅKER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55371-2021</t>
        </is>
      </c>
      <c r="B401" s="1" t="n">
        <v>44475</v>
      </c>
      <c r="C401" s="1" t="n">
        <v>45794</v>
      </c>
      <c r="D401" t="inlineStr">
        <is>
          <t>GÄVLEBORGS LÄN</t>
        </is>
      </c>
      <c r="E401" t="inlineStr">
        <is>
          <t>OVANÅKER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55403-2021</t>
        </is>
      </c>
      <c r="B402" s="1" t="n">
        <v>44475</v>
      </c>
      <c r="C402" s="1" t="n">
        <v>45794</v>
      </c>
      <c r="D402" t="inlineStr">
        <is>
          <t>GÄVLEBORGS LÄN</t>
        </is>
      </c>
      <c r="E402" t="inlineStr">
        <is>
          <t>OVANÅKER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57124-2021</t>
        </is>
      </c>
      <c r="B403" s="1" t="n">
        <v>44482</v>
      </c>
      <c r="C403" s="1" t="n">
        <v>45794</v>
      </c>
      <c r="D403" t="inlineStr">
        <is>
          <t>GÄVLEBORGS LÄN</t>
        </is>
      </c>
      <c r="E403" t="inlineStr">
        <is>
          <t>OVANÅKER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57798-2021</t>
        </is>
      </c>
      <c r="B404" s="1" t="n">
        <v>44484</v>
      </c>
      <c r="C404" s="1" t="n">
        <v>45794</v>
      </c>
      <c r="D404" t="inlineStr">
        <is>
          <t>GÄVLEBORGS LÄN</t>
        </is>
      </c>
      <c r="E404" t="inlineStr">
        <is>
          <t>OVANÅKER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58817-2021</t>
        </is>
      </c>
      <c r="B405" s="1" t="n">
        <v>44489</v>
      </c>
      <c r="C405" s="1" t="n">
        <v>45794</v>
      </c>
      <c r="D405" t="inlineStr">
        <is>
          <t>GÄVLEBORGS LÄN</t>
        </is>
      </c>
      <c r="E405" t="inlineStr">
        <is>
          <t>OVANÅKER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59442-2021</t>
        </is>
      </c>
      <c r="B406" s="1" t="n">
        <v>44491</v>
      </c>
      <c r="C406" s="1" t="n">
        <v>45794</v>
      </c>
      <c r="D406" t="inlineStr">
        <is>
          <t>GÄVLEBORGS LÄN</t>
        </is>
      </c>
      <c r="E406" t="inlineStr">
        <is>
          <t>OVANÅKER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59718-2021</t>
        </is>
      </c>
      <c r="B407" s="1" t="n">
        <v>44494</v>
      </c>
      <c r="C407" s="1" t="n">
        <v>45794</v>
      </c>
      <c r="D407" t="inlineStr">
        <is>
          <t>GÄVLEBORGS LÄN</t>
        </is>
      </c>
      <c r="E407" t="inlineStr">
        <is>
          <t>OVANÅKER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60999-2021</t>
        </is>
      </c>
      <c r="B408" s="1" t="n">
        <v>44497</v>
      </c>
      <c r="C408" s="1" t="n">
        <v>45794</v>
      </c>
      <c r="D408" t="inlineStr">
        <is>
          <t>GÄVLEBORGS LÄN</t>
        </is>
      </c>
      <c r="E408" t="inlineStr">
        <is>
          <t>OVANÅKER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61020-2021</t>
        </is>
      </c>
      <c r="B409" s="1" t="n">
        <v>44497</v>
      </c>
      <c r="C409" s="1" t="n">
        <v>45794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62595-2021</t>
        </is>
      </c>
      <c r="B410" s="1" t="n">
        <v>44503</v>
      </c>
      <c r="C410" s="1" t="n">
        <v>45794</v>
      </c>
      <c r="D410" t="inlineStr">
        <is>
          <t>GÄVLEBORGS LÄN</t>
        </is>
      </c>
      <c r="E410" t="inlineStr">
        <is>
          <t>OVANÅKER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62774-2021</t>
        </is>
      </c>
      <c r="B411" s="1" t="n">
        <v>44503</v>
      </c>
      <c r="C411" s="1" t="n">
        <v>45794</v>
      </c>
      <c r="D411" t="inlineStr">
        <is>
          <t>GÄVLEBORGS LÄN</t>
        </is>
      </c>
      <c r="E411" t="inlineStr">
        <is>
          <t>OVANÅKER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63109-2021</t>
        </is>
      </c>
      <c r="B412" s="1" t="n">
        <v>44505</v>
      </c>
      <c r="C412" s="1" t="n">
        <v>45794</v>
      </c>
      <c r="D412" t="inlineStr">
        <is>
          <t>GÄVLEBORGS LÄN</t>
        </is>
      </c>
      <c r="E412" t="inlineStr">
        <is>
          <t>OVANÅKER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64843-2021</t>
        </is>
      </c>
      <c r="B413" s="1" t="n">
        <v>44512</v>
      </c>
      <c r="C413" s="1" t="n">
        <v>45794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65542-2021</t>
        </is>
      </c>
      <c r="B414" s="1" t="n">
        <v>44516</v>
      </c>
      <c r="C414" s="1" t="n">
        <v>45794</v>
      </c>
      <c r="D414" t="inlineStr">
        <is>
          <t>GÄVLEBORGS LÄN</t>
        </is>
      </c>
      <c r="E414" t="inlineStr">
        <is>
          <t>OVANÅKER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65960-2021</t>
        </is>
      </c>
      <c r="B415" s="1" t="n">
        <v>44517</v>
      </c>
      <c r="C415" s="1" t="n">
        <v>45794</v>
      </c>
      <c r="D415" t="inlineStr">
        <is>
          <t>GÄVLEBORGS LÄN</t>
        </is>
      </c>
      <c r="E415" t="inlineStr">
        <is>
          <t>OVANÅKER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66083-2021</t>
        </is>
      </c>
      <c r="B416" s="1" t="n">
        <v>44517</v>
      </c>
      <c r="C416" s="1" t="n">
        <v>45794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66299-2021</t>
        </is>
      </c>
      <c r="B417" s="1" t="n">
        <v>44518</v>
      </c>
      <c r="C417" s="1" t="n">
        <v>45794</v>
      </c>
      <c r="D417" t="inlineStr">
        <is>
          <t>GÄVLEBORGS LÄN</t>
        </is>
      </c>
      <c r="E417" t="inlineStr">
        <is>
          <t>OVANÅKER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66403-2021</t>
        </is>
      </c>
      <c r="B418" s="1" t="n">
        <v>44518</v>
      </c>
      <c r="C418" s="1" t="n">
        <v>45794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67188-2021</t>
        </is>
      </c>
      <c r="B419" s="1" t="n">
        <v>44523</v>
      </c>
      <c r="C419" s="1" t="n">
        <v>45794</v>
      </c>
      <c r="D419" t="inlineStr">
        <is>
          <t>GÄVLEBORGS LÄN</t>
        </is>
      </c>
      <c r="E419" t="inlineStr">
        <is>
          <t>OVANÅKER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67315-2021</t>
        </is>
      </c>
      <c r="B420" s="1" t="n">
        <v>44523</v>
      </c>
      <c r="C420" s="1" t="n">
        <v>45794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68245-2021</t>
        </is>
      </c>
      <c r="B421" s="1" t="n">
        <v>44526</v>
      </c>
      <c r="C421" s="1" t="n">
        <v>45794</v>
      </c>
      <c r="D421" t="inlineStr">
        <is>
          <t>GÄVLEBORGS LÄN</t>
        </is>
      </c>
      <c r="E421" t="inlineStr">
        <is>
          <t>OVANÅKER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69001-2021</t>
        </is>
      </c>
      <c r="B422" s="1" t="n">
        <v>44530</v>
      </c>
      <c r="C422" s="1" t="n">
        <v>45794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69007-2021</t>
        </is>
      </c>
      <c r="B423" s="1" t="n">
        <v>44530</v>
      </c>
      <c r="C423" s="1" t="n">
        <v>45794</v>
      </c>
      <c r="D423" t="inlineStr">
        <is>
          <t>GÄVLEBORGS LÄN</t>
        </is>
      </c>
      <c r="E423" t="inlineStr">
        <is>
          <t>OVANÅKER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69445-2021</t>
        </is>
      </c>
      <c r="B424" s="1" t="n">
        <v>44531</v>
      </c>
      <c r="C424" s="1" t="n">
        <v>45794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69688-2021</t>
        </is>
      </c>
      <c r="B425" s="1" t="n">
        <v>44532</v>
      </c>
      <c r="C425" s="1" t="n">
        <v>45794</v>
      </c>
      <c r="D425" t="inlineStr">
        <is>
          <t>GÄVLEBORGS LÄN</t>
        </is>
      </c>
      <c r="E425" t="inlineStr">
        <is>
          <t>OVANÅKER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70305-2021</t>
        </is>
      </c>
      <c r="B426" s="1" t="n">
        <v>44536</v>
      </c>
      <c r="C426" s="1" t="n">
        <v>45794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70573-2021</t>
        </is>
      </c>
      <c r="B427" s="1" t="n">
        <v>44537</v>
      </c>
      <c r="C427" s="1" t="n">
        <v>45794</v>
      </c>
      <c r="D427" t="inlineStr">
        <is>
          <t>GÄVLEBORGS LÄN</t>
        </is>
      </c>
      <c r="E427" t="inlineStr">
        <is>
          <t>OVANÅKER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72110-2021</t>
        </is>
      </c>
      <c r="B428" s="1" t="n">
        <v>44544</v>
      </c>
      <c r="C428" s="1" t="n">
        <v>45794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72854-2021</t>
        </is>
      </c>
      <c r="B429" s="1" t="n">
        <v>44547</v>
      </c>
      <c r="C429" s="1" t="n">
        <v>45794</v>
      </c>
      <c r="D429" t="inlineStr">
        <is>
          <t>GÄVLEBORGS LÄN</t>
        </is>
      </c>
      <c r="E429" t="inlineStr">
        <is>
          <t>OVANÅKER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80-2022</t>
        </is>
      </c>
      <c r="B430" s="1" t="n">
        <v>44564</v>
      </c>
      <c r="C430" s="1" t="n">
        <v>45794</v>
      </c>
      <c r="D430" t="inlineStr">
        <is>
          <t>GÄVLEBORGS LÄN</t>
        </is>
      </c>
      <c r="E430" t="inlineStr">
        <is>
          <t>OVANÅKER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65-2022</t>
        </is>
      </c>
      <c r="B431" s="1" t="n">
        <v>44564</v>
      </c>
      <c r="C431" s="1" t="n">
        <v>45794</v>
      </c>
      <c r="D431" t="inlineStr">
        <is>
          <t>GÄVLEBORGS LÄN</t>
        </is>
      </c>
      <c r="E431" t="inlineStr">
        <is>
          <t>OVANÅKER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926-2022</t>
        </is>
      </c>
      <c r="B432" s="1" t="n">
        <v>44571</v>
      </c>
      <c r="C432" s="1" t="n">
        <v>45794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892-2022</t>
        </is>
      </c>
      <c r="B433" s="1" t="n">
        <v>44571</v>
      </c>
      <c r="C433" s="1" t="n">
        <v>45794</v>
      </c>
      <c r="D433" t="inlineStr">
        <is>
          <t>GÄVLEBORGS LÄN</t>
        </is>
      </c>
      <c r="E433" t="inlineStr">
        <is>
          <t>OVANÅKER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1530-2022</t>
        </is>
      </c>
      <c r="B434" s="1" t="n">
        <v>44573</v>
      </c>
      <c r="C434" s="1" t="n">
        <v>45794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1588-2022</t>
        </is>
      </c>
      <c r="B435" s="1" t="n">
        <v>44573</v>
      </c>
      <c r="C435" s="1" t="n">
        <v>45794</v>
      </c>
      <c r="D435" t="inlineStr">
        <is>
          <t>GÄVLEBORGS LÄN</t>
        </is>
      </c>
      <c r="E435" t="inlineStr">
        <is>
          <t>OVANÅKER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1594-2022</t>
        </is>
      </c>
      <c r="B436" s="1" t="n">
        <v>44573</v>
      </c>
      <c r="C436" s="1" t="n">
        <v>45794</v>
      </c>
      <c r="D436" t="inlineStr">
        <is>
          <t>GÄVLEBORGS LÄN</t>
        </is>
      </c>
      <c r="E436" t="inlineStr">
        <is>
          <t>OVANÅKER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2417-2022</t>
        </is>
      </c>
      <c r="B437" s="1" t="n">
        <v>44579</v>
      </c>
      <c r="C437" s="1" t="n">
        <v>45794</v>
      </c>
      <c r="D437" t="inlineStr">
        <is>
          <t>GÄVLEBORGS LÄN</t>
        </is>
      </c>
      <c r="E437" t="inlineStr">
        <is>
          <t>OVANÅKER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2946-2022</t>
        </is>
      </c>
      <c r="B438" s="1" t="n">
        <v>44581</v>
      </c>
      <c r="C438" s="1" t="n">
        <v>45794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3047-2022</t>
        </is>
      </c>
      <c r="B439" s="1" t="n">
        <v>44581</v>
      </c>
      <c r="C439" s="1" t="n">
        <v>45794</v>
      </c>
      <c r="D439" t="inlineStr">
        <is>
          <t>GÄVLEBORGS LÄN</t>
        </is>
      </c>
      <c r="E439" t="inlineStr">
        <is>
          <t>OVANÅKER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3402-2022</t>
        </is>
      </c>
      <c r="B440" s="1" t="n">
        <v>44585</v>
      </c>
      <c r="C440" s="1" t="n">
        <v>45794</v>
      </c>
      <c r="D440" t="inlineStr">
        <is>
          <t>GÄVLEBORGS LÄN</t>
        </is>
      </c>
      <c r="E440" t="inlineStr">
        <is>
          <t>OVANÅKER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6766-2022</t>
        </is>
      </c>
      <c r="B441" s="1" t="n">
        <v>44602</v>
      </c>
      <c r="C441" s="1" t="n">
        <v>45794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6956-2022</t>
        </is>
      </c>
      <c r="B442" s="1" t="n">
        <v>44603</v>
      </c>
      <c r="C442" s="1" t="n">
        <v>45794</v>
      </c>
      <c r="D442" t="inlineStr">
        <is>
          <t>GÄVLEBORGS LÄN</t>
        </is>
      </c>
      <c r="E442" t="inlineStr">
        <is>
          <t>OVANÅKER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7569-2022</t>
        </is>
      </c>
      <c r="B443" s="1" t="n">
        <v>44607</v>
      </c>
      <c r="C443" s="1" t="n">
        <v>45794</v>
      </c>
      <c r="D443" t="inlineStr">
        <is>
          <t>GÄVLEBORGS LÄN</t>
        </is>
      </c>
      <c r="E443" t="inlineStr">
        <is>
          <t>OVANÅKER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7785-2022</t>
        </is>
      </c>
      <c r="B444" s="1" t="n">
        <v>44608</v>
      </c>
      <c r="C444" s="1" t="n">
        <v>45794</v>
      </c>
      <c r="D444" t="inlineStr">
        <is>
          <t>GÄVLEBORGS LÄN</t>
        </is>
      </c>
      <c r="E444" t="inlineStr">
        <is>
          <t>OVANÅKER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8769-2022</t>
        </is>
      </c>
      <c r="B445" s="1" t="n">
        <v>44614</v>
      </c>
      <c r="C445" s="1" t="n">
        <v>45794</v>
      </c>
      <c r="D445" t="inlineStr">
        <is>
          <t>GÄVLEBORGS LÄN</t>
        </is>
      </c>
      <c r="E445" t="inlineStr">
        <is>
          <t>OVANÅKER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8840-2022</t>
        </is>
      </c>
      <c r="B446" s="1" t="n">
        <v>44614</v>
      </c>
      <c r="C446" s="1" t="n">
        <v>45794</v>
      </c>
      <c r="D446" t="inlineStr">
        <is>
          <t>GÄVLEBORGS LÄN</t>
        </is>
      </c>
      <c r="E446" t="inlineStr">
        <is>
          <t>OVANÅKER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8968-2022</t>
        </is>
      </c>
      <c r="B447" s="1" t="n">
        <v>44614</v>
      </c>
      <c r="C447" s="1" t="n">
        <v>45794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8927-2022</t>
        </is>
      </c>
      <c r="B448" s="1" t="n">
        <v>44614</v>
      </c>
      <c r="C448" s="1" t="n">
        <v>45794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8967-2022</t>
        </is>
      </c>
      <c r="B449" s="1" t="n">
        <v>44614</v>
      </c>
      <c r="C449" s="1" t="n">
        <v>45794</v>
      </c>
      <c r="D449" t="inlineStr">
        <is>
          <t>GÄVLEBORGS LÄN</t>
        </is>
      </c>
      <c r="E449" t="inlineStr">
        <is>
          <t>OVANÅKER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9277-2022</t>
        </is>
      </c>
      <c r="B450" s="1" t="n">
        <v>44616</v>
      </c>
      <c r="C450" s="1" t="n">
        <v>45794</v>
      </c>
      <c r="D450" t="inlineStr">
        <is>
          <t>GÄVLEBORGS LÄN</t>
        </is>
      </c>
      <c r="E450" t="inlineStr">
        <is>
          <t>OVANÅKER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9285-2022</t>
        </is>
      </c>
      <c r="B451" s="1" t="n">
        <v>44616</v>
      </c>
      <c r="C451" s="1" t="n">
        <v>45794</v>
      </c>
      <c r="D451" t="inlineStr">
        <is>
          <t>GÄVLEBORGS LÄN</t>
        </is>
      </c>
      <c r="E451" t="inlineStr">
        <is>
          <t>OVANÅKER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9286-2022</t>
        </is>
      </c>
      <c r="B452" s="1" t="n">
        <v>44616</v>
      </c>
      <c r="C452" s="1" t="n">
        <v>45794</v>
      </c>
      <c r="D452" t="inlineStr">
        <is>
          <t>GÄVLEBORGS LÄN</t>
        </is>
      </c>
      <c r="E452" t="inlineStr">
        <is>
          <t>OVANÅKER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9593-2022</t>
        </is>
      </c>
      <c r="B453" s="1" t="n">
        <v>44617</v>
      </c>
      <c r="C453" s="1" t="n">
        <v>45794</v>
      </c>
      <c r="D453" t="inlineStr">
        <is>
          <t>GÄVLEBORGS LÄN</t>
        </is>
      </c>
      <c r="E453" t="inlineStr">
        <is>
          <t>OVANÅKER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9635-2022</t>
        </is>
      </c>
      <c r="B454" s="1" t="n">
        <v>44617</v>
      </c>
      <c r="C454" s="1" t="n">
        <v>45794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9980-2022</t>
        </is>
      </c>
      <c r="B455" s="1" t="n">
        <v>44621</v>
      </c>
      <c r="C455" s="1" t="n">
        <v>45794</v>
      </c>
      <c r="D455" t="inlineStr">
        <is>
          <t>GÄVLEBORGS LÄN</t>
        </is>
      </c>
      <c r="E455" t="inlineStr">
        <is>
          <t>OVANÅKER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12130-2022</t>
        </is>
      </c>
      <c r="B456" s="1" t="n">
        <v>44636</v>
      </c>
      <c r="C456" s="1" t="n">
        <v>45794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12129-2022</t>
        </is>
      </c>
      <c r="B457" s="1" t="n">
        <v>44636</v>
      </c>
      <c r="C457" s="1" t="n">
        <v>45794</v>
      </c>
      <c r="D457" t="inlineStr">
        <is>
          <t>GÄVLEBORGS LÄN</t>
        </is>
      </c>
      <c r="E457" t="inlineStr">
        <is>
          <t>OVANÅKER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12339-2022</t>
        </is>
      </c>
      <c r="B458" s="1" t="n">
        <v>44637</v>
      </c>
      <c r="C458" s="1" t="n">
        <v>45794</v>
      </c>
      <c r="D458" t="inlineStr">
        <is>
          <t>GÄVLEBORGS LÄN</t>
        </is>
      </c>
      <c r="E458" t="inlineStr">
        <is>
          <t>OVANÅKER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12330-2022</t>
        </is>
      </c>
      <c r="B459" s="1" t="n">
        <v>44637</v>
      </c>
      <c r="C459" s="1" t="n">
        <v>45794</v>
      </c>
      <c r="D459" t="inlineStr">
        <is>
          <t>GÄVLEBORGS LÄN</t>
        </is>
      </c>
      <c r="E459" t="inlineStr">
        <is>
          <t>OVANÅKER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12594-2022</t>
        </is>
      </c>
      <c r="B460" s="1" t="n">
        <v>44640</v>
      </c>
      <c r="C460" s="1" t="n">
        <v>45794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13995-2022</t>
        </is>
      </c>
      <c r="B461" s="1" t="n">
        <v>44650</v>
      </c>
      <c r="C461" s="1" t="n">
        <v>45794</v>
      </c>
      <c r="D461" t="inlineStr">
        <is>
          <t>GÄVLEBORGS LÄN</t>
        </is>
      </c>
      <c r="E461" t="inlineStr">
        <is>
          <t>OVANÅKER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15998-2022</t>
        </is>
      </c>
      <c r="B462" s="1" t="n">
        <v>44665</v>
      </c>
      <c r="C462" s="1" t="n">
        <v>45794</v>
      </c>
      <c r="D462" t="inlineStr">
        <is>
          <t>GÄVLEBORGS LÄN</t>
        </is>
      </c>
      <c r="E462" t="inlineStr">
        <is>
          <t>OVANÅKER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16615-2022</t>
        </is>
      </c>
      <c r="B463" s="1" t="n">
        <v>44672</v>
      </c>
      <c r="C463" s="1" t="n">
        <v>45794</v>
      </c>
      <c r="D463" t="inlineStr">
        <is>
          <t>GÄVLEBORGS LÄN</t>
        </is>
      </c>
      <c r="E463" t="inlineStr">
        <is>
          <t>OVANÅKER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16955-2022</t>
        </is>
      </c>
      <c r="B464" s="1" t="n">
        <v>44676</v>
      </c>
      <c r="C464" s="1" t="n">
        <v>45794</v>
      </c>
      <c r="D464" t="inlineStr">
        <is>
          <t>GÄVLEBORGS LÄN</t>
        </is>
      </c>
      <c r="E464" t="inlineStr">
        <is>
          <t>OVANÅKER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19308-2022</t>
        </is>
      </c>
      <c r="B465" s="1" t="n">
        <v>44692</v>
      </c>
      <c r="C465" s="1" t="n">
        <v>45794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19767-2022</t>
        </is>
      </c>
      <c r="B466" s="1" t="n">
        <v>44694</v>
      </c>
      <c r="C466" s="1" t="n">
        <v>45794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19741-2022</t>
        </is>
      </c>
      <c r="B467" s="1" t="n">
        <v>44694</v>
      </c>
      <c r="C467" s="1" t="n">
        <v>45794</v>
      </c>
      <c r="D467" t="inlineStr">
        <is>
          <t>GÄVLEBORGS LÄN</t>
        </is>
      </c>
      <c r="E467" t="inlineStr">
        <is>
          <t>OVANÅKER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20149-2022</t>
        </is>
      </c>
      <c r="B468" s="1" t="n">
        <v>44698</v>
      </c>
      <c r="C468" s="1" t="n">
        <v>45794</v>
      </c>
      <c r="D468" t="inlineStr">
        <is>
          <t>GÄVLEBORGS LÄN</t>
        </is>
      </c>
      <c r="E468" t="inlineStr">
        <is>
          <t>OVANÅKER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20666-2022</t>
        </is>
      </c>
      <c r="B469" s="1" t="n">
        <v>44700</v>
      </c>
      <c r="C469" s="1" t="n">
        <v>45794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20926-2022</t>
        </is>
      </c>
      <c r="B470" s="1" t="n">
        <v>44701</v>
      </c>
      <c r="C470" s="1" t="n">
        <v>45794</v>
      </c>
      <c r="D470" t="inlineStr">
        <is>
          <t>GÄVLEBORGS LÄN</t>
        </is>
      </c>
      <c r="E470" t="inlineStr">
        <is>
          <t>OVANÅKER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21345-2022</t>
        </is>
      </c>
      <c r="B471" s="1" t="n">
        <v>44705</v>
      </c>
      <c r="C471" s="1" t="n">
        <v>45794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21326-2022</t>
        </is>
      </c>
      <c r="B472" s="1" t="n">
        <v>44705</v>
      </c>
      <c r="C472" s="1" t="n">
        <v>45794</v>
      </c>
      <c r="D472" t="inlineStr">
        <is>
          <t>GÄVLEBORGS LÄN</t>
        </is>
      </c>
      <c r="E472" t="inlineStr">
        <is>
          <t>OVANÅKER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21347-2022</t>
        </is>
      </c>
      <c r="B473" s="1" t="n">
        <v>44705</v>
      </c>
      <c r="C473" s="1" t="n">
        <v>45794</v>
      </c>
      <c r="D473" t="inlineStr">
        <is>
          <t>GÄVLEBORGS LÄN</t>
        </is>
      </c>
      <c r="E473" t="inlineStr">
        <is>
          <t>OVANÅKER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21536-2022</t>
        </is>
      </c>
      <c r="B474" s="1" t="n">
        <v>44706</v>
      </c>
      <c r="C474" s="1" t="n">
        <v>45794</v>
      </c>
      <c r="D474" t="inlineStr">
        <is>
          <t>GÄVLEBORGS LÄN</t>
        </is>
      </c>
      <c r="E474" t="inlineStr">
        <is>
          <t>OVANÅKER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21527-2022</t>
        </is>
      </c>
      <c r="B475" s="1" t="n">
        <v>44706</v>
      </c>
      <c r="C475" s="1" t="n">
        <v>45794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21957-2022</t>
        </is>
      </c>
      <c r="B476" s="1" t="n">
        <v>44711</v>
      </c>
      <c r="C476" s="1" t="n">
        <v>45794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21973-2022</t>
        </is>
      </c>
      <c r="B477" s="1" t="n">
        <v>44711</v>
      </c>
      <c r="C477" s="1" t="n">
        <v>45794</v>
      </c>
      <c r="D477" t="inlineStr">
        <is>
          <t>GÄVLEBORGS LÄN</t>
        </is>
      </c>
      <c r="E477" t="inlineStr">
        <is>
          <t>OVANÅKER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22007-2022</t>
        </is>
      </c>
      <c r="B478" s="1" t="n">
        <v>44711</v>
      </c>
      <c r="C478" s="1" t="n">
        <v>45794</v>
      </c>
      <c r="D478" t="inlineStr">
        <is>
          <t>GÄVLEBORGS LÄN</t>
        </is>
      </c>
      <c r="E478" t="inlineStr">
        <is>
          <t>OVANÅKER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22700-2022</t>
        </is>
      </c>
      <c r="B479" s="1" t="n">
        <v>44714</v>
      </c>
      <c r="C479" s="1" t="n">
        <v>45794</v>
      </c>
      <c r="D479" t="inlineStr">
        <is>
          <t>GÄVLEBORGS LÄN</t>
        </is>
      </c>
      <c r="E479" t="inlineStr">
        <is>
          <t>OVANÅKER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22809-2022</t>
        </is>
      </c>
      <c r="B480" s="1" t="n">
        <v>44715</v>
      </c>
      <c r="C480" s="1" t="n">
        <v>45794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23014-2022</t>
        </is>
      </c>
      <c r="B481" s="1" t="n">
        <v>44719</v>
      </c>
      <c r="C481" s="1" t="n">
        <v>45794</v>
      </c>
      <c r="D481" t="inlineStr">
        <is>
          <t>GÄVLEBORGS LÄN</t>
        </is>
      </c>
      <c r="E481" t="inlineStr">
        <is>
          <t>OVANÅKER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23023-2022</t>
        </is>
      </c>
      <c r="B482" s="1" t="n">
        <v>44719</v>
      </c>
      <c r="C482" s="1" t="n">
        <v>45794</v>
      </c>
      <c r="D482" t="inlineStr">
        <is>
          <t>GÄVLEBORGS LÄN</t>
        </is>
      </c>
      <c r="E482" t="inlineStr">
        <is>
          <t>OVANÅKER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23093-2022</t>
        </is>
      </c>
      <c r="B483" s="1" t="n">
        <v>44719</v>
      </c>
      <c r="C483" s="1" t="n">
        <v>45794</v>
      </c>
      <c r="D483" t="inlineStr">
        <is>
          <t>GÄVLEBORGS LÄN</t>
        </is>
      </c>
      <c r="E483" t="inlineStr">
        <is>
          <t>OVANÅKER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23029-2022</t>
        </is>
      </c>
      <c r="B484" s="1" t="n">
        <v>44719</v>
      </c>
      <c r="C484" s="1" t="n">
        <v>45794</v>
      </c>
      <c r="D484" t="inlineStr">
        <is>
          <t>GÄVLEBORGS LÄN</t>
        </is>
      </c>
      <c r="E484" t="inlineStr">
        <is>
          <t>OVANÅKER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23251-2022</t>
        </is>
      </c>
      <c r="B485" s="1" t="n">
        <v>44720</v>
      </c>
      <c r="C485" s="1" t="n">
        <v>45794</v>
      </c>
      <c r="D485" t="inlineStr">
        <is>
          <t>GÄVLEBORGS LÄN</t>
        </is>
      </c>
      <c r="E485" t="inlineStr">
        <is>
          <t>OVANÅKER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24095-2022</t>
        </is>
      </c>
      <c r="B486" s="1" t="n">
        <v>44725</v>
      </c>
      <c r="C486" s="1" t="n">
        <v>45794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24751-2022</t>
        </is>
      </c>
      <c r="B487" s="1" t="n">
        <v>44728</v>
      </c>
      <c r="C487" s="1" t="n">
        <v>45794</v>
      </c>
      <c r="D487" t="inlineStr">
        <is>
          <t>GÄVLEBORGS LÄN</t>
        </is>
      </c>
      <c r="E487" t="inlineStr">
        <is>
          <t>OVANÅKER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24858-2022</t>
        </is>
      </c>
      <c r="B488" s="1" t="n">
        <v>44728</v>
      </c>
      <c r="C488" s="1" t="n">
        <v>45794</v>
      </c>
      <c r="D488" t="inlineStr">
        <is>
          <t>GÄVLEBORGS LÄN</t>
        </is>
      </c>
      <c r="E488" t="inlineStr">
        <is>
          <t>OVANÅKER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25058-2022</t>
        </is>
      </c>
      <c r="B489" s="1" t="n">
        <v>44729</v>
      </c>
      <c r="C489" s="1" t="n">
        <v>45794</v>
      </c>
      <c r="D489" t="inlineStr">
        <is>
          <t>GÄVLEBORGS LÄN</t>
        </is>
      </c>
      <c r="E489" t="inlineStr">
        <is>
          <t>OVANÅKER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25087-2022</t>
        </is>
      </c>
      <c r="B490" s="1" t="n">
        <v>44729</v>
      </c>
      <c r="C490" s="1" t="n">
        <v>45794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25394-2022</t>
        </is>
      </c>
      <c r="B491" s="1" t="n">
        <v>44732</v>
      </c>
      <c r="C491" s="1" t="n">
        <v>45794</v>
      </c>
      <c r="D491" t="inlineStr">
        <is>
          <t>GÄVLEBORGS LÄN</t>
        </is>
      </c>
      <c r="E491" t="inlineStr">
        <is>
          <t>OVANÅKER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25409-2022</t>
        </is>
      </c>
      <c r="B492" s="1" t="n">
        <v>44732</v>
      </c>
      <c r="C492" s="1" t="n">
        <v>45794</v>
      </c>
      <c r="D492" t="inlineStr">
        <is>
          <t>GÄVLEBORGS LÄN</t>
        </is>
      </c>
      <c r="E492" t="inlineStr">
        <is>
          <t>OVANÅKER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26821-2022</t>
        </is>
      </c>
      <c r="B493" s="1" t="n">
        <v>44740</v>
      </c>
      <c r="C493" s="1" t="n">
        <v>45794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26953-2022</t>
        </is>
      </c>
      <c r="B494" s="1" t="n">
        <v>44740</v>
      </c>
      <c r="C494" s="1" t="n">
        <v>45794</v>
      </c>
      <c r="D494" t="inlineStr">
        <is>
          <t>GÄVLEBORGS LÄN</t>
        </is>
      </c>
      <c r="E494" t="inlineStr">
        <is>
          <t>OVANÅKER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28231-2022</t>
        </is>
      </c>
      <c r="B495" s="1" t="n">
        <v>44746</v>
      </c>
      <c r="C495" s="1" t="n">
        <v>45794</v>
      </c>
      <c r="D495" t="inlineStr">
        <is>
          <t>GÄVLEBORGS LÄN</t>
        </is>
      </c>
      <c r="E495" t="inlineStr">
        <is>
          <t>OVANÅKER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28775-2022</t>
        </is>
      </c>
      <c r="B496" s="1" t="n">
        <v>44749</v>
      </c>
      <c r="C496" s="1" t="n">
        <v>45794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21.9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29272-2022</t>
        </is>
      </c>
      <c r="B497" s="1" t="n">
        <v>44750</v>
      </c>
      <c r="C497" s="1" t="n">
        <v>45794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29676-2022</t>
        </is>
      </c>
      <c r="B498" s="1" t="n">
        <v>44754</v>
      </c>
      <c r="C498" s="1" t="n">
        <v>45794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29762-2022</t>
        </is>
      </c>
      <c r="B499" s="1" t="n">
        <v>44755</v>
      </c>
      <c r="C499" s="1" t="n">
        <v>45794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öst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30137-2022</t>
        </is>
      </c>
      <c r="B500" s="1" t="n">
        <v>44757</v>
      </c>
      <c r="C500" s="1" t="n">
        <v>45794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30168-2022</t>
        </is>
      </c>
      <c r="B501" s="1" t="n">
        <v>44757</v>
      </c>
      <c r="C501" s="1" t="n">
        <v>45794</v>
      </c>
      <c r="D501" t="inlineStr">
        <is>
          <t>GÄVLEBORGS LÄN</t>
        </is>
      </c>
      <c r="E501" t="inlineStr">
        <is>
          <t>OVANÅKER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30166-2022</t>
        </is>
      </c>
      <c r="B502" s="1" t="n">
        <v>44757</v>
      </c>
      <c r="C502" s="1" t="n">
        <v>45794</v>
      </c>
      <c r="D502" t="inlineStr">
        <is>
          <t>GÄVLEBORGS LÄN</t>
        </is>
      </c>
      <c r="E502" t="inlineStr">
        <is>
          <t>OVANÅKER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30201-2022</t>
        </is>
      </c>
      <c r="B503" s="1" t="n">
        <v>44757</v>
      </c>
      <c r="C503" s="1" t="n">
        <v>45794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30374-2022</t>
        </is>
      </c>
      <c r="B504" s="1" t="n">
        <v>44760</v>
      </c>
      <c r="C504" s="1" t="n">
        <v>45794</v>
      </c>
      <c r="D504" t="inlineStr">
        <is>
          <t>GÄVLEBORGS LÄN</t>
        </is>
      </c>
      <c r="E504" t="inlineStr">
        <is>
          <t>OVANÅKER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30372-2022</t>
        </is>
      </c>
      <c r="B505" s="1" t="n">
        <v>44760</v>
      </c>
      <c r="C505" s="1" t="n">
        <v>45794</v>
      </c>
      <c r="D505" t="inlineStr">
        <is>
          <t>GÄVLEBORGS LÄN</t>
        </is>
      </c>
      <c r="E505" t="inlineStr">
        <is>
          <t>OVANÅKER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31163-2022</t>
        </is>
      </c>
      <c r="B506" s="1" t="n">
        <v>44770</v>
      </c>
      <c r="C506" s="1" t="n">
        <v>45794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öst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31356-2022</t>
        </is>
      </c>
      <c r="B507" s="1" t="n">
        <v>44774</v>
      </c>
      <c r="C507" s="1" t="n">
        <v>45794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31377-2022</t>
        </is>
      </c>
      <c r="B508" s="1" t="n">
        <v>44774</v>
      </c>
      <c r="C508" s="1" t="n">
        <v>45794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31800-2022</t>
        </is>
      </c>
      <c r="B509" s="1" t="n">
        <v>44776</v>
      </c>
      <c r="C509" s="1" t="n">
        <v>45794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31805-2022</t>
        </is>
      </c>
      <c r="B510" s="1" t="n">
        <v>44776</v>
      </c>
      <c r="C510" s="1" t="n">
        <v>45794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33022-2022</t>
        </is>
      </c>
      <c r="B511" s="1" t="n">
        <v>44785</v>
      </c>
      <c r="C511" s="1" t="n">
        <v>45794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15.3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33674-2022</t>
        </is>
      </c>
      <c r="B512" s="1" t="n">
        <v>44789</v>
      </c>
      <c r="C512" s="1" t="n">
        <v>45794</v>
      </c>
      <c r="D512" t="inlineStr">
        <is>
          <t>GÄVLEBORGS LÄN</t>
        </is>
      </c>
      <c r="E512" t="inlineStr">
        <is>
          <t>OVANÅKER</t>
        </is>
      </c>
      <c r="F512" t="inlineStr">
        <is>
          <t>Holmen skog AB</t>
        </is>
      </c>
      <c r="G512" t="n">
        <v>11.9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33775-2022</t>
        </is>
      </c>
      <c r="B513" s="1" t="n">
        <v>44790</v>
      </c>
      <c r="C513" s="1" t="n">
        <v>45794</v>
      </c>
      <c r="D513" t="inlineStr">
        <is>
          <t>GÄVLEBORGS LÄN</t>
        </is>
      </c>
      <c r="E513" t="inlineStr">
        <is>
          <t>OVANÅKER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35053-2022</t>
        </is>
      </c>
      <c r="B514" s="1" t="n">
        <v>44797</v>
      </c>
      <c r="C514" s="1" t="n">
        <v>45794</v>
      </c>
      <c r="D514" t="inlineStr">
        <is>
          <t>GÄVLEBORGS LÄN</t>
        </is>
      </c>
      <c r="E514" t="inlineStr">
        <is>
          <t>OVANÅKER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35324-2022</t>
        </is>
      </c>
      <c r="B515" s="1" t="n">
        <v>44798</v>
      </c>
      <c r="C515" s="1" t="n">
        <v>45794</v>
      </c>
      <c r="D515" t="inlineStr">
        <is>
          <t>GÄVLEBORGS LÄN</t>
        </is>
      </c>
      <c r="E515" t="inlineStr">
        <is>
          <t>OVANÅKER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35348-2022</t>
        </is>
      </c>
      <c r="B516" s="1" t="n">
        <v>44798</v>
      </c>
      <c r="C516" s="1" t="n">
        <v>45794</v>
      </c>
      <c r="D516" t="inlineStr">
        <is>
          <t>GÄVLEBORGS LÄN</t>
        </is>
      </c>
      <c r="E516" t="inlineStr">
        <is>
          <t>OVANÅKER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35737-2022</t>
        </is>
      </c>
      <c r="B517" s="1" t="n">
        <v>44800</v>
      </c>
      <c r="C517" s="1" t="n">
        <v>45794</v>
      </c>
      <c r="D517" t="inlineStr">
        <is>
          <t>GÄVLEBORGS LÄN</t>
        </is>
      </c>
      <c r="E517" t="inlineStr">
        <is>
          <t>OVANÅKER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35738-2022</t>
        </is>
      </c>
      <c r="B518" s="1" t="n">
        <v>44800</v>
      </c>
      <c r="C518" s="1" t="n">
        <v>45794</v>
      </c>
      <c r="D518" t="inlineStr">
        <is>
          <t>GÄVLEBORGS LÄN</t>
        </is>
      </c>
      <c r="E518" t="inlineStr">
        <is>
          <t>OVANÅKER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35739-2022</t>
        </is>
      </c>
      <c r="B519" s="1" t="n">
        <v>44799</v>
      </c>
      <c r="C519" s="1" t="n">
        <v>45794</v>
      </c>
      <c r="D519" t="inlineStr">
        <is>
          <t>GÄVLEBORGS LÄN</t>
        </is>
      </c>
      <c r="E519" t="inlineStr">
        <is>
          <t>OVANÅKER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HYPERLINK("https://klasma.github.io/Logging_2121/knärot/A 35739-2022 karta knärot.png", "A 35739-2022")</f>
        <v/>
      </c>
      <c r="V519">
        <f>HYPERLINK("https://klasma.github.io/Logging_2121/klagomål/A 35739-2022 FSC-klagomål.docx", "A 35739-2022")</f>
        <v/>
      </c>
      <c r="W519">
        <f>HYPERLINK("https://klasma.github.io/Logging_2121/klagomålsmail/A 35739-2022 FSC-klagomål mail.docx", "A 35739-2022")</f>
        <v/>
      </c>
      <c r="X519">
        <f>HYPERLINK("https://klasma.github.io/Logging_2121/tillsyn/A 35739-2022 tillsynsbegäran.docx", "A 35739-2022")</f>
        <v/>
      </c>
      <c r="Y519">
        <f>HYPERLINK("https://klasma.github.io/Logging_2121/tillsynsmail/A 35739-2022 tillsynsbegäran mail.docx", "A 35739-2022")</f>
        <v/>
      </c>
    </row>
    <row r="520" ht="15" customHeight="1">
      <c r="A520" t="inlineStr">
        <is>
          <t>A 35823-2022</t>
        </is>
      </c>
      <c r="B520" s="1" t="n">
        <v>44802</v>
      </c>
      <c r="C520" s="1" t="n">
        <v>45794</v>
      </c>
      <c r="D520" t="inlineStr">
        <is>
          <t>GÄVLEBORGS LÄN</t>
        </is>
      </c>
      <c r="E520" t="inlineStr">
        <is>
          <t>OVANÅKER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36576-2022</t>
        </is>
      </c>
      <c r="B521" s="1" t="n">
        <v>44804</v>
      </c>
      <c r="C521" s="1" t="n">
        <v>45794</v>
      </c>
      <c r="D521" t="inlineStr">
        <is>
          <t>GÄVLEBORGS LÄN</t>
        </is>
      </c>
      <c r="E521" t="inlineStr">
        <is>
          <t>OVANÅKER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36718-2022</t>
        </is>
      </c>
      <c r="B522" s="1" t="n">
        <v>44805</v>
      </c>
      <c r="C522" s="1" t="n">
        <v>45794</v>
      </c>
      <c r="D522" t="inlineStr">
        <is>
          <t>GÄVLEBORGS LÄN</t>
        </is>
      </c>
      <c r="E522" t="inlineStr">
        <is>
          <t>OVANÅKER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37925-2022</t>
        </is>
      </c>
      <c r="B523" s="1" t="n">
        <v>44811</v>
      </c>
      <c r="C523" s="1" t="n">
        <v>45794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38324-2022</t>
        </is>
      </c>
      <c r="B524" s="1" t="n">
        <v>44812</v>
      </c>
      <c r="C524" s="1" t="n">
        <v>45794</v>
      </c>
      <c r="D524" t="inlineStr">
        <is>
          <t>GÄVLEBORGS LÄN</t>
        </is>
      </c>
      <c r="E524" t="inlineStr">
        <is>
          <t>OVANÅKER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39450-2022</t>
        </is>
      </c>
      <c r="B525" s="1" t="n">
        <v>44818</v>
      </c>
      <c r="C525" s="1" t="n">
        <v>45794</v>
      </c>
      <c r="D525" t="inlineStr">
        <is>
          <t>GÄVLEBORGS LÄN</t>
        </is>
      </c>
      <c r="E525" t="inlineStr">
        <is>
          <t>OVANÅKER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39532-2022</t>
        </is>
      </c>
      <c r="B526" s="1" t="n">
        <v>44818</v>
      </c>
      <c r="C526" s="1" t="n">
        <v>45794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39777-2022</t>
        </is>
      </c>
      <c r="B527" s="1" t="n">
        <v>44819</v>
      </c>
      <c r="C527" s="1" t="n">
        <v>45794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40403-2022</t>
        </is>
      </c>
      <c r="B528" s="1" t="n">
        <v>44823</v>
      </c>
      <c r="C528" s="1" t="n">
        <v>45794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40400-2022</t>
        </is>
      </c>
      <c r="B529" s="1" t="n">
        <v>44823</v>
      </c>
      <c r="C529" s="1" t="n">
        <v>45794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40507-2022</t>
        </is>
      </c>
      <c r="B530" s="1" t="n">
        <v>44823</v>
      </c>
      <c r="C530" s="1" t="n">
        <v>45794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40743-2022</t>
        </is>
      </c>
      <c r="B531" s="1" t="n">
        <v>44824</v>
      </c>
      <c r="C531" s="1" t="n">
        <v>45794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41658-2022</t>
        </is>
      </c>
      <c r="B532" s="1" t="n">
        <v>44827</v>
      </c>
      <c r="C532" s="1" t="n">
        <v>45794</v>
      </c>
      <c r="D532" t="inlineStr">
        <is>
          <t>GÄVLEBORGS LÄN</t>
        </is>
      </c>
      <c r="E532" t="inlineStr">
        <is>
          <t>OVANÅKER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42211-2022</t>
        </is>
      </c>
      <c r="B533" s="1" t="n">
        <v>44830</v>
      </c>
      <c r="C533" s="1" t="n">
        <v>45794</v>
      </c>
      <c r="D533" t="inlineStr">
        <is>
          <t>GÄVLEBORGS LÄN</t>
        </is>
      </c>
      <c r="E533" t="inlineStr">
        <is>
          <t>OVANÅKER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42685-2022</t>
        </is>
      </c>
      <c r="B534" s="1" t="n">
        <v>44832</v>
      </c>
      <c r="C534" s="1" t="n">
        <v>45794</v>
      </c>
      <c r="D534" t="inlineStr">
        <is>
          <t>GÄVLEBORGS LÄN</t>
        </is>
      </c>
      <c r="E534" t="inlineStr">
        <is>
          <t>OVANÅKER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44092-2022</t>
        </is>
      </c>
      <c r="B535" s="1" t="n">
        <v>44839</v>
      </c>
      <c r="C535" s="1" t="n">
        <v>45794</v>
      </c>
      <c r="D535" t="inlineStr">
        <is>
          <t>GÄVLEBORGS LÄN</t>
        </is>
      </c>
      <c r="E535" t="inlineStr">
        <is>
          <t>OVANÅKER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44310-2022</t>
        </is>
      </c>
      <c r="B536" s="1" t="n">
        <v>44839</v>
      </c>
      <c r="C536" s="1" t="n">
        <v>45794</v>
      </c>
      <c r="D536" t="inlineStr">
        <is>
          <t>GÄVLEBORGS LÄN</t>
        </is>
      </c>
      <c r="E536" t="inlineStr">
        <is>
          <t>OVANÅKER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44594-2022</t>
        </is>
      </c>
      <c r="B537" s="1" t="n">
        <v>44840</v>
      </c>
      <c r="C537" s="1" t="n">
        <v>45794</v>
      </c>
      <c r="D537" t="inlineStr">
        <is>
          <t>GÄVLEBORGS LÄN</t>
        </is>
      </c>
      <c r="E537" t="inlineStr">
        <is>
          <t>OVANÅKER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44794-2022</t>
        </is>
      </c>
      <c r="B538" s="1" t="n">
        <v>44841</v>
      </c>
      <c r="C538" s="1" t="n">
        <v>45794</v>
      </c>
      <c r="D538" t="inlineStr">
        <is>
          <t>GÄVLEBORGS LÄN</t>
        </is>
      </c>
      <c r="E538" t="inlineStr">
        <is>
          <t>OVANÅKER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45456-2022</t>
        </is>
      </c>
      <c r="B539" s="1" t="n">
        <v>44845</v>
      </c>
      <c r="C539" s="1" t="n">
        <v>45794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45528-2022</t>
        </is>
      </c>
      <c r="B540" s="1" t="n">
        <v>44845</v>
      </c>
      <c r="C540" s="1" t="n">
        <v>45794</v>
      </c>
      <c r="D540" t="inlineStr">
        <is>
          <t>GÄVLEBORGS LÄN</t>
        </is>
      </c>
      <c r="E540" t="inlineStr">
        <is>
          <t>OVANÅKER</t>
        </is>
      </c>
      <c r="F540" t="inlineStr">
        <is>
          <t>Sveaskog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45486-2022</t>
        </is>
      </c>
      <c r="B541" s="1" t="n">
        <v>44845</v>
      </c>
      <c r="C541" s="1" t="n">
        <v>45794</v>
      </c>
      <c r="D541" t="inlineStr">
        <is>
          <t>GÄVLEBORGS LÄN</t>
        </is>
      </c>
      <c r="E541" t="inlineStr">
        <is>
          <t>OVANÅKER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45778-2022</t>
        </is>
      </c>
      <c r="B542" s="1" t="n">
        <v>44846</v>
      </c>
      <c r="C542" s="1" t="n">
        <v>45794</v>
      </c>
      <c r="D542" t="inlineStr">
        <is>
          <t>GÄVLEBORGS LÄN</t>
        </is>
      </c>
      <c r="E542" t="inlineStr">
        <is>
          <t>OVANÅKER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45949-2022</t>
        </is>
      </c>
      <c r="B543" s="1" t="n">
        <v>44846</v>
      </c>
      <c r="C543" s="1" t="n">
        <v>45794</v>
      </c>
      <c r="D543" t="inlineStr">
        <is>
          <t>GÄVLEBORGS LÄN</t>
        </is>
      </c>
      <c r="E543" t="inlineStr">
        <is>
          <t>OVANÅKER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45947-2022</t>
        </is>
      </c>
      <c r="B544" s="1" t="n">
        <v>44846</v>
      </c>
      <c r="C544" s="1" t="n">
        <v>45794</v>
      </c>
      <c r="D544" t="inlineStr">
        <is>
          <t>GÄVLEBORGS LÄN</t>
        </is>
      </c>
      <c r="E544" t="inlineStr">
        <is>
          <t>OVANÅKER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46377-2022</t>
        </is>
      </c>
      <c r="B545" s="1" t="n">
        <v>44848</v>
      </c>
      <c r="C545" s="1" t="n">
        <v>45794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46709-2022</t>
        </is>
      </c>
      <c r="B546" s="1" t="n">
        <v>44851</v>
      </c>
      <c r="C546" s="1" t="n">
        <v>45794</v>
      </c>
      <c r="D546" t="inlineStr">
        <is>
          <t>GÄVLEBORGS LÄN</t>
        </is>
      </c>
      <c r="E546" t="inlineStr">
        <is>
          <t>OVANÅKER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46960-2022</t>
        </is>
      </c>
      <c r="B547" s="1" t="n">
        <v>44852</v>
      </c>
      <c r="C547" s="1" t="n">
        <v>45794</v>
      </c>
      <c r="D547" t="inlineStr">
        <is>
          <t>GÄVLEBORGS LÄN</t>
        </is>
      </c>
      <c r="E547" t="inlineStr">
        <is>
          <t>OVANÅKER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46823-2022</t>
        </is>
      </c>
      <c r="B548" s="1" t="n">
        <v>44851</v>
      </c>
      <c r="C548" s="1" t="n">
        <v>45794</v>
      </c>
      <c r="D548" t="inlineStr">
        <is>
          <t>GÄVLEBORGS LÄN</t>
        </is>
      </c>
      <c r="E548" t="inlineStr">
        <is>
          <t>OVANÅKER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47380-2022</t>
        </is>
      </c>
      <c r="B549" s="1" t="n">
        <v>44853</v>
      </c>
      <c r="C549" s="1" t="n">
        <v>45794</v>
      </c>
      <c r="D549" t="inlineStr">
        <is>
          <t>GÄVLEBORGS LÄN</t>
        </is>
      </c>
      <c r="E549" t="inlineStr">
        <is>
          <t>OVANÅKER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47480-2022</t>
        </is>
      </c>
      <c r="B550" s="1" t="n">
        <v>44853</v>
      </c>
      <c r="C550" s="1" t="n">
        <v>45794</v>
      </c>
      <c r="D550" t="inlineStr">
        <is>
          <t>GÄVLEBORGS LÄN</t>
        </is>
      </c>
      <c r="E550" t="inlineStr">
        <is>
          <t>OVANÅKER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47917-2022</t>
        </is>
      </c>
      <c r="B551" s="1" t="n">
        <v>44855</v>
      </c>
      <c r="C551" s="1" t="n">
        <v>45794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48369-2022</t>
        </is>
      </c>
      <c r="B552" s="1" t="n">
        <v>44858</v>
      </c>
      <c r="C552" s="1" t="n">
        <v>45794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48811-2022</t>
        </is>
      </c>
      <c r="B553" s="1" t="n">
        <v>44859</v>
      </c>
      <c r="C553" s="1" t="n">
        <v>45794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49021-2022</t>
        </is>
      </c>
      <c r="B554" s="1" t="n">
        <v>44860</v>
      </c>
      <c r="C554" s="1" t="n">
        <v>45794</v>
      </c>
      <c r="D554" t="inlineStr">
        <is>
          <t>GÄVLEBORGS LÄN</t>
        </is>
      </c>
      <c r="E554" t="inlineStr">
        <is>
          <t>OVANÅKER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49654-2022</t>
        </is>
      </c>
      <c r="B555" s="1" t="n">
        <v>44862</v>
      </c>
      <c r="C555" s="1" t="n">
        <v>45794</v>
      </c>
      <c r="D555" t="inlineStr">
        <is>
          <t>GÄVLEBORGS LÄN</t>
        </is>
      </c>
      <c r="E555" t="inlineStr">
        <is>
          <t>OVANÅKER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50637-2022</t>
        </is>
      </c>
      <c r="B556" s="1" t="n">
        <v>44866</v>
      </c>
      <c r="C556" s="1" t="n">
        <v>45794</v>
      </c>
      <c r="D556" t="inlineStr">
        <is>
          <t>GÄVLEBORGS LÄN</t>
        </is>
      </c>
      <c r="E556" t="inlineStr">
        <is>
          <t>OVANÅKER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50937-2022</t>
        </is>
      </c>
      <c r="B557" s="1" t="n">
        <v>44867</v>
      </c>
      <c r="C557" s="1" t="n">
        <v>45794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51092-2022</t>
        </is>
      </c>
      <c r="B558" s="1" t="n">
        <v>44868</v>
      </c>
      <c r="C558" s="1" t="n">
        <v>45794</v>
      </c>
      <c r="D558" t="inlineStr">
        <is>
          <t>GÄVLEBORGS LÄN</t>
        </is>
      </c>
      <c r="E558" t="inlineStr">
        <is>
          <t>OVANÅKER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51122-2022</t>
        </is>
      </c>
      <c r="B559" s="1" t="n">
        <v>44868</v>
      </c>
      <c r="C559" s="1" t="n">
        <v>45794</v>
      </c>
      <c r="D559" t="inlineStr">
        <is>
          <t>GÄVLEBORGS LÄN</t>
        </is>
      </c>
      <c r="E559" t="inlineStr">
        <is>
          <t>OVANÅKER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51127-2022</t>
        </is>
      </c>
      <c r="B560" s="1" t="n">
        <v>44868</v>
      </c>
      <c r="C560" s="1" t="n">
        <v>45794</v>
      </c>
      <c r="D560" t="inlineStr">
        <is>
          <t>GÄVLEBORGS LÄN</t>
        </is>
      </c>
      <c r="E560" t="inlineStr">
        <is>
          <t>OVANÅKER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51252-2022</t>
        </is>
      </c>
      <c r="B561" s="1" t="n">
        <v>44868</v>
      </c>
      <c r="C561" s="1" t="n">
        <v>45794</v>
      </c>
      <c r="D561" t="inlineStr">
        <is>
          <t>GÄVLEBORGS LÄN</t>
        </is>
      </c>
      <c r="E561" t="inlineStr">
        <is>
          <t>OVANÅKER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51237-2022</t>
        </is>
      </c>
      <c r="B562" s="1" t="n">
        <v>44868</v>
      </c>
      <c r="C562" s="1" t="n">
        <v>45794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51734-2022</t>
        </is>
      </c>
      <c r="B563" s="1" t="n">
        <v>44872</v>
      </c>
      <c r="C563" s="1" t="n">
        <v>45794</v>
      </c>
      <c r="D563" t="inlineStr">
        <is>
          <t>GÄVLEBORGS LÄN</t>
        </is>
      </c>
      <c r="E563" t="inlineStr">
        <is>
          <t>OVANÅKER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51700-2022</t>
        </is>
      </c>
      <c r="B564" s="1" t="n">
        <v>44872</v>
      </c>
      <c r="C564" s="1" t="n">
        <v>45794</v>
      </c>
      <c r="D564" t="inlineStr">
        <is>
          <t>GÄVLEBORGS LÄN</t>
        </is>
      </c>
      <c r="E564" t="inlineStr">
        <is>
          <t>OVANÅKER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51732-2022</t>
        </is>
      </c>
      <c r="B565" s="1" t="n">
        <v>44872</v>
      </c>
      <c r="C565" s="1" t="n">
        <v>45794</v>
      </c>
      <c r="D565" t="inlineStr">
        <is>
          <t>GÄVLEBORGS LÄN</t>
        </is>
      </c>
      <c r="E565" t="inlineStr">
        <is>
          <t>OVANÅKER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51737-2022</t>
        </is>
      </c>
      <c r="B566" s="1" t="n">
        <v>44872</v>
      </c>
      <c r="C566" s="1" t="n">
        <v>45794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51783-2022</t>
        </is>
      </c>
      <c r="B567" s="1" t="n">
        <v>44872</v>
      </c>
      <c r="C567" s="1" t="n">
        <v>45794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51902-2022</t>
        </is>
      </c>
      <c r="B568" s="1" t="n">
        <v>44872</v>
      </c>
      <c r="C568" s="1" t="n">
        <v>45794</v>
      </c>
      <c r="D568" t="inlineStr">
        <is>
          <t>GÄVLEBORGS LÄN</t>
        </is>
      </c>
      <c r="E568" t="inlineStr">
        <is>
          <t>OVANÅKER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51927-2022</t>
        </is>
      </c>
      <c r="B569" s="1" t="n">
        <v>44872</v>
      </c>
      <c r="C569" s="1" t="n">
        <v>45794</v>
      </c>
      <c r="D569" t="inlineStr">
        <is>
          <t>GÄVLEBORGS LÄN</t>
        </is>
      </c>
      <c r="E569" t="inlineStr">
        <is>
          <t>OVANÅKER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52607-2022</t>
        </is>
      </c>
      <c r="B570" s="1" t="n">
        <v>44874</v>
      </c>
      <c r="C570" s="1" t="n">
        <v>45794</v>
      </c>
      <c r="D570" t="inlineStr">
        <is>
          <t>GÄVLEBORGS LÄN</t>
        </is>
      </c>
      <c r="E570" t="inlineStr">
        <is>
          <t>OVANÅKER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52615-2022</t>
        </is>
      </c>
      <c r="B571" s="1" t="n">
        <v>44874</v>
      </c>
      <c r="C571" s="1" t="n">
        <v>45794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53213-2022</t>
        </is>
      </c>
      <c r="B572" s="1" t="n">
        <v>44876</v>
      </c>
      <c r="C572" s="1" t="n">
        <v>45794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53174-2022</t>
        </is>
      </c>
      <c r="B573" s="1" t="n">
        <v>44876</v>
      </c>
      <c r="C573" s="1" t="n">
        <v>45794</v>
      </c>
      <c r="D573" t="inlineStr">
        <is>
          <t>GÄVLEBORGS LÄN</t>
        </is>
      </c>
      <c r="E573" t="inlineStr">
        <is>
          <t>OVANÅKER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53445-2022</t>
        </is>
      </c>
      <c r="B574" s="1" t="n">
        <v>44879</v>
      </c>
      <c r="C574" s="1" t="n">
        <v>45794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53343-2022</t>
        </is>
      </c>
      <c r="B575" s="1" t="n">
        <v>44879</v>
      </c>
      <c r="C575" s="1" t="n">
        <v>45794</v>
      </c>
      <c r="D575" t="inlineStr">
        <is>
          <t>GÄVLEBORGS LÄN</t>
        </is>
      </c>
      <c r="E575" t="inlineStr">
        <is>
          <t>OVANÅKER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53694-2022</t>
        </is>
      </c>
      <c r="B576" s="1" t="n">
        <v>44880</v>
      </c>
      <c r="C576" s="1" t="n">
        <v>45794</v>
      </c>
      <c r="D576" t="inlineStr">
        <is>
          <t>GÄVLEBORGS LÄN</t>
        </is>
      </c>
      <c r="E576" t="inlineStr">
        <is>
          <t>OVANÅKER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53691-2022</t>
        </is>
      </c>
      <c r="B577" s="1" t="n">
        <v>44880</v>
      </c>
      <c r="C577" s="1" t="n">
        <v>45794</v>
      </c>
      <c r="D577" t="inlineStr">
        <is>
          <t>GÄVLEBORGS LÄN</t>
        </is>
      </c>
      <c r="E577" t="inlineStr">
        <is>
          <t>OVANÅKER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54128-2022</t>
        </is>
      </c>
      <c r="B578" s="1" t="n">
        <v>44881</v>
      </c>
      <c r="C578" s="1" t="n">
        <v>45794</v>
      </c>
      <c r="D578" t="inlineStr">
        <is>
          <t>GÄVLEBORGS LÄN</t>
        </is>
      </c>
      <c r="E578" t="inlineStr">
        <is>
          <t>OVANÅKER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45794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45794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45794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45794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45794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45794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45794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45794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45794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45794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45794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45794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45794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45794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45794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45794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45794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45794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45794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45794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45794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45794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45794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45794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45794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45794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45794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45794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45794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45794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45794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45794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45794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45794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45794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45794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45794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45794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45794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45794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45794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45794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45794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45794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45794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45794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45794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45794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45794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45794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45794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45794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45794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45794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45794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45794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45794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45794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45794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45794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45794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45794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45794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45794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45794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45794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45794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45794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45794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45794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45794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45794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45794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45794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45794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45794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45794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45794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45794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45794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45794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45794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45794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45794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45794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45794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45794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45794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45794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45794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45794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45794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45794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45794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45794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45794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45794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45794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45794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45794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45794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45794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45794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45794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45794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45794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45794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45794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45794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45794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45794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45794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45794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45794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45794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45794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45794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45794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45794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45794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45794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45794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45794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45794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45794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45794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45794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45794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45794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45794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45794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45794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45794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45794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45794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45794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45794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45794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45794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45794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45794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45794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45794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45794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45794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45794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45794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45794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45794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45794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45794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45794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45794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45794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45794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45794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45794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45794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45794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45794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45794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45794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45794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45794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45794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45794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45794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45794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45794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45794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45794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45794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45794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45794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45794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45794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45794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45794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45794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45794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45794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45794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45794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45794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45794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45794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45794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45794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45794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45794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45794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45794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45794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45794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45794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45794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45794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45794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45794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45794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45794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45794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45794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45794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45794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45794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45794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45794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45794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45794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45794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45794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45794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45794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45794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45794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45794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45794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45794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45794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45794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45794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45794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45794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45794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45794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45794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45794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45794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45794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45794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45794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45794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45794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45794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45794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45794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45794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45794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45794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45794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45794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45794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45794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45794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45794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45794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45794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45794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45794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45794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45794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45794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45794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45794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45794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45794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45794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45794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45794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45794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45794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45794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45794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45794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45794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45794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45794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45794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45794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45794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45794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45794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45794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45794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45794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45794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45794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45794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45794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45794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45794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45794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45794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45794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45794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45794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45794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45794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45794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45794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45794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45794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45794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45794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45794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45794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45794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45794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45794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45794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45794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45794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45794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45794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45794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45794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45794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45794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45794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45794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45794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45794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45794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45794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45794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45794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45794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45794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45794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45794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45794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45794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45794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45794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45794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45794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45794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45794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45794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45794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45794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45794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45794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45794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45794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45794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45794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45794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45794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45794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45794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45794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45794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45794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45794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45794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45794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45794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45794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45794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45794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45794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45794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45794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45794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45794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45794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45794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45794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45794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45794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45794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45794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45794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45794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45794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45794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45794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45794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45794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45794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45794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45794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45794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45794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45794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45794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45794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45794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45794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45794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45794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45794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45794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45794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45794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45794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45794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45794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45794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45794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45794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45794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45794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45794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45794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45794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45794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45794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45794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45794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45794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45794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45794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45794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45794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45794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45794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45794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45794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45794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45794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45794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45794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45794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45794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45794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45794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45794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45794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45794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45794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45794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45794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45794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45794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45794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45794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45794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45794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45794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45794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45794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45794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45794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45794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45794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45794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45794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45794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45794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45794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45794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45794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45794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45794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45794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45794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45794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45794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45794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45794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45794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45794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45794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45794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45794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45794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45794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45794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45794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45794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45794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45794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45794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45794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45794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45794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45794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45794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45794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45794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45794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45794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45794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45794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45794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45794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45794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45794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45794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45794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45794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45794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45794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45794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45794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45794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45794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45794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45794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45794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45794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45794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45794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45794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45794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45794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45794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45794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45794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45794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45794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45794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45794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45794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45794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45794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45794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45794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45794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45794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45794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45794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45794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45794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45794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45794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45794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45794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45794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45794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45794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45794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45794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45794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45794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45794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45794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45794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45794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45794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45794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45794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45794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45794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45794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45794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45794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45794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45794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45794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45794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45794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45794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45794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45794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45794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45794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45794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45794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45794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45794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45794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45794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45794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45794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45794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45794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45794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45794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45794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45794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45794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45794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45794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45794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45794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45794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45794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45794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45794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45794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45794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45794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45794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45794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45794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45794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45794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45794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45794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45794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45794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45794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45794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45794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45794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45794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45794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45794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45794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45794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45794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45794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45794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45794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45794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45794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45794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45794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45794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45794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45794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45794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45794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45794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45794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45794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45794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45794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45794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45794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45794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45794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45794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45794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45794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45794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45794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45794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45794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45794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45794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45794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45794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45794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45794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45794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45794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45794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45794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45794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45794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45794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45794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45794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45794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45794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45794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45794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45794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45794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45794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45794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45794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45794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45794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45794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45794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45794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45794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45794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45794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45794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45794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45794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45794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45794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45794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45794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45794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45794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45794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45794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45794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45794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45794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45794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45794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45794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45794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45794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45794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45794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45794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45794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45794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45794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45794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45794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45794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45794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45794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45794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45794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45794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45794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45794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45794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45794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45794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45794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45794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45794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45794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45794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45794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45794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45794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45794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45794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45794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45794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45794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45794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45794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45794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45794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45794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45794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45794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45794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45794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45794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45794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45794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45794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45794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45794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45794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45794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45794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45794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45794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45794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45794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45794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45794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45794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45794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45794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45794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45794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45794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45794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45794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45794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45794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45794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45794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45794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45794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45794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45794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45794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45794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45794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45794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45794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45794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45794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45794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45794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45794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45794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45794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45794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45794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45794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45794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45794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45794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45794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45794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45794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45794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45794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45794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45794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45794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45794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45794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45794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45794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45794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45794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45794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45794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45794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45794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45794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45794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45794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45794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45794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45794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45794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45794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45794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45794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45794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45794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45794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45794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45794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45794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45794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45794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45794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45794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45794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45794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45794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45794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45794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45794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45794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45794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45794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45794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45794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45794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45794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45794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45794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45794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45794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45794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45794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45794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45794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45794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45794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45794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45794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45794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45794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45794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45794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45794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45794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45794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45794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45794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45794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45794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45794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45794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45794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10863-2025</t>
        </is>
      </c>
      <c r="B1420" s="1" t="n">
        <v>45722</v>
      </c>
      <c r="C1420" s="1" t="n">
        <v>45794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45794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45794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45794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45794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45794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45794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45794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45794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45794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11229-2025</t>
        </is>
      </c>
      <c r="B1430" s="1" t="n">
        <v>45726</v>
      </c>
      <c r="C1430" s="1" t="n">
        <v>45794</v>
      </c>
      <c r="D1430" t="inlineStr">
        <is>
          <t>GÄVLEBORGS LÄN</t>
        </is>
      </c>
      <c r="E1430" t="inlineStr">
        <is>
          <t>OVANÅKER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11301-2025</t>
        </is>
      </c>
      <c r="B1431" s="1" t="n">
        <v>45726</v>
      </c>
      <c r="C1431" s="1" t="n">
        <v>45794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45794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11240-2025</t>
        </is>
      </c>
      <c r="B1433" s="1" t="n">
        <v>45726</v>
      </c>
      <c r="C1433" s="1" t="n">
        <v>45794</v>
      </c>
      <c r="D1433" t="inlineStr">
        <is>
          <t>GÄVLEBORGS LÄN</t>
        </is>
      </c>
      <c r="E1433" t="inlineStr">
        <is>
          <t>OVANÅKER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45794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45794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45794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45794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45794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45794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45794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45794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45794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45794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45794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45794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45794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45794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45794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45794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45794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45794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45794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15304-2025</t>
        </is>
      </c>
      <c r="B1453" s="1" t="n">
        <v>45746</v>
      </c>
      <c r="C1453" s="1" t="n">
        <v>45794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16182-2025</t>
        </is>
      </c>
      <c r="B1454" s="1" t="n">
        <v>45750</v>
      </c>
      <c r="C1454" s="1" t="n">
        <v>45794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öst AB</t>
        </is>
      </c>
      <c r="G1454" t="n">
        <v>10.8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16126-2025</t>
        </is>
      </c>
      <c r="B1455" s="1" t="n">
        <v>45750</v>
      </c>
      <c r="C1455" s="1" t="n">
        <v>45794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16143-2025</t>
        </is>
      </c>
      <c r="B1456" s="1" t="n">
        <v>45750</v>
      </c>
      <c r="C1456" s="1" t="n">
        <v>45794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16134-2025</t>
        </is>
      </c>
      <c r="B1457" s="1" t="n">
        <v>45750</v>
      </c>
      <c r="C1457" s="1" t="n">
        <v>45794</v>
      </c>
      <c r="D1457" t="inlineStr">
        <is>
          <t>GÄVLEBORGS LÄN</t>
        </is>
      </c>
      <c r="E1457" t="inlineStr">
        <is>
          <t>OVANÅKER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16120-2025</t>
        </is>
      </c>
      <c r="B1458" s="1" t="n">
        <v>45750</v>
      </c>
      <c r="C1458" s="1" t="n">
        <v>45794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16204-2025</t>
        </is>
      </c>
      <c r="B1459" s="1" t="n">
        <v>45750</v>
      </c>
      <c r="C1459" s="1" t="n">
        <v>45794</v>
      </c>
      <c r="D1459" t="inlineStr">
        <is>
          <t>GÄVLEBORGS LÄN</t>
        </is>
      </c>
      <c r="E1459" t="inlineStr">
        <is>
          <t>OVANÅKER</t>
        </is>
      </c>
      <c r="G1459" t="n">
        <v>16.7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16464-2025</t>
        </is>
      </c>
      <c r="B1460" s="1" t="n">
        <v>45751</v>
      </c>
      <c r="C1460" s="1" t="n">
        <v>45794</v>
      </c>
      <c r="D1460" t="inlineStr">
        <is>
          <t>GÄVLEBORGS LÄN</t>
        </is>
      </c>
      <c r="E1460" t="inlineStr">
        <is>
          <t>OVANÅKER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16462-2025</t>
        </is>
      </c>
      <c r="B1461" s="1" t="n">
        <v>45751</v>
      </c>
      <c r="C1461" s="1" t="n">
        <v>45794</v>
      </c>
      <c r="D1461" t="inlineStr">
        <is>
          <t>GÄVLEBORGS LÄN</t>
        </is>
      </c>
      <c r="E1461" t="inlineStr">
        <is>
          <t>OVANÅKER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16424-2025</t>
        </is>
      </c>
      <c r="B1462" s="1" t="n">
        <v>45751</v>
      </c>
      <c r="C1462" s="1" t="n">
        <v>45794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16426-2025</t>
        </is>
      </c>
      <c r="B1463" s="1" t="n">
        <v>45751</v>
      </c>
      <c r="C1463" s="1" t="n">
        <v>45794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16431-2025</t>
        </is>
      </c>
      <c r="B1464" s="1" t="n">
        <v>45751</v>
      </c>
      <c r="C1464" s="1" t="n">
        <v>45794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16393-2025</t>
        </is>
      </c>
      <c r="B1465" s="1" t="n">
        <v>45751</v>
      </c>
      <c r="C1465" s="1" t="n">
        <v>45794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16360-2025</t>
        </is>
      </c>
      <c r="B1466" s="1" t="n">
        <v>45751</v>
      </c>
      <c r="C1466" s="1" t="n">
        <v>45794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16911-2025</t>
        </is>
      </c>
      <c r="B1467" s="1" t="n">
        <v>45755</v>
      </c>
      <c r="C1467" s="1" t="n">
        <v>45794</v>
      </c>
      <c r="D1467" t="inlineStr">
        <is>
          <t>GÄVLEBORGS LÄN</t>
        </is>
      </c>
      <c r="E1467" t="inlineStr">
        <is>
          <t>OVANÅKER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17523-2025</t>
        </is>
      </c>
      <c r="B1468" s="1" t="n">
        <v>45757</v>
      </c>
      <c r="C1468" s="1" t="n">
        <v>45794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17392-2025</t>
        </is>
      </c>
      <c r="B1469" s="1" t="n">
        <v>45757</v>
      </c>
      <c r="C1469" s="1" t="n">
        <v>45794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17617-2025</t>
        </is>
      </c>
      <c r="B1470" s="1" t="n">
        <v>45757</v>
      </c>
      <c r="C1470" s="1" t="n">
        <v>45794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Holmen skog AB</t>
        </is>
      </c>
      <c r="G1470" t="n">
        <v>6.9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17618-2025</t>
        </is>
      </c>
      <c r="B1471" s="1" t="n">
        <v>45757</v>
      </c>
      <c r="C1471" s="1" t="n">
        <v>45794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Holmen skog AB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17665-2025</t>
        </is>
      </c>
      <c r="B1472" s="1" t="n">
        <v>45758</v>
      </c>
      <c r="C1472" s="1" t="n">
        <v>45794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Sveaskog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17668-2025</t>
        </is>
      </c>
      <c r="B1473" s="1" t="n">
        <v>45758</v>
      </c>
      <c r="C1473" s="1" t="n">
        <v>45794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17672-2025</t>
        </is>
      </c>
      <c r="B1474" s="1" t="n">
        <v>45758</v>
      </c>
      <c r="C1474" s="1" t="n">
        <v>45794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17677-2025</t>
        </is>
      </c>
      <c r="B1475" s="1" t="n">
        <v>45758</v>
      </c>
      <c r="C1475" s="1" t="n">
        <v>45794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17965-2025</t>
        </is>
      </c>
      <c r="B1476" s="1" t="n">
        <v>45761</v>
      </c>
      <c r="C1476" s="1" t="n">
        <v>45794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öst AB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17990-2025</t>
        </is>
      </c>
      <c r="B1477" s="1" t="n">
        <v>45761</v>
      </c>
      <c r="C1477" s="1" t="n">
        <v>45794</v>
      </c>
      <c r="D1477" t="inlineStr">
        <is>
          <t>GÄVLEBORGS LÄN</t>
        </is>
      </c>
      <c r="E1477" t="inlineStr">
        <is>
          <t>OVANÅKER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17962-2025</t>
        </is>
      </c>
      <c r="B1478" s="1" t="n">
        <v>45761</v>
      </c>
      <c r="C1478" s="1" t="n">
        <v>45794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Holmen skog AB</t>
        </is>
      </c>
      <c r="G1478" t="n">
        <v>12.6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18363-2025</t>
        </is>
      </c>
      <c r="B1479" s="1" t="n">
        <v>45762</v>
      </c>
      <c r="C1479" s="1" t="n">
        <v>45794</v>
      </c>
      <c r="D1479" t="inlineStr">
        <is>
          <t>GÄVLEBORGS LÄN</t>
        </is>
      </c>
      <c r="E1479" t="inlineStr">
        <is>
          <t>OVANÅKER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18562-2025</t>
        </is>
      </c>
      <c r="B1480" s="1" t="n">
        <v>45763</v>
      </c>
      <c r="C1480" s="1" t="n">
        <v>45794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Holmen skog AB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18570-2025</t>
        </is>
      </c>
      <c r="B1481" s="1" t="n">
        <v>45763</v>
      </c>
      <c r="C1481" s="1" t="n">
        <v>45794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18591-2025</t>
        </is>
      </c>
      <c r="B1482" s="1" t="n">
        <v>45763</v>
      </c>
      <c r="C1482" s="1" t="n">
        <v>45794</v>
      </c>
      <c r="D1482" t="inlineStr">
        <is>
          <t>GÄVLEBORGS LÄN</t>
        </is>
      </c>
      <c r="E1482" t="inlineStr">
        <is>
          <t>OVANÅKER</t>
        </is>
      </c>
      <c r="G1482" t="n">
        <v>4.7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18505-2025</t>
        </is>
      </c>
      <c r="B1483" s="1" t="n">
        <v>45763</v>
      </c>
      <c r="C1483" s="1" t="n">
        <v>45794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18545-2025</t>
        </is>
      </c>
      <c r="B1484" s="1" t="n">
        <v>45763</v>
      </c>
      <c r="C1484" s="1" t="n">
        <v>45794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Holmen skog AB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18553-2025</t>
        </is>
      </c>
      <c r="B1485" s="1" t="n">
        <v>45763</v>
      </c>
      <c r="C1485" s="1" t="n">
        <v>45794</v>
      </c>
      <c r="D1485" t="inlineStr">
        <is>
          <t>GÄVLEBORGS LÄN</t>
        </is>
      </c>
      <c r="E1485" t="inlineStr">
        <is>
          <t>OVANÅKER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19008-2025</t>
        </is>
      </c>
      <c r="B1486" s="1" t="n">
        <v>45764</v>
      </c>
      <c r="C1486" s="1" t="n">
        <v>45794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öst AB</t>
        </is>
      </c>
      <c r="G1486" t="n">
        <v>12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19235-2025</t>
        </is>
      </c>
      <c r="B1487" s="1" t="n">
        <v>45769</v>
      </c>
      <c r="C1487" s="1" t="n">
        <v>45794</v>
      </c>
      <c r="D1487" t="inlineStr">
        <is>
          <t>GÄVLEBORGS LÄN</t>
        </is>
      </c>
      <c r="E1487" t="inlineStr">
        <is>
          <t>OVANÅKER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19303-2025</t>
        </is>
      </c>
      <c r="B1488" s="1" t="n">
        <v>45769</v>
      </c>
      <c r="C1488" s="1" t="n">
        <v>45794</v>
      </c>
      <c r="D1488" t="inlineStr">
        <is>
          <t>GÄVLEBORGS LÄN</t>
        </is>
      </c>
      <c r="E1488" t="inlineStr">
        <is>
          <t>OVANÅKER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19957-2025</t>
        </is>
      </c>
      <c r="B1489" s="1" t="n">
        <v>45771</v>
      </c>
      <c r="C1489" s="1" t="n">
        <v>45794</v>
      </c>
      <c r="D1489" t="inlineStr">
        <is>
          <t>GÄVLEBORGS LÄN</t>
        </is>
      </c>
      <c r="E1489" t="inlineStr">
        <is>
          <t>OVANÅKER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19737-2025</t>
        </is>
      </c>
      <c r="B1490" s="1" t="n">
        <v>45771</v>
      </c>
      <c r="C1490" s="1" t="n">
        <v>45794</v>
      </c>
      <c r="D1490" t="inlineStr">
        <is>
          <t>GÄVLEBORGS LÄN</t>
        </is>
      </c>
      <c r="E1490" t="inlineStr">
        <is>
          <t>OVANÅKER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19963-2025</t>
        </is>
      </c>
      <c r="B1491" s="1" t="n">
        <v>45771</v>
      </c>
      <c r="C1491" s="1" t="n">
        <v>45794</v>
      </c>
      <c r="D1491" t="inlineStr">
        <is>
          <t>GÄVLEBORGS LÄN</t>
        </is>
      </c>
      <c r="E1491" t="inlineStr">
        <is>
          <t>OVANÅKER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19960-2025</t>
        </is>
      </c>
      <c r="B1492" s="1" t="n">
        <v>45771</v>
      </c>
      <c r="C1492" s="1" t="n">
        <v>45794</v>
      </c>
      <c r="D1492" t="inlineStr">
        <is>
          <t>GÄVLEBORGS LÄN</t>
        </is>
      </c>
      <c r="E1492" t="inlineStr">
        <is>
          <t>OVANÅKER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19903-2025</t>
        </is>
      </c>
      <c r="B1493" s="1" t="n">
        <v>45771</v>
      </c>
      <c r="C1493" s="1" t="n">
        <v>45794</v>
      </c>
      <c r="D1493" t="inlineStr">
        <is>
          <t>GÄVLEBORGS LÄN</t>
        </is>
      </c>
      <c r="E1493" t="inlineStr">
        <is>
          <t>OVANÅKER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19910-2025</t>
        </is>
      </c>
      <c r="B1494" s="1" t="n">
        <v>45771</v>
      </c>
      <c r="C1494" s="1" t="n">
        <v>45794</v>
      </c>
      <c r="D1494" t="inlineStr">
        <is>
          <t>GÄVLEBORGS LÄN</t>
        </is>
      </c>
      <c r="E1494" t="inlineStr">
        <is>
          <t>OVANÅKER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19875-2025</t>
        </is>
      </c>
      <c r="B1495" s="1" t="n">
        <v>45771</v>
      </c>
      <c r="C1495" s="1" t="n">
        <v>45794</v>
      </c>
      <c r="D1495" t="inlineStr">
        <is>
          <t>GÄVLEBORGS LÄN</t>
        </is>
      </c>
      <c r="E1495" t="inlineStr">
        <is>
          <t>OVANÅKER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19818-2025</t>
        </is>
      </c>
      <c r="B1496" s="1" t="n">
        <v>45771</v>
      </c>
      <c r="C1496" s="1" t="n">
        <v>45794</v>
      </c>
      <c r="D1496" t="inlineStr">
        <is>
          <t>GÄVLEBORGS LÄN</t>
        </is>
      </c>
      <c r="E1496" t="inlineStr">
        <is>
          <t>OVANÅKER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19884-2025</t>
        </is>
      </c>
      <c r="B1497" s="1" t="n">
        <v>45771</v>
      </c>
      <c r="C1497" s="1" t="n">
        <v>45794</v>
      </c>
      <c r="D1497" t="inlineStr">
        <is>
          <t>GÄVLEBORGS LÄN</t>
        </is>
      </c>
      <c r="E1497" t="inlineStr">
        <is>
          <t>OVANÅKER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20115-2025</t>
        </is>
      </c>
      <c r="B1498" s="1" t="n">
        <v>45772</v>
      </c>
      <c r="C1498" s="1" t="n">
        <v>45794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20117-2025</t>
        </is>
      </c>
      <c r="B1499" s="1" t="n">
        <v>45772</v>
      </c>
      <c r="C1499" s="1" t="n">
        <v>45794</v>
      </c>
      <c r="D1499" t="inlineStr">
        <is>
          <t>GÄVLEBORGS LÄN</t>
        </is>
      </c>
      <c r="E1499" t="inlineStr">
        <is>
          <t>OVANÅKER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20799-2025</t>
        </is>
      </c>
      <c r="B1500" s="1" t="n">
        <v>45776</v>
      </c>
      <c r="C1500" s="1" t="n">
        <v>45794</v>
      </c>
      <c r="D1500" t="inlineStr">
        <is>
          <t>GÄVLEBORGS LÄN</t>
        </is>
      </c>
      <c r="E1500" t="inlineStr">
        <is>
          <t>OVANÅKER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20742-2025</t>
        </is>
      </c>
      <c r="B1501" s="1" t="n">
        <v>45776</v>
      </c>
      <c r="C1501" s="1" t="n">
        <v>45794</v>
      </c>
      <c r="D1501" t="inlineStr">
        <is>
          <t>GÄVLEBORGS LÄN</t>
        </is>
      </c>
      <c r="E1501" t="inlineStr">
        <is>
          <t>OVANÅKER</t>
        </is>
      </c>
      <c r="G1501" t="n">
        <v>9.1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20795-2025</t>
        </is>
      </c>
      <c r="B1502" s="1" t="n">
        <v>45776</v>
      </c>
      <c r="C1502" s="1" t="n">
        <v>45794</v>
      </c>
      <c r="D1502" t="inlineStr">
        <is>
          <t>GÄVLEBORGS LÄN</t>
        </is>
      </c>
      <c r="E1502" t="inlineStr">
        <is>
          <t>OVANÅKER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20927-2025</t>
        </is>
      </c>
      <c r="B1503" s="1" t="n">
        <v>45777</v>
      </c>
      <c r="C1503" s="1" t="n">
        <v>45794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20931-2025</t>
        </is>
      </c>
      <c r="B1504" s="1" t="n">
        <v>45777</v>
      </c>
      <c r="C1504" s="1" t="n">
        <v>45794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Sveaskog</t>
        </is>
      </c>
      <c r="G1504" t="n">
        <v>17.4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20938-2025</t>
        </is>
      </c>
      <c r="B1505" s="1" t="n">
        <v>45777</v>
      </c>
      <c r="C1505" s="1" t="n">
        <v>45794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Sveaskog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21394-2025</t>
        </is>
      </c>
      <c r="B1506" s="1" t="n">
        <v>45782</v>
      </c>
      <c r="C1506" s="1" t="n">
        <v>45794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Bergvik skog öst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21446-2025</t>
        </is>
      </c>
      <c r="B1507" s="1" t="n">
        <v>45782</v>
      </c>
      <c r="C1507" s="1" t="n">
        <v>45794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öst AB</t>
        </is>
      </c>
      <c r="G1507" t="n">
        <v>5.9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21734-2025</t>
        </is>
      </c>
      <c r="B1508" s="1" t="n">
        <v>45783</v>
      </c>
      <c r="C1508" s="1" t="n">
        <v>45794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21744-2025</t>
        </is>
      </c>
      <c r="B1509" s="1" t="n">
        <v>45783</v>
      </c>
      <c r="C1509" s="1" t="n">
        <v>45794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22199-2025</t>
        </is>
      </c>
      <c r="B1510" s="1" t="n">
        <v>45785</v>
      </c>
      <c r="C1510" s="1" t="n">
        <v>45794</v>
      </c>
      <c r="D1510" t="inlineStr">
        <is>
          <t>GÄVLEBORGS LÄN</t>
        </is>
      </c>
      <c r="E1510" t="inlineStr">
        <is>
          <t>OVANÅKER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22312-2025</t>
        </is>
      </c>
      <c r="B1511" s="1" t="n">
        <v>45786</v>
      </c>
      <c r="C1511" s="1" t="n">
        <v>45794</v>
      </c>
      <c r="D1511" t="inlineStr">
        <is>
          <t>GÄVLEBORGS LÄN</t>
        </is>
      </c>
      <c r="E1511" t="inlineStr">
        <is>
          <t>OVANÅKER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22938-2025</t>
        </is>
      </c>
      <c r="B1512" s="1" t="n">
        <v>45790</v>
      </c>
      <c r="C1512" s="1" t="n">
        <v>45794</v>
      </c>
      <c r="D1512" t="inlineStr">
        <is>
          <t>GÄVLEBORGS LÄN</t>
        </is>
      </c>
      <c r="E1512" t="inlineStr">
        <is>
          <t>OVANÅKER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22932-2025</t>
        </is>
      </c>
      <c r="B1513" s="1" t="n">
        <v>45790</v>
      </c>
      <c r="C1513" s="1" t="n">
        <v>45794</v>
      </c>
      <c r="D1513" t="inlineStr">
        <is>
          <t>GÄVLEBORGS LÄN</t>
        </is>
      </c>
      <c r="E1513" t="inlineStr">
        <is>
          <t>OVANÅKER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23135-2025</t>
        </is>
      </c>
      <c r="B1514" s="1" t="n">
        <v>45791</v>
      </c>
      <c r="C1514" s="1" t="n">
        <v>45794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väst AB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23140-2025</t>
        </is>
      </c>
      <c r="B1515" s="1" t="n">
        <v>45791</v>
      </c>
      <c r="C1515" s="1" t="n">
        <v>45794</v>
      </c>
      <c r="D1515" t="inlineStr">
        <is>
          <t>GÄVLEBORGS LÄN</t>
        </is>
      </c>
      <c r="E1515" t="inlineStr">
        <is>
          <t>OVANÅKER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23184-2025</t>
        </is>
      </c>
      <c r="B1516" s="1" t="n">
        <v>45791</v>
      </c>
      <c r="C1516" s="1" t="n">
        <v>45794</v>
      </c>
      <c r="D1516" t="inlineStr">
        <is>
          <t>GÄVLEBORGS LÄN</t>
        </is>
      </c>
      <c r="E1516" t="inlineStr">
        <is>
          <t>OVANÅKER</t>
        </is>
      </c>
      <c r="F1516" t="inlineStr">
        <is>
          <t>Bergvik skog väst AB</t>
        </is>
      </c>
      <c r="G1516" t="n">
        <v>6.9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23242-2025</t>
        </is>
      </c>
      <c r="B1517" s="1" t="n">
        <v>45791</v>
      </c>
      <c r="C1517" s="1" t="n">
        <v>45794</v>
      </c>
      <c r="D1517" t="inlineStr">
        <is>
          <t>GÄVLEBORGS LÄN</t>
        </is>
      </c>
      <c r="E1517" t="inlineStr">
        <is>
          <t>OVANÅKER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23176-2025</t>
        </is>
      </c>
      <c r="B1518" s="1" t="n">
        <v>45791</v>
      </c>
      <c r="C1518" s="1" t="n">
        <v>45794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23175-2025</t>
        </is>
      </c>
      <c r="B1519" s="1" t="n">
        <v>45791</v>
      </c>
      <c r="C1519" s="1" t="n">
        <v>45794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23244-2025</t>
        </is>
      </c>
      <c r="B1520" s="1" t="n">
        <v>45791</v>
      </c>
      <c r="C1520" s="1" t="n">
        <v>45794</v>
      </c>
      <c r="D1520" t="inlineStr">
        <is>
          <t>GÄVLEBORGS LÄN</t>
        </is>
      </c>
      <c r="E1520" t="inlineStr">
        <is>
          <t>OVANÅKER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23217-2025</t>
        </is>
      </c>
      <c r="B1521" s="1" t="n">
        <v>45791</v>
      </c>
      <c r="C1521" s="1" t="n">
        <v>45794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23098-2025</t>
        </is>
      </c>
      <c r="B1522" s="1" t="n">
        <v>45791</v>
      </c>
      <c r="C1522" s="1" t="n">
        <v>45794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23143-2025</t>
        </is>
      </c>
      <c r="B1523" s="1" t="n">
        <v>45791</v>
      </c>
      <c r="C1523" s="1" t="n">
        <v>45794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6.1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23180-2025</t>
        </is>
      </c>
      <c r="B1524" s="1" t="n">
        <v>45791</v>
      </c>
      <c r="C1524" s="1" t="n">
        <v>45794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12.1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23106-2025</t>
        </is>
      </c>
      <c r="B1525" s="1" t="n">
        <v>45791</v>
      </c>
      <c r="C1525" s="1" t="n">
        <v>45794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23167-2025</t>
        </is>
      </c>
      <c r="B1526" s="1" t="n">
        <v>45791</v>
      </c>
      <c r="C1526" s="1" t="n">
        <v>45794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23223-2025</t>
        </is>
      </c>
      <c r="B1527" s="1" t="n">
        <v>45791</v>
      </c>
      <c r="C1527" s="1" t="n">
        <v>45794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11.1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23220-2025</t>
        </is>
      </c>
      <c r="B1528" s="1" t="n">
        <v>45791</v>
      </c>
      <c r="C1528" s="1" t="n">
        <v>45794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18.6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23178-2025</t>
        </is>
      </c>
      <c r="B1529" s="1" t="n">
        <v>45791</v>
      </c>
      <c r="C1529" s="1" t="n">
        <v>45794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23434-2025</t>
        </is>
      </c>
      <c r="B1530" s="1" t="n">
        <v>45792</v>
      </c>
      <c r="C1530" s="1" t="n">
        <v>45794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14.6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23416-2025</t>
        </is>
      </c>
      <c r="B1531" s="1" t="n">
        <v>45792</v>
      </c>
      <c r="C1531" s="1" t="n">
        <v>45794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4.4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>
      <c r="A1532" t="inlineStr">
        <is>
          <t>A 23424-2025</t>
        </is>
      </c>
      <c r="B1532" s="1" t="n">
        <v>45792</v>
      </c>
      <c r="C1532" s="1" t="n">
        <v>45794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2025-05-17T17:21:10Z</dcterms:created>
  <dcterms:modified xmlns:dcterms="http://purl.org/dc/terms/" xmlns:xsi="http://www.w3.org/2001/XMLSchema-instance" xsi:type="dcterms:W3CDTF">2025-05-17T17:21:11Z</dcterms:modified>
</cp:coreProperties>
</file>