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45507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45507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39905-2022</t>
        </is>
      </c>
      <c r="B4" s="1" t="n">
        <v>44819</v>
      </c>
      <c r="C4" s="1" t="n">
        <v>45507</v>
      </c>
      <c r="D4" t="inlineStr">
        <is>
          <t>GÄVLEBORGS LÄN</t>
        </is>
      </c>
      <c r="E4" t="inlineStr">
        <is>
          <t>OVANÅKER</t>
        </is>
      </c>
      <c r="G4" t="n">
        <v>3.5</v>
      </c>
      <c r="H4" t="n">
        <v>6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Turkos blåvinge
Månlåsbräken
Grönkulla
Plattlummer
Spindelblomster
Ögonpyrola
Fläcknycklar
Nattviol
Revlummer</t>
        </is>
      </c>
      <c r="S4">
        <f>HYPERLINK("https://klasma.github.io/Logging_2121/artfynd/A 39905-2022 artfynd.xlsx", "A 39905-2022")</f>
        <v/>
      </c>
      <c r="T4">
        <f>HYPERLINK("https://klasma.github.io/Logging_2121/kartor/A 39905-2022 karta.png", "A 39905-2022")</f>
        <v/>
      </c>
      <c r="V4">
        <f>HYPERLINK("https://klasma.github.io/Logging_2121/klagomål/A 39905-2022 FSC-klagomål.docx", "A 39905-2022")</f>
        <v/>
      </c>
      <c r="W4">
        <f>HYPERLINK("https://klasma.github.io/Logging_2121/klagomålsmail/A 39905-2022 FSC-klagomål mail.docx", "A 39905-2022")</f>
        <v/>
      </c>
      <c r="X4">
        <f>HYPERLINK("https://klasma.github.io/Logging_2121/tillsyn/A 39905-2022 tillsynsbegäran.docx", "A 39905-2022")</f>
        <v/>
      </c>
      <c r="Y4">
        <f>HYPERLINK("https://klasma.github.io/Logging_2121/tillsynsmail/A 39905-2022 tillsynsbegäran mail.docx", "A 39905-2022")</f>
        <v/>
      </c>
    </row>
    <row r="5" ht="15" customHeight="1">
      <c r="A5" t="inlineStr">
        <is>
          <t>A 24085-2024</t>
        </is>
      </c>
      <c r="B5" s="1" t="n">
        <v>45456</v>
      </c>
      <c r="C5" s="1" t="n">
        <v>45507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6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Gräsull
Korallrot
Spindelblomster
Tvåblad
Fläcknycklar
Lopplummer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45009-2019</t>
        </is>
      </c>
      <c r="B6" s="1" t="n">
        <v>43713</v>
      </c>
      <c r="C6" s="1" t="n">
        <v>45507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4.7</v>
      </c>
      <c r="H6" t="n">
        <v>4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Knärot
Lunglav
Talltita
Korallrot
Spindelblomster</t>
        </is>
      </c>
      <c r="S6">
        <f>HYPERLINK("https://klasma.github.io/Logging_2121/artfynd/A 45009-2019 artfynd.xlsx", "A 45009-2019")</f>
        <v/>
      </c>
      <c r="T6">
        <f>HYPERLINK("https://klasma.github.io/Logging_2121/kartor/A 45009-2019 karta.png", "A 45009-2019")</f>
        <v/>
      </c>
      <c r="U6">
        <f>HYPERLINK("https://klasma.github.io/Logging_2121/knärot/A 45009-2019 karta knärot.png", "A 45009-2019")</f>
        <v/>
      </c>
      <c r="V6">
        <f>HYPERLINK("https://klasma.github.io/Logging_2121/klagomål/A 45009-2019 FSC-klagomål.docx", "A 45009-2019")</f>
        <v/>
      </c>
      <c r="W6">
        <f>HYPERLINK("https://klasma.github.io/Logging_2121/klagomålsmail/A 45009-2019 FSC-klagomål mail.docx", "A 45009-2019")</f>
        <v/>
      </c>
      <c r="X6">
        <f>HYPERLINK("https://klasma.github.io/Logging_2121/tillsyn/A 45009-2019 tillsynsbegäran.docx", "A 45009-2019")</f>
        <v/>
      </c>
      <c r="Y6">
        <f>HYPERLINK("https://klasma.github.io/Logging_2121/tillsynsmail/A 45009-2019 tillsynsbegäran mail.docx", "A 45009-2019")</f>
        <v/>
      </c>
      <c r="Z6">
        <f>HYPERLINK("https://klasma.github.io/Logging_2121/fåglar/A 45009-2019 prioriterade fågelarter.docx", "A 45009-2019")</f>
        <v/>
      </c>
    </row>
    <row r="7" ht="15" customHeight="1">
      <c r="A7" t="inlineStr">
        <is>
          <t>A 23581-2024</t>
        </is>
      </c>
      <c r="B7" s="1" t="n">
        <v>45454</v>
      </c>
      <c r="C7" s="1" t="n">
        <v>45507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9.199999999999999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Mörk kolflarnlav
Spillkråka
Korallrot
Stuplav</t>
        </is>
      </c>
      <c r="S7">
        <f>HYPERLINK("https://klasma.github.io/Logging_2121/artfynd/A 23581-2024 artfynd.xlsx", "A 23581-2024")</f>
        <v/>
      </c>
      <c r="T7">
        <f>HYPERLINK("https://klasma.github.io/Logging_2121/kartor/A 23581-2024 karta.png", "A 23581-2024")</f>
        <v/>
      </c>
      <c r="U7">
        <f>HYPERLINK("https://klasma.github.io/Logging_2121/knärot/A 23581-2024 karta knärot.png", "A 23581-2024")</f>
        <v/>
      </c>
      <c r="V7">
        <f>HYPERLINK("https://klasma.github.io/Logging_2121/klagomål/A 23581-2024 FSC-klagomål.docx", "A 23581-2024")</f>
        <v/>
      </c>
      <c r="W7">
        <f>HYPERLINK("https://klasma.github.io/Logging_2121/klagomålsmail/A 23581-2024 FSC-klagomål mail.docx", "A 23581-2024")</f>
        <v/>
      </c>
      <c r="X7">
        <f>HYPERLINK("https://klasma.github.io/Logging_2121/tillsyn/A 23581-2024 tillsynsbegäran.docx", "A 23581-2024")</f>
        <v/>
      </c>
      <c r="Y7">
        <f>HYPERLINK("https://klasma.github.io/Logging_2121/tillsynsmail/A 23581-2024 tillsynsbegäran mail.docx", "A 23581-2024")</f>
        <v/>
      </c>
      <c r="Z7">
        <f>HYPERLINK("https://klasma.github.io/Logging_2121/fåglar/A 23581-2024 prioriterade fågelarter.docx", "A 23581-2024")</f>
        <v/>
      </c>
    </row>
    <row r="8" ht="15" customHeight="1">
      <c r="A8" t="inlineStr">
        <is>
          <t>A 55473-2022</t>
        </is>
      </c>
      <c r="B8" s="1" t="n">
        <v>44887</v>
      </c>
      <c r="C8" s="1" t="n">
        <v>45507</v>
      </c>
      <c r="D8" t="inlineStr">
        <is>
          <t>GÄVLEBORGS LÄN</t>
        </is>
      </c>
      <c r="E8" t="inlineStr">
        <is>
          <t>OVANÅKER</t>
        </is>
      </c>
      <c r="G8" t="n">
        <v>7.9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Dvärgbägarlav
Kolflarnlav
Mörk kolflarnlav
Dropptaggsvamp</t>
        </is>
      </c>
      <c r="S8">
        <f>HYPERLINK("https://klasma.github.io/Logging_2121/artfynd/A 55473-2022 artfynd.xlsx", "A 55473-2022")</f>
        <v/>
      </c>
      <c r="T8">
        <f>HYPERLINK("https://klasma.github.io/Logging_2121/kartor/A 55473-2022 karta.png", "A 55473-2022")</f>
        <v/>
      </c>
      <c r="V8">
        <f>HYPERLINK("https://klasma.github.io/Logging_2121/klagomål/A 55473-2022 FSC-klagomål.docx", "A 55473-2022")</f>
        <v/>
      </c>
      <c r="W8">
        <f>HYPERLINK("https://klasma.github.io/Logging_2121/klagomålsmail/A 55473-2022 FSC-klagomål mail.docx", "A 55473-2022")</f>
        <v/>
      </c>
      <c r="X8">
        <f>HYPERLINK("https://klasma.github.io/Logging_2121/tillsyn/A 55473-2022 tillsynsbegäran.docx", "A 55473-2022")</f>
        <v/>
      </c>
      <c r="Y8">
        <f>HYPERLINK("https://klasma.github.io/Logging_2121/tillsynsmail/A 55473-2022 tillsynsbegäran mail.docx", "A 55473-2022")</f>
        <v/>
      </c>
    </row>
    <row r="9" ht="15" customHeight="1">
      <c r="A9" t="inlineStr">
        <is>
          <t>A 27404-2019</t>
        </is>
      </c>
      <c r="B9" s="1" t="n">
        <v>43616</v>
      </c>
      <c r="C9" s="1" t="n">
        <v>45507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1.3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Tallticka
Vedskivlav
Mindre märgborre</t>
        </is>
      </c>
      <c r="S9">
        <f>HYPERLINK("https://klasma.github.io/Logging_2121/artfynd/A 27404-2019 artfynd.xlsx", "A 27404-2019")</f>
        <v/>
      </c>
      <c r="T9">
        <f>HYPERLINK("https://klasma.github.io/Logging_2121/kartor/A 27404-2019 karta.png", "A 27404-2019")</f>
        <v/>
      </c>
      <c r="V9">
        <f>HYPERLINK("https://klasma.github.io/Logging_2121/klagomål/A 27404-2019 FSC-klagomål.docx", "A 27404-2019")</f>
        <v/>
      </c>
      <c r="W9">
        <f>HYPERLINK("https://klasma.github.io/Logging_2121/klagomålsmail/A 27404-2019 FSC-klagomål mail.docx", "A 27404-2019")</f>
        <v/>
      </c>
      <c r="X9">
        <f>HYPERLINK("https://klasma.github.io/Logging_2121/tillsyn/A 27404-2019 tillsynsbegäran.docx", "A 27404-2019")</f>
        <v/>
      </c>
      <c r="Y9">
        <f>HYPERLINK("https://klasma.github.io/Logging_2121/tillsynsmail/A 27404-2019 tillsynsbegäran mail.docx", "A 27404-2019")</f>
        <v/>
      </c>
    </row>
    <row r="10" ht="15" customHeight="1">
      <c r="A10" t="inlineStr">
        <is>
          <t>A 21238-2021</t>
        </is>
      </c>
      <c r="B10" s="1" t="n">
        <v>44320</v>
      </c>
      <c r="C10" s="1" t="n">
        <v>45507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Dvärgbägarlav
Gammelgransskål
Kolflarnlav</t>
        </is>
      </c>
      <c r="S10">
        <f>HYPERLINK("https://klasma.github.io/Logging_2121/artfynd/A 21238-2021 artfynd.xlsx", "A 21238-2021")</f>
        <v/>
      </c>
      <c r="T10">
        <f>HYPERLINK("https://klasma.github.io/Logging_2121/kartor/A 21238-2021 karta.png", "A 21238-2021")</f>
        <v/>
      </c>
      <c r="V10">
        <f>HYPERLINK("https://klasma.github.io/Logging_2121/klagomål/A 21238-2021 FSC-klagomål.docx", "A 21238-2021")</f>
        <v/>
      </c>
      <c r="W10">
        <f>HYPERLINK("https://klasma.github.io/Logging_2121/klagomålsmail/A 21238-2021 FSC-klagomål mail.docx", "A 21238-2021")</f>
        <v/>
      </c>
      <c r="X10">
        <f>HYPERLINK("https://klasma.github.io/Logging_2121/tillsyn/A 21238-2021 tillsynsbegäran.docx", "A 21238-2021")</f>
        <v/>
      </c>
      <c r="Y10">
        <f>HYPERLINK("https://klasma.github.io/Logging_2121/tillsynsmail/A 21238-2021 tillsynsbegäran mail.docx", "A 21238-2021")</f>
        <v/>
      </c>
    </row>
    <row r="11" ht="15" customHeight="1">
      <c r="A11" t="inlineStr">
        <is>
          <t>A 24895-2024</t>
        </is>
      </c>
      <c r="B11" s="1" t="n">
        <v>45461</v>
      </c>
      <c r="C11" s="1" t="n">
        <v>45507</v>
      </c>
      <c r="D11" t="inlineStr">
        <is>
          <t>GÄVLEBORGS LÄN</t>
        </is>
      </c>
      <c r="E11" t="inlineStr">
        <is>
          <t>OVANÅKER</t>
        </is>
      </c>
      <c r="G11" t="n">
        <v>5.1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Kolflarnlav
Vedskivlav</t>
        </is>
      </c>
      <c r="S11">
        <f>HYPERLINK("https://klasma.github.io/Logging_2121/artfynd/A 24895-2024 artfynd.xlsx", "A 24895-2024")</f>
        <v/>
      </c>
      <c r="T11">
        <f>HYPERLINK("https://klasma.github.io/Logging_2121/kartor/A 24895-2024 karta.png", "A 24895-2024")</f>
        <v/>
      </c>
      <c r="V11">
        <f>HYPERLINK("https://klasma.github.io/Logging_2121/klagomål/A 24895-2024 FSC-klagomål.docx", "A 24895-2024")</f>
        <v/>
      </c>
      <c r="W11">
        <f>HYPERLINK("https://klasma.github.io/Logging_2121/klagomålsmail/A 24895-2024 FSC-klagomål mail.docx", "A 24895-2024")</f>
        <v/>
      </c>
      <c r="X11">
        <f>HYPERLINK("https://klasma.github.io/Logging_2121/tillsyn/A 24895-2024 tillsynsbegäran.docx", "A 24895-2024")</f>
        <v/>
      </c>
      <c r="Y11">
        <f>HYPERLINK("https://klasma.github.io/Logging_2121/tillsynsmail/A 24895-2024 tillsynsbegäran mail.docx", "A 24895-2024")</f>
        <v/>
      </c>
    </row>
    <row r="12" ht="15" customHeight="1">
      <c r="A12" t="inlineStr">
        <is>
          <t>A 45004-2019</t>
        </is>
      </c>
      <c r="B12" s="1" t="n">
        <v>43713</v>
      </c>
      <c r="C12" s="1" t="n">
        <v>45507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7.5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Kolflarnlav
Lunglav</t>
        </is>
      </c>
      <c r="S12">
        <f>HYPERLINK("https://klasma.github.io/Logging_2121/artfynd/A 45004-2019 artfynd.xlsx", "A 45004-2019")</f>
        <v/>
      </c>
      <c r="T12">
        <f>HYPERLINK("https://klasma.github.io/Logging_2121/kartor/A 45004-2019 karta.png", "A 45004-2019")</f>
        <v/>
      </c>
      <c r="V12">
        <f>HYPERLINK("https://klasma.github.io/Logging_2121/klagomål/A 45004-2019 FSC-klagomål.docx", "A 45004-2019")</f>
        <v/>
      </c>
      <c r="W12">
        <f>HYPERLINK("https://klasma.github.io/Logging_2121/klagomålsmail/A 45004-2019 FSC-klagomål mail.docx", "A 45004-2019")</f>
        <v/>
      </c>
      <c r="X12">
        <f>HYPERLINK("https://klasma.github.io/Logging_2121/tillsyn/A 45004-2019 tillsynsbegäran.docx", "A 45004-2019")</f>
        <v/>
      </c>
      <c r="Y12">
        <f>HYPERLINK("https://klasma.github.io/Logging_2121/tillsynsmail/A 45004-2019 tillsynsbegäran mail.docx", "A 45004-2019")</f>
        <v/>
      </c>
    </row>
    <row r="13" ht="15" customHeight="1">
      <c r="A13" t="inlineStr">
        <is>
          <t>A 42056-2023</t>
        </is>
      </c>
      <c r="B13" s="1" t="n">
        <v>45177</v>
      </c>
      <c r="C13" s="1" t="n">
        <v>45507</v>
      </c>
      <c r="D13" t="inlineStr">
        <is>
          <t>GÄVLEBORGS LÄN</t>
        </is>
      </c>
      <c r="E13" t="inlineStr">
        <is>
          <t>OVANÅKER</t>
        </is>
      </c>
      <c r="G13" t="n">
        <v>14.7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Korallblylav</t>
        </is>
      </c>
      <c r="S13">
        <f>HYPERLINK("https://klasma.github.io/Logging_2121/artfynd/A 42056-2023 artfynd.xlsx", "A 42056-2023")</f>
        <v/>
      </c>
      <c r="T13">
        <f>HYPERLINK("https://klasma.github.io/Logging_2121/kartor/A 42056-2023 karta.png", "A 42056-2023")</f>
        <v/>
      </c>
      <c r="V13">
        <f>HYPERLINK("https://klasma.github.io/Logging_2121/klagomål/A 42056-2023 FSC-klagomål.docx", "A 42056-2023")</f>
        <v/>
      </c>
      <c r="W13">
        <f>HYPERLINK("https://klasma.github.io/Logging_2121/klagomålsmail/A 42056-2023 FSC-klagomål mail.docx", "A 42056-2023")</f>
        <v/>
      </c>
      <c r="X13">
        <f>HYPERLINK("https://klasma.github.io/Logging_2121/tillsyn/A 42056-2023 tillsynsbegäran.docx", "A 42056-2023")</f>
        <v/>
      </c>
      <c r="Y13">
        <f>HYPERLINK("https://klasma.github.io/Logging_2121/tillsynsmail/A 42056-2023 tillsynsbegäran mail.docx", "A 42056-2023")</f>
        <v/>
      </c>
    </row>
    <row r="14" ht="15" customHeight="1">
      <c r="A14" t="inlineStr">
        <is>
          <t>A 1196-2024</t>
        </is>
      </c>
      <c r="B14" s="1" t="n">
        <v>45302</v>
      </c>
      <c r="C14" s="1" t="n">
        <v>45507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3.7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Blåsippa</t>
        </is>
      </c>
      <c r="S14">
        <f>HYPERLINK("https://klasma.github.io/Logging_2121/artfynd/A 1196-2024 artfynd.xlsx", "A 1196-2024")</f>
        <v/>
      </c>
      <c r="T14">
        <f>HYPERLINK("https://klasma.github.io/Logging_2121/kartor/A 1196-2024 karta.png", "A 1196-2024")</f>
        <v/>
      </c>
      <c r="V14">
        <f>HYPERLINK("https://klasma.github.io/Logging_2121/klagomål/A 1196-2024 FSC-klagomål.docx", "A 1196-2024")</f>
        <v/>
      </c>
      <c r="W14">
        <f>HYPERLINK("https://klasma.github.io/Logging_2121/klagomålsmail/A 1196-2024 FSC-klagomål mail.docx", "A 1196-2024")</f>
        <v/>
      </c>
      <c r="X14">
        <f>HYPERLINK("https://klasma.github.io/Logging_2121/tillsyn/A 1196-2024 tillsynsbegäran.docx", "A 1196-2024")</f>
        <v/>
      </c>
      <c r="Y14">
        <f>HYPERLINK("https://klasma.github.io/Logging_2121/tillsynsmail/A 1196-2024 tillsynsbegäran mail.docx", "A 1196-2024")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45507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19180-2024</t>
        </is>
      </c>
      <c r="B16" s="1" t="n">
        <v>45428</v>
      </c>
      <c r="C16" s="1" t="n">
        <v>45507</v>
      </c>
      <c r="D16" t="inlineStr">
        <is>
          <t>GÄVLEBORGS LÄN</t>
        </is>
      </c>
      <c r="E16" t="inlineStr">
        <is>
          <t>OVANÅKER</t>
        </is>
      </c>
      <c r="G16" t="n">
        <v>4.1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Kolflarnlav
Vedskivlav</t>
        </is>
      </c>
      <c r="S16">
        <f>HYPERLINK("https://klasma.github.io/Logging_2121/artfynd/A 19180-2024 artfynd.xlsx", "A 19180-2024")</f>
        <v/>
      </c>
      <c r="T16">
        <f>HYPERLINK("https://klasma.github.io/Logging_2121/kartor/A 19180-2024 karta.png", "A 19180-2024")</f>
        <v/>
      </c>
      <c r="V16">
        <f>HYPERLINK("https://klasma.github.io/Logging_2121/klagomål/A 19180-2024 FSC-klagomål.docx", "A 19180-2024")</f>
        <v/>
      </c>
      <c r="W16">
        <f>HYPERLINK("https://klasma.github.io/Logging_2121/klagomålsmail/A 19180-2024 FSC-klagomål mail.docx", "A 19180-2024")</f>
        <v/>
      </c>
      <c r="X16">
        <f>HYPERLINK("https://klasma.github.io/Logging_2121/tillsyn/A 19180-2024 tillsynsbegäran.docx", "A 19180-2024")</f>
        <v/>
      </c>
      <c r="Y16">
        <f>HYPERLINK("https://klasma.github.io/Logging_2121/tillsynsmail/A 19180-2024 tillsynsbegäran mail.docx", "A 19180-2024")</f>
        <v/>
      </c>
    </row>
    <row r="17" ht="15" customHeight="1">
      <c r="A17" t="inlineStr">
        <is>
          <t>A 8361-2020</t>
        </is>
      </c>
      <c r="B17" s="1" t="n">
        <v>43875</v>
      </c>
      <c r="C17" s="1" t="n">
        <v>45507</v>
      </c>
      <c r="D17" t="inlineStr">
        <is>
          <t>GÄVLEBORGS LÄN</t>
        </is>
      </c>
      <c r="E17" t="inlineStr">
        <is>
          <t>OVANÅKER</t>
        </is>
      </c>
      <c r="G17" t="n">
        <v>9.800000000000001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Slaguggla</t>
        </is>
      </c>
      <c r="S17">
        <f>HYPERLINK("https://klasma.github.io/Logging_2121/artfynd/A 8361-2020 artfynd.xlsx", "A 8361-2020")</f>
        <v/>
      </c>
      <c r="T17">
        <f>HYPERLINK("https://klasma.github.io/Logging_2121/kartor/A 8361-2020 karta.png", "A 8361-2020")</f>
        <v/>
      </c>
      <c r="V17">
        <f>HYPERLINK("https://klasma.github.io/Logging_2121/klagomål/A 8361-2020 FSC-klagomål.docx", "A 8361-2020")</f>
        <v/>
      </c>
      <c r="W17">
        <f>HYPERLINK("https://klasma.github.io/Logging_2121/klagomålsmail/A 8361-2020 FSC-klagomål mail.docx", "A 8361-2020")</f>
        <v/>
      </c>
      <c r="X17">
        <f>HYPERLINK("https://klasma.github.io/Logging_2121/tillsyn/A 8361-2020 tillsynsbegäran.docx", "A 8361-2020")</f>
        <v/>
      </c>
      <c r="Y17">
        <f>HYPERLINK("https://klasma.github.io/Logging_2121/tillsynsmail/A 8361-2020 tillsynsbegäran mail.docx", "A 8361-2020")</f>
        <v/>
      </c>
      <c r="Z17">
        <f>HYPERLINK("https://klasma.github.io/Logging_2121/fåglar/A 8361-2020 prioriterade fågelarter.docx", "A 8361-2020")</f>
        <v/>
      </c>
    </row>
    <row r="18" ht="15" customHeight="1">
      <c r="A18" t="inlineStr">
        <is>
          <t>A 29855-2021</t>
        </is>
      </c>
      <c r="B18" s="1" t="n">
        <v>44362</v>
      </c>
      <c r="C18" s="1" t="n">
        <v>45507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5.5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HYPERLINK("https://klasma.github.io/Logging_2121/artfynd/A 29855-2021 artfynd.xlsx", "A 29855-2021")</f>
        <v/>
      </c>
      <c r="T18">
        <f>HYPERLINK("https://klasma.github.io/Logging_2121/kartor/A 29855-2021 karta.png", "A 29855-2021")</f>
        <v/>
      </c>
      <c r="V18">
        <f>HYPERLINK("https://klasma.github.io/Logging_2121/klagomål/A 29855-2021 FSC-klagomål.docx", "A 29855-2021")</f>
        <v/>
      </c>
      <c r="W18">
        <f>HYPERLINK("https://klasma.github.io/Logging_2121/klagomålsmail/A 29855-2021 FSC-klagomål mail.docx", "A 29855-2021")</f>
        <v/>
      </c>
      <c r="X18">
        <f>HYPERLINK("https://klasma.github.io/Logging_2121/tillsyn/A 29855-2021 tillsynsbegäran.docx", "A 29855-2021")</f>
        <v/>
      </c>
      <c r="Y18">
        <f>HYPERLINK("https://klasma.github.io/Logging_2121/tillsynsmail/A 29855-2021 tillsynsbegäran mail.docx", "A 29855-2021")</f>
        <v/>
      </c>
    </row>
    <row r="19" ht="15" customHeight="1">
      <c r="A19" t="inlineStr">
        <is>
          <t>A 29873-2021</t>
        </is>
      </c>
      <c r="B19" s="1" t="n">
        <v>44362</v>
      </c>
      <c r="C19" s="1" t="n">
        <v>45507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29873-2021 artfynd.xlsx", "A 29873-2021")</f>
        <v/>
      </c>
      <c r="T19">
        <f>HYPERLINK("https://klasma.github.io/Logging_2121/kartor/A 29873-2021 karta.png", "A 29873-2021")</f>
        <v/>
      </c>
      <c r="V19">
        <f>HYPERLINK("https://klasma.github.io/Logging_2121/klagomål/A 29873-2021 FSC-klagomål.docx", "A 29873-2021")</f>
        <v/>
      </c>
      <c r="W19">
        <f>HYPERLINK("https://klasma.github.io/Logging_2121/klagomålsmail/A 29873-2021 FSC-klagomål mail.docx", "A 29873-2021")</f>
        <v/>
      </c>
      <c r="X19">
        <f>HYPERLINK("https://klasma.github.io/Logging_2121/tillsyn/A 29873-2021 tillsynsbegäran.docx", "A 29873-2021")</f>
        <v/>
      </c>
      <c r="Y19">
        <f>HYPERLINK("https://klasma.github.io/Logging_2121/tillsynsmail/A 29873-2021 tillsynsbegäran mail.docx", "A 29873-2021")</f>
        <v/>
      </c>
    </row>
    <row r="20" ht="15" customHeight="1">
      <c r="A20" t="inlineStr">
        <is>
          <t>A 30954-2021</t>
        </is>
      </c>
      <c r="B20" s="1" t="n">
        <v>44365</v>
      </c>
      <c r="C20" s="1" t="n">
        <v>45507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30954-2021 artfynd.xlsx", "A 30954-2021")</f>
        <v/>
      </c>
      <c r="T20">
        <f>HYPERLINK("https://klasma.github.io/Logging_2121/kartor/A 30954-2021 karta.png", "A 30954-2021")</f>
        <v/>
      </c>
      <c r="V20">
        <f>HYPERLINK("https://klasma.github.io/Logging_2121/klagomål/A 30954-2021 FSC-klagomål.docx", "A 30954-2021")</f>
        <v/>
      </c>
      <c r="W20">
        <f>HYPERLINK("https://klasma.github.io/Logging_2121/klagomålsmail/A 30954-2021 FSC-klagomål mail.docx", "A 30954-2021")</f>
        <v/>
      </c>
      <c r="X20">
        <f>HYPERLINK("https://klasma.github.io/Logging_2121/tillsyn/A 30954-2021 tillsynsbegäran.docx", "A 30954-2021")</f>
        <v/>
      </c>
      <c r="Y20">
        <f>HYPERLINK("https://klasma.github.io/Logging_2121/tillsynsmail/A 30954-2021 tillsynsbegäran mail.docx", "A 30954-2021")</f>
        <v/>
      </c>
    </row>
    <row r="21" ht="15" customHeight="1">
      <c r="A21" t="inlineStr">
        <is>
          <t>A 34219-2021</t>
        </is>
      </c>
      <c r="B21" s="1" t="n">
        <v>44379</v>
      </c>
      <c r="C21" s="1" t="n">
        <v>45507</v>
      </c>
      <c r="D21" t="inlineStr">
        <is>
          <t>GÄVLEBORGS LÄN</t>
        </is>
      </c>
      <c r="E21" t="inlineStr">
        <is>
          <t>OVANÅKER</t>
        </is>
      </c>
      <c r="F21" t="inlineStr">
        <is>
          <t>Kyrkan</t>
        </is>
      </c>
      <c r="G21" t="n">
        <v>24.7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flugsnappare</t>
        </is>
      </c>
      <c r="S21">
        <f>HYPERLINK("https://klasma.github.io/Logging_2121/artfynd/A 34219-2021 artfynd.xlsx", "A 34219-2021")</f>
        <v/>
      </c>
      <c r="T21">
        <f>HYPERLINK("https://klasma.github.io/Logging_2121/kartor/A 34219-2021 karta.png", "A 34219-2021")</f>
        <v/>
      </c>
      <c r="V21">
        <f>HYPERLINK("https://klasma.github.io/Logging_2121/klagomål/A 34219-2021 FSC-klagomål.docx", "A 34219-2021")</f>
        <v/>
      </c>
      <c r="W21">
        <f>HYPERLINK("https://klasma.github.io/Logging_2121/klagomålsmail/A 34219-2021 FSC-klagomål mail.docx", "A 34219-2021")</f>
        <v/>
      </c>
      <c r="X21">
        <f>HYPERLINK("https://klasma.github.io/Logging_2121/tillsyn/A 34219-2021 tillsynsbegäran.docx", "A 34219-2021")</f>
        <v/>
      </c>
      <c r="Y21">
        <f>HYPERLINK("https://klasma.github.io/Logging_2121/tillsynsmail/A 34219-2021 tillsynsbegäran mail.docx", "A 34219-2021")</f>
        <v/>
      </c>
      <c r="Z21">
        <f>HYPERLINK("https://klasma.github.io/Logging_2121/fåglar/A 34219-2021 prioriterade fågelarter.docx", "A 34219-2021")</f>
        <v/>
      </c>
    </row>
    <row r="22" ht="15" customHeight="1">
      <c r="A22" t="inlineStr">
        <is>
          <t>A 52166-2021</t>
        </is>
      </c>
      <c r="B22" s="1" t="n">
        <v>44463</v>
      </c>
      <c r="C22" s="1" t="n">
        <v>45507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0.4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HYPERLINK("https://klasma.github.io/Logging_2121/artfynd/A 52166-2021 artfynd.xlsx", "A 52166-2021")</f>
        <v/>
      </c>
      <c r="T22">
        <f>HYPERLINK("https://klasma.github.io/Logging_2121/kartor/A 52166-2021 karta.png", "A 52166-2021")</f>
        <v/>
      </c>
      <c r="V22">
        <f>HYPERLINK("https://klasma.github.io/Logging_2121/klagomål/A 52166-2021 FSC-klagomål.docx", "A 52166-2021")</f>
        <v/>
      </c>
      <c r="W22">
        <f>HYPERLINK("https://klasma.github.io/Logging_2121/klagomålsmail/A 52166-2021 FSC-klagomål mail.docx", "A 52166-2021")</f>
        <v/>
      </c>
      <c r="X22">
        <f>HYPERLINK("https://klasma.github.io/Logging_2121/tillsyn/A 52166-2021 tillsynsbegäran.docx", "A 52166-2021")</f>
        <v/>
      </c>
      <c r="Y22">
        <f>HYPERLINK("https://klasma.github.io/Logging_2121/tillsynsmail/A 52166-2021 tillsynsbegäran mail.docx", "A 52166-2021")</f>
        <v/>
      </c>
    </row>
    <row r="23" ht="15" customHeight="1">
      <c r="A23" t="inlineStr">
        <is>
          <t>A 34414-2022</t>
        </is>
      </c>
      <c r="B23" s="1" t="n">
        <v>44792</v>
      </c>
      <c r="C23" s="1" t="n">
        <v>45507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34414-2022 artfynd.xlsx", "A 34414-2022")</f>
        <v/>
      </c>
      <c r="T23">
        <f>HYPERLINK("https://klasma.github.io/Logging_2121/kartor/A 34414-2022 karta.png", "A 34414-2022")</f>
        <v/>
      </c>
      <c r="V23">
        <f>HYPERLINK("https://klasma.github.io/Logging_2121/klagomål/A 34414-2022 FSC-klagomål.docx", "A 34414-2022")</f>
        <v/>
      </c>
      <c r="W23">
        <f>HYPERLINK("https://klasma.github.io/Logging_2121/klagomålsmail/A 34414-2022 FSC-klagomål mail.docx", "A 34414-2022")</f>
        <v/>
      </c>
      <c r="X23">
        <f>HYPERLINK("https://klasma.github.io/Logging_2121/tillsyn/A 34414-2022 tillsynsbegäran.docx", "A 34414-2022")</f>
        <v/>
      </c>
      <c r="Y23">
        <f>HYPERLINK("https://klasma.github.io/Logging_2121/tillsynsmail/A 34414-2022 tillsynsbegäran mail.docx", "A 34414-2022")</f>
        <v/>
      </c>
    </row>
    <row r="24" ht="15" customHeight="1">
      <c r="A24" t="inlineStr">
        <is>
          <t>A 34415-2022</t>
        </is>
      </c>
      <c r="B24" s="1" t="n">
        <v>44792</v>
      </c>
      <c r="C24" s="1" t="n">
        <v>45507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34415-2022 artfynd.xlsx", "A 34415-2022")</f>
        <v/>
      </c>
      <c r="T24">
        <f>HYPERLINK("https://klasma.github.io/Logging_2121/kartor/A 34415-2022 karta.png", "A 34415-2022")</f>
        <v/>
      </c>
      <c r="V24">
        <f>HYPERLINK("https://klasma.github.io/Logging_2121/klagomål/A 34415-2022 FSC-klagomål.docx", "A 34415-2022")</f>
        <v/>
      </c>
      <c r="W24">
        <f>HYPERLINK("https://klasma.github.io/Logging_2121/klagomålsmail/A 34415-2022 FSC-klagomål mail.docx", "A 34415-2022")</f>
        <v/>
      </c>
      <c r="X24">
        <f>HYPERLINK("https://klasma.github.io/Logging_2121/tillsyn/A 34415-2022 tillsynsbegäran.docx", "A 34415-2022")</f>
        <v/>
      </c>
      <c r="Y24">
        <f>HYPERLINK("https://klasma.github.io/Logging_2121/tillsynsmail/A 34415-2022 tillsynsbegäran mail.docx", "A 34415-2022")</f>
        <v/>
      </c>
    </row>
    <row r="25" ht="15" customHeight="1">
      <c r="A25" t="inlineStr">
        <is>
          <t>A 60287-2022</t>
        </is>
      </c>
      <c r="B25" s="1" t="n">
        <v>44910</v>
      </c>
      <c r="C25" s="1" t="n">
        <v>45507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1.2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HYPERLINK("https://klasma.github.io/Logging_2121/artfynd/A 60287-2022 artfynd.xlsx", "A 60287-2022")</f>
        <v/>
      </c>
      <c r="T25">
        <f>HYPERLINK("https://klasma.github.io/Logging_2121/kartor/A 60287-2022 karta.png", "A 60287-2022")</f>
        <v/>
      </c>
      <c r="V25">
        <f>HYPERLINK("https://klasma.github.io/Logging_2121/klagomål/A 60287-2022 FSC-klagomål.docx", "A 60287-2022")</f>
        <v/>
      </c>
      <c r="W25">
        <f>HYPERLINK("https://klasma.github.io/Logging_2121/klagomålsmail/A 60287-2022 FSC-klagomål mail.docx", "A 60287-2022")</f>
        <v/>
      </c>
      <c r="X25">
        <f>HYPERLINK("https://klasma.github.io/Logging_2121/tillsyn/A 60287-2022 tillsynsbegäran.docx", "A 60287-2022")</f>
        <v/>
      </c>
      <c r="Y25">
        <f>HYPERLINK("https://klasma.github.io/Logging_2121/tillsynsmail/A 60287-2022 tillsynsbegäran mail.docx", "A 60287-2022")</f>
        <v/>
      </c>
      <c r="Z25">
        <f>HYPERLINK("https://klasma.github.io/Logging_2121/fåglar/A 60287-2022 prioriterade fågelarter.docx", "A 60287-2022")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45507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45507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45507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45507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45507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45507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45507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45507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45507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45507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45507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45507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45507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45507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45507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45507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45507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45507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45507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45507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45507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45507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45507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45507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45507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45507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45507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45507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45507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45507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45507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45507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45507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45507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45507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45507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45507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45507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45507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45507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45507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45507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45507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45507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45507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45507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45507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45507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45507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45507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45507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45507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45507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45507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45507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45507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45507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45507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45507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45507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45507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45507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45507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45507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45507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45507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45507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45507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45507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45507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45507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45507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45507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45507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45507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45507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45507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45507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45507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45507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45507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45507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45507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45507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45507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45507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45507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45507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45507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45507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45507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45507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45507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45507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45507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45507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45507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45507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45507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45507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45507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45507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45507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45507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45507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45507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45507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45507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45507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45507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45507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45507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45507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45507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45507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45507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45507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45507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45507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45507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45507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45507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45507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45507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45507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45507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45507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45507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45507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45507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45507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45507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45507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45507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45507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45507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45507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45507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45507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45507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45507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45507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45507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45507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45507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45507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45507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45507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45507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45507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45507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45507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45507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45507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45507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45507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45507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45507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45507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45507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45507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45507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45507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45507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45507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45507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45507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45507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45507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45507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45507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45507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45507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45507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45507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45507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45507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45507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45507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45507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45507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45507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45507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45507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45507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45507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45507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45507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45507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45507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45507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45507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45507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45507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45507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45507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45507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45507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45507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45507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45507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45507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45507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45507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45507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45507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45507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45507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45507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45507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45507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45507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45507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45507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45507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45507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45507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45507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45507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45507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45507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45507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45507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45507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45507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45507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45507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45507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45507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45507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45507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45507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45507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45507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45507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45507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45507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45507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45507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45507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45507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45507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45507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45507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45507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45507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45507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45507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45507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45507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45507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45507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45507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45507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45507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45507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45507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45507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45507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45507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45507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45507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45507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45507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45507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45507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45507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45507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45507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45507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45507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45507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45507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45507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45507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45507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45507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45507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45507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45507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45507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45507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45507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45507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45507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45507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45507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45507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45507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45507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45507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45507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45507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45507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45507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45507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45507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45507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45507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45507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45507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45507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45507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45507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45507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45507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45507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45507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45507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45507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45507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45507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45507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45507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45507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45507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45507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45507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45507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45507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45507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45507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45507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45507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45507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45507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45507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45507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45507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45507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45507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45507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45507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45507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45507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45507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45507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45507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45507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45507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45507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45507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45507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45507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45507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45507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45507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45507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45507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45507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45507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45507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45507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45507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45507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45507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45507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45507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45507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45507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45507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45507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45507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45507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45507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45507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45507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45507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45507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45507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45507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45507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45507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45507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45507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45507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45507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45507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45507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45507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45507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45507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45507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45507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45507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45507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45507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45507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45507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45507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45507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45507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45507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45507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45507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45507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45507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45507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45507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45507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45507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45507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45507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45507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45507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45507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45507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45507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45507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45507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45507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45507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45507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45507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45507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45507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45507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45507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45507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45507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45507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45507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45507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45507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45507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45507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45507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45507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45507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45507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45507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45507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45507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45507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45507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45507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45507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45507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45507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45507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45507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45507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45507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45507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45507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45507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45507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45507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45507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45507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45507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45507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45507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45507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45507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45507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45507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45507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45507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45507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45507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45507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45507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45507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45507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45507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45507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45507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45507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45507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45507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45507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45507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45507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45507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45507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45507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45507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45507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45507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45507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45507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45507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45507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45507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45507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45507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45507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45507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45507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45507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45507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45507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45507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45507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45507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45507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45507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45507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45507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45507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45507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45507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45507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45507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45507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45507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45507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45507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45507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45507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45507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45507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45507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45507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45507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45507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45507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45507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45507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45507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45507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45507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45507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45507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45507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45507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45507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45507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45507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45507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45507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45507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45507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45507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45507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45507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45507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45507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45507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45507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45507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45507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45507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45507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45507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45507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45507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45507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45507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45507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45507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45507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45507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45507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45507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45507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45507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45507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45507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45507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45507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45507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45507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45507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45507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45507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45507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45507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45507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45507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45507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45507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45507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45507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45507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45507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45507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45507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45507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45507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45507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45507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45507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45507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45507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45507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45507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45507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45507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45507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45507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45507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45507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45507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45507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45507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45507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45507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45507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45507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45507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45507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45507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45507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45507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45507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45507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45507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45507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45507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45507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45507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45507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45507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45507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45507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45507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45507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45507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45507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45507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45507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45507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45507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45507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45507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45507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45507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45507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45507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45507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45507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45507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45507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45507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45507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45507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45507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45507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45507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45507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45507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45507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45507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45507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45507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45507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45507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45507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45507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45507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45507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45507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45507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45507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45507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45507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45507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45507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45507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45507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45507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45507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45507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45507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45507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45507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45507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45507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45507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45507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45507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45507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45507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45507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45507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45507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45507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45507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45507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45507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45507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45507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45507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45507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45507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45507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45507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45507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45507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45507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45507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45507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45507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45507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45507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45507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45507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45507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45507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45507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45507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45507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45507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45507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45507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45507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45507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45507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45507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45507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45507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45507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45507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45507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45507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45507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45507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45507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45507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45507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45507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45507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45507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45507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45507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45507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45507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45507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45507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45507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45507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45507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45507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45507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45507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45507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45507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45507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45507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45507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45507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45507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45507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45507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45507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45507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45507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45507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45507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45507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45507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45507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45507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45507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45507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45507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45507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45507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45507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45507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45507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45507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45507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45507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45507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45507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45507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45507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45507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45507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45507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45507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45507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45507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45507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45507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45507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45507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45507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45507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45507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45507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45507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45507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45507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45507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45507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45507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45507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45507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45507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45507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45507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45507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45507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45507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45507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45507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45507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45507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45507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45507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45507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45507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45507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45507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45507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45507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45507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45507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45507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45507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45507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45507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45507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45507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45507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45507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45507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45507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45507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45507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45507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45507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45507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45507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45507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45507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45507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45507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45507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45507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45507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45507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45507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45507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45507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45507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45507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45507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45507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45507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45507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45507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45507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45507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45507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45507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45507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45507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45507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45507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45507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45507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45507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45507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45507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45507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45507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45507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45507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45507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45507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45507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45507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45507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45507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45507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45507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45507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45507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45507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45507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45507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45507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45507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45507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45507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45507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45507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45507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45507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45507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45507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45507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45507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45507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45507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45507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45507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45507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45507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45507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45507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45507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45507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45507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45507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45507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45507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45507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45507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45507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45507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45507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45507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45507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45507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45507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45507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45507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45507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45507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45507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45507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45507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45507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45507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45507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45507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45507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45507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45507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45507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45507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45507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45507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45507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45507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45507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45507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45507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45507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45507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45507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45507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45507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45507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45507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45507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45507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45507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45507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45507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45507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45507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45507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45507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45507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45507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45507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45507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45507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45507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45507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45507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45507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45507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45507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45507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45507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45507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45507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45507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45507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45507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45507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45507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45507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45507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45507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45507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45507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45507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45507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45507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45507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45507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45507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45507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45507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45507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45507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45507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45507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45507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45507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45507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45507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45507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45507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45507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45507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45507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45507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45507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45507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45507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45507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45507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45507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45507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45507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45507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45507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45507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45507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45507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45507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45507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45507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45507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45507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45507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45507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45507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45507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45507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45507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45507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45507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45507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45507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45507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45507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45507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45507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45507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45507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45507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45507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45507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45507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45507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45507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45507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45507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45507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45507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45507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45507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45507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45507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45507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45507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45507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45507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45507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45507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45507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45507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45507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45507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45507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45507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45507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45507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45507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45507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45507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45507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45507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45507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45507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45507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45507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45507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45507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45507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45507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45507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45507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45507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45507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45507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45507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45507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45507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45507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45507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45507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45507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45507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45507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45507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45507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45507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45507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27971-2024</t>
        </is>
      </c>
      <c r="B1116" s="1" t="n">
        <v>45476</v>
      </c>
      <c r="C1116" s="1" t="n">
        <v>45507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28001-2024</t>
        </is>
      </c>
      <c r="B1117" s="1" t="n">
        <v>45476</v>
      </c>
      <c r="C1117" s="1" t="n">
        <v>45507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28448-2024</t>
        </is>
      </c>
      <c r="B1118" s="1" t="n">
        <v>45477</v>
      </c>
      <c r="C1118" s="1" t="n">
        <v>45507</v>
      </c>
      <c r="D1118" t="inlineStr">
        <is>
          <t>GÄVLEBORGS LÄN</t>
        </is>
      </c>
      <c r="E1118" t="inlineStr">
        <is>
          <t>OVANÅKER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28371-2024</t>
        </is>
      </c>
      <c r="B1119" s="1" t="n">
        <v>45477</v>
      </c>
      <c r="C1119" s="1" t="n">
        <v>45507</v>
      </c>
      <c r="D1119" t="inlineStr">
        <is>
          <t>GÄVLEBORGS LÄN</t>
        </is>
      </c>
      <c r="E1119" t="inlineStr">
        <is>
          <t>OVANÅKER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28445-2024</t>
        </is>
      </c>
      <c r="B1120" s="1" t="n">
        <v>45477</v>
      </c>
      <c r="C1120" s="1" t="n">
        <v>45507</v>
      </c>
      <c r="D1120" t="inlineStr">
        <is>
          <t>GÄVLEBORGS LÄN</t>
        </is>
      </c>
      <c r="E1120" t="inlineStr">
        <is>
          <t>OVANÅKER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28450-2024</t>
        </is>
      </c>
      <c r="B1121" s="1" t="n">
        <v>45477</v>
      </c>
      <c r="C1121" s="1" t="n">
        <v>45507</v>
      </c>
      <c r="D1121" t="inlineStr">
        <is>
          <t>GÄVLEBORGS LÄN</t>
        </is>
      </c>
      <c r="E1121" t="inlineStr">
        <is>
          <t>OVANÅKER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28446-2024</t>
        </is>
      </c>
      <c r="B1122" s="1" t="n">
        <v>45477</v>
      </c>
      <c r="C1122" s="1" t="n">
        <v>45507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45507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45507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30241-2024</t>
        </is>
      </c>
      <c r="B1125" s="1" t="n">
        <v>45490</v>
      </c>
      <c r="C1125" s="1" t="n">
        <v>45507</v>
      </c>
      <c r="D1125" t="inlineStr">
        <is>
          <t>GÄVLEBORGS LÄN</t>
        </is>
      </c>
      <c r="E1125" t="inlineStr">
        <is>
          <t>OVANÅKER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30245-2024</t>
        </is>
      </c>
      <c r="B1126" s="1" t="n">
        <v>45490</v>
      </c>
      <c r="C1126" s="1" t="n">
        <v>45507</v>
      </c>
      <c r="D1126" t="inlineStr">
        <is>
          <t>GÄVLEBORGS LÄN</t>
        </is>
      </c>
      <c r="E1126" t="inlineStr">
        <is>
          <t>OVANÅKER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30257-2024</t>
        </is>
      </c>
      <c r="B1127" s="1" t="n">
        <v>45490</v>
      </c>
      <c r="C1127" s="1" t="n">
        <v>45507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30199-2024</t>
        </is>
      </c>
      <c r="B1128" s="1" t="n">
        <v>45490</v>
      </c>
      <c r="C1128" s="1" t="n">
        <v>45507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45507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45507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30269-2024</t>
        </is>
      </c>
      <c r="B1131" s="1" t="n">
        <v>45490</v>
      </c>
      <c r="C1131" s="1" t="n">
        <v>45507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30492-2024</t>
        </is>
      </c>
      <c r="B1132" s="1" t="n">
        <v>45492</v>
      </c>
      <c r="C1132" s="1" t="n">
        <v>45507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30566-2024</t>
        </is>
      </c>
      <c r="B1133" s="1" t="n">
        <v>45493</v>
      </c>
      <c r="C1133" s="1" t="n">
        <v>45507</v>
      </c>
      <c r="D1133" t="inlineStr">
        <is>
          <t>GÄVLEBORGS LÄN</t>
        </is>
      </c>
      <c r="E1133" t="inlineStr">
        <is>
          <t>OVANÅKER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30565-2024</t>
        </is>
      </c>
      <c r="B1134" s="1" t="n">
        <v>45493</v>
      </c>
      <c r="C1134" s="1" t="n">
        <v>45507</v>
      </c>
      <c r="D1134" t="inlineStr">
        <is>
          <t>GÄVLEBORGS LÄN</t>
        </is>
      </c>
      <c r="E1134" t="inlineStr">
        <is>
          <t>OVANÅKER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45507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45507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30919-2024</t>
        </is>
      </c>
      <c r="B1137" s="1" t="n">
        <v>45498</v>
      </c>
      <c r="C1137" s="1" t="n">
        <v>45507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30906-2024</t>
        </is>
      </c>
      <c r="B1138" s="1" t="n">
        <v>45498</v>
      </c>
      <c r="C1138" s="1" t="n">
        <v>45507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30946-2024</t>
        </is>
      </c>
      <c r="B1139" s="1" t="n">
        <v>45499</v>
      </c>
      <c r="C1139" s="1" t="n">
        <v>45507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30941-2024</t>
        </is>
      </c>
      <c r="B1140" s="1" t="n">
        <v>45499</v>
      </c>
      <c r="C1140" s="1" t="n">
        <v>45507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31063-2024</t>
        </is>
      </c>
      <c r="B1141" s="1" t="n">
        <v>45502</v>
      </c>
      <c r="C1141" s="1" t="n">
        <v>45507</v>
      </c>
      <c r="D1141" t="inlineStr">
        <is>
          <t>GÄVLEBORGS LÄN</t>
        </is>
      </c>
      <c r="E1141" t="inlineStr">
        <is>
          <t>OVANÅKER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31084-2024</t>
        </is>
      </c>
      <c r="B1142" s="1" t="n">
        <v>45502</v>
      </c>
      <c r="C1142" s="1" t="n">
        <v>45507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31052-2024</t>
        </is>
      </c>
      <c r="B1143" s="1" t="n">
        <v>45502</v>
      </c>
      <c r="C1143" s="1" t="n">
        <v>45507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45507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31296-2024</t>
        </is>
      </c>
      <c r="B1145" s="1" t="n">
        <v>45504</v>
      </c>
      <c r="C1145" s="1" t="n">
        <v>45507</v>
      </c>
      <c r="D1145" t="inlineStr">
        <is>
          <t>GÄVLEBORGS LÄN</t>
        </is>
      </c>
      <c r="E1145" t="inlineStr">
        <is>
          <t>OVANÅKER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31298-2024</t>
        </is>
      </c>
      <c r="B1146" s="1" t="n">
        <v>45504</v>
      </c>
      <c r="C1146" s="1" t="n">
        <v>45507</v>
      </c>
      <c r="D1146" t="inlineStr">
        <is>
          <t>GÄVLEBORGS LÄN</t>
        </is>
      </c>
      <c r="E1146" t="inlineStr">
        <is>
          <t>OVANÅKER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2024-08-03T10:34:16Z</dcterms:created>
  <dcterms:modified xmlns:dcterms="http://purl.org/dc/terms/" xmlns:xsi="http://www.w3.org/2001/XMLSchema-instance" xsi:type="dcterms:W3CDTF">2024-08-03T10:34:17Z</dcterms:modified>
</cp:coreProperties>
</file>